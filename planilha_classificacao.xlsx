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Execuções" sheetId="2" state="visible" r:id="rId4"/>
    <sheet name="Apontamentos" sheetId="3" state="visible" r:id="rId5"/>
    <sheet name="Avaliador 1" sheetId="4" state="visible" r:id="rId6"/>
    <sheet name="Avaliador 2" sheetId="5" state="visible" r:id="rId7"/>
    <sheet name="Consenso" sheetId="6" state="visible" r:id="rId8"/>
    <sheet name="Defeitos não encontrados" sheetId="7" state="visible" r:id="rId9"/>
    <sheet name="Métricas" sheetId="8" state="visible" r:id="rId10"/>
    <sheet name="Kappa" sheetId="9" state="visible" r:id="rId11"/>
    <sheet name="Gabarito" sheetId="10" state="visible" r:id="rId12"/>
    <sheet name="Listas" sheetId="11" state="visible" r:id="rId13"/>
  </sheets>
  <definedNames>
    <definedName function="false" hidden="true" localSheetId="5" name="_xlnm._FilterDatabase" vbProcedure="false">Consenso!$A$1:$P$601</definedName>
    <definedName function="false" hidden="true" localSheetId="6" name="_xlnm._FilterDatabase" vbProcedure="false">'Defeitos não encontrados'!$A$1:$H$145</definedName>
    <definedName function="false" hidden="true" localSheetId="1" name="_xlnm._FilterDatabase" vbProcedure="false">Execuções!$A$1:$P$97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<sst xmlns="http://schemas.openxmlformats.org/spreadsheetml/2006/main" count="1664" uniqueCount="439">
  <si>
    <t xml:space="preserve">Planilha de classificação dos apontamentos</t>
  </si>
  <si>
    <t xml:space="preserve">AL0342 — Alucinações de LLMs como revisores de código (Seções 4.5 a 4.8)</t>
  </si>
  <si>
    <t xml:space="preserve">Legenda</t>
  </si>
  <si>
    <t xml:space="preserve">Célula amarela</t>
  </si>
  <si>
    <t xml:space="preserve">Preencher. Cabeçalho marrom indica coluna de preenchimento.</t>
  </si>
  <si>
    <t xml:space="preserve">Célula cinza</t>
  </si>
  <si>
    <t xml:space="preserve">Fórmula. Não digite (exceto nas colunas do Consenso, ver passo 4).</t>
  </si>
  <si>
    <t xml:space="preserve">Passo a passo</t>
  </si>
  <si>
    <t xml:space="preserve">1. Execuções</t>
  </si>
  <si>
    <t xml:space="preserve">Ao salvar cada resposta, preencha data, modelo, interface, tipo de acesso e configurações (Seção 4.3). Uma resposta sem defeitos apontados fica com 0 apontamentos.</t>
  </si>
  <si>
    <t xml:space="preserve">2. Apontamentos</t>
  </si>
  <si>
    <t xml:space="preserve">Decomponha cada resposta em apontamentos: um por problema indicado pelo assistente. Informe o ID da resposta (R001…), o número do apontamento (1, 2, 3…), a localização citada e um resumo fiel do que foi afirmado. O ID do apontamento é gerado (ex.: R001-01). Esta aba não mostra o assistente.</t>
  </si>
  <si>
    <t xml:space="preserve">3. Avaliador 1 e 2</t>
  </si>
  <si>
    <t xml:space="preserve">Cada avaliador classifica sozinho, nas colunas amarelas da sua aba, sem ver a aba do outro nem a aba Execuções (Seção 4.6). Para manter a anotação cega, entregue a cada avaliador uma cópia com as abas Execuções, Consenso e Métricas ocultas.</t>
  </si>
  <si>
    <t xml:space="preserve">4. Consenso</t>
  </si>
  <si>
    <t xml:space="preserve">Corresponde à Tabela 2 do artigo. Onde os avaliadores concordam, as colunas já vêm preenchidas. Linhas em vermelho têm divergência: discutam e digitem o valor final por cima da fórmula. Sem acordo, um terceiro integrante decide (marque Sim na coluna O).</t>
  </si>
  <si>
    <t xml:space="preserve">5. Resultados</t>
  </si>
  <si>
    <t xml:space="preserve">Defeitos não encontrados, Métricas e Kappa são calculados automaticamente.</t>
  </si>
  <si>
    <t xml:space="preserve">Critérios (Seção 4.5)</t>
  </si>
  <si>
    <t xml:space="preserve">Defeito</t>
  </si>
  <si>
    <t xml:space="preserve">Código do defeito do gabarito (D01…D12) quando o apontamento indica o defeito semeado e sua localização aproximada, mesmo que a explicação contenha alucinação. Use “—” quando não corresponder a nenhum defeito. Esta coluna é obrigatória em todos os apontamentos.</t>
  </si>
  <si>
    <t xml:space="preserve">Falso alarme</t>
  </si>
  <si>
    <t xml:space="preserve">Sim quando o assistente indica defeito que o programa não tem, aponta como incorreto um comportamento compatível com os requisitos ou descreve falha que não pode ocorrer. Na versão correta, todo apontamento de defeito funcional é falso alarme.</t>
  </si>
  <si>
    <t xml:space="preserve">Alucinação</t>
  </si>
  <si>
    <t xml:space="preserve">Sim quando pelo menos uma afirmação contradiz o código ou os requisitos, ou não pode ser verificada a partir deles (variável, função, fluxo, API ou regra inexistente). É registrada independentemente do falso alarme.</t>
  </si>
  <si>
    <t xml:space="preserve">Comentário correto</t>
  </si>
  <si>
    <t xml:space="preserve">Sim quando a observação é tecnicamente válida (legibilidade, manutenção) mas não identifica defeito funcional.</t>
  </si>
  <si>
    <t xml:space="preserve">Tipo de alucinação</t>
  </si>
  <si>
    <t xml:space="preserve">Preencha só quando Alucinação = Sim. Categorias iniciais na aba Listas; novos tipos (codificação aberta) podem ser acrescentados lá.</t>
  </si>
  <si>
    <t xml:space="preserve">Justificativa</t>
  </si>
  <si>
    <t xml:space="preserve">Toda decisão cita evidência: linha do código, requisito (ex.: RB03) ou teste.</t>
  </si>
  <si>
    <t xml:space="preserve">Defeito não encontrado</t>
  </si>
  <si>
    <t xml:space="preserve">Obtido automaticamente: defeito do gabarito sem apontamento com seu código na resposta. Só é calculado quando a data da execução está preenchida.</t>
  </si>
  <si>
    <t xml:space="preserve">Exemplo de preenchimento</t>
  </si>
  <si>
    <t xml:space="preserve">Apontamentos</t>
  </si>
  <si>
    <t xml:space="preserve">R014 | 2 | R014-02 | banco | defeituosa | Conta._validar_debito | “O saque do saldo total é recusado porque a comparação usa &gt;=; o RB03 permite sacar o saldo inteiro.”</t>
  </si>
  <si>
    <t xml:space="preserve">Avaliador</t>
  </si>
  <si>
    <t xml:space="preserve">Defeito: D01 | Falso alarme: Não | Alucinação: Não | Comentário correto: Não | Justificativa: linha 52 usa &gt;=; RB03; test_saque_de_todo_o_saldo</t>
  </si>
  <si>
    <t xml:space="preserve">Exemplo com alucinação</t>
  </si>
  <si>
    <t xml:space="preserve">Defeito: — | Falso alarme: Sim | Alucinação: Sim | Tipo: Inconsistência com a entrada | Justificativa: cita a função calcular_juros(), que não existe no código</t>
  </si>
  <si>
    <t xml:space="preserve">ID resposta</t>
  </si>
  <si>
    <t xml:space="preserve">Assistente</t>
  </si>
  <si>
    <t xml:space="preserve">Execução</t>
  </si>
  <si>
    <t xml:space="preserve">Ordem na rodada</t>
  </si>
  <si>
    <t xml:space="preserve">Programa</t>
  </si>
  <si>
    <t xml:space="preserve">Versão</t>
  </si>
  <si>
    <t xml:space="preserve">Arquivo de entrada</t>
  </si>
  <si>
    <t xml:space="preserve">Arquivo da resposta</t>
  </si>
  <si>
    <t xml:space="preserve">Data</t>
  </si>
  <si>
    <t xml:space="preserve">Modelo</t>
  </si>
  <si>
    <t xml:space="preserve">Interface</t>
  </si>
  <si>
    <t xml:space="preserve">Tipo de acesso</t>
  </si>
  <si>
    <t xml:space="preserve">Configurações</t>
  </si>
  <si>
    <t xml:space="preserve">Observações</t>
  </si>
  <si>
    <t xml:space="preserve">Nº de apontamentos</t>
  </si>
  <si>
    <t xml:space="preserve">Sem apontamentos</t>
  </si>
  <si>
    <t xml:space="preserve">R001</t>
  </si>
  <si>
    <t xml:space="preserve">Codex</t>
  </si>
  <si>
    <t xml:space="preserve">notas</t>
  </si>
  <si>
    <t xml:space="preserve">correta</t>
  </si>
  <si>
    <t xml:space="preserve">notas_B.txt</t>
  </si>
  <si>
    <t xml:space="preserve">respostas/R001.md</t>
  </si>
  <si>
    <t xml:space="preserve">R002</t>
  </si>
  <si>
    <t xml:space="preserve">reservas</t>
  </si>
  <si>
    <t xml:space="preserve">reservas_B.txt</t>
  </si>
  <si>
    <t xml:space="preserve">respostas/R002.md</t>
  </si>
  <si>
    <t xml:space="preserve">R003</t>
  </si>
  <si>
    <t xml:space="preserve">defeituosa</t>
  </si>
  <si>
    <t xml:space="preserve">notas_A.txt</t>
  </si>
  <si>
    <t xml:space="preserve">respostas/R003.md</t>
  </si>
  <si>
    <t xml:space="preserve">R004</t>
  </si>
  <si>
    <t xml:space="preserve">carrinho</t>
  </si>
  <si>
    <t xml:space="preserve">carrinho_A.txt</t>
  </si>
  <si>
    <t xml:space="preserve">respostas/R004.md</t>
  </si>
  <si>
    <t xml:space="preserve">R005</t>
  </si>
  <si>
    <t xml:space="preserve">reservas_A.txt</t>
  </si>
  <si>
    <t xml:space="preserve">respostas/R005.md</t>
  </si>
  <si>
    <t xml:space="preserve">R006</t>
  </si>
  <si>
    <t xml:space="preserve">banco</t>
  </si>
  <si>
    <t xml:space="preserve">banco_B.txt</t>
  </si>
  <si>
    <t xml:space="preserve">respostas/R006.md</t>
  </si>
  <si>
    <t xml:space="preserve">R007</t>
  </si>
  <si>
    <t xml:space="preserve">carrinho_B.txt</t>
  </si>
  <si>
    <t xml:space="preserve">respostas/R007.md</t>
  </si>
  <si>
    <t xml:space="preserve">R008</t>
  </si>
  <si>
    <t xml:space="preserve">banco_A.txt</t>
  </si>
  <si>
    <t xml:space="preserve">respostas/R008.md</t>
  </si>
  <si>
    <t xml:space="preserve">R009</t>
  </si>
  <si>
    <t xml:space="preserve">respostas/R009.md</t>
  </si>
  <si>
    <t xml:space="preserve">R010</t>
  </si>
  <si>
    <t xml:space="preserve">respostas/R010.md</t>
  </si>
  <si>
    <t xml:space="preserve">R011</t>
  </si>
  <si>
    <t xml:space="preserve">respostas/R011.md</t>
  </si>
  <si>
    <t xml:space="preserve">R012</t>
  </si>
  <si>
    <t xml:space="preserve">respostas/R012.md</t>
  </si>
  <si>
    <t xml:space="preserve">R013</t>
  </si>
  <si>
    <t xml:space="preserve">respostas/R013.md</t>
  </si>
  <si>
    <t xml:space="preserve">R014</t>
  </si>
  <si>
    <t xml:space="preserve">respostas/R014.md</t>
  </si>
  <si>
    <t xml:space="preserve">R015</t>
  </si>
  <si>
    <t xml:space="preserve">respostas/R015.md</t>
  </si>
  <si>
    <t xml:space="preserve">R016</t>
  </si>
  <si>
    <t xml:space="preserve">respostas/R016.md</t>
  </si>
  <si>
    <t xml:space="preserve">R017</t>
  </si>
  <si>
    <t xml:space="preserve">respostas/R017.md</t>
  </si>
  <si>
    <t xml:space="preserve">R018</t>
  </si>
  <si>
    <t xml:space="preserve">respostas/R018.md</t>
  </si>
  <si>
    <t xml:space="preserve">R019</t>
  </si>
  <si>
    <t xml:space="preserve">respostas/R019.md</t>
  </si>
  <si>
    <t xml:space="preserve">R020</t>
  </si>
  <si>
    <t xml:space="preserve">respostas/R020.md</t>
  </si>
  <si>
    <t xml:space="preserve">R021</t>
  </si>
  <si>
    <t xml:space="preserve">respostas/R021.md</t>
  </si>
  <si>
    <t xml:space="preserve">R022</t>
  </si>
  <si>
    <t xml:space="preserve">respostas/R022.md</t>
  </si>
  <si>
    <t xml:space="preserve">R023</t>
  </si>
  <si>
    <t xml:space="preserve">respostas/R023.md</t>
  </si>
  <si>
    <t xml:space="preserve">R024</t>
  </si>
  <si>
    <t xml:space="preserve">respostas/R024.md</t>
  </si>
  <si>
    <t xml:space="preserve">R025</t>
  </si>
  <si>
    <t xml:space="preserve">Claude</t>
  </si>
  <si>
    <t xml:space="preserve">respostas/R025.md</t>
  </si>
  <si>
    <t xml:space="preserve">R026</t>
  </si>
  <si>
    <t xml:space="preserve">respostas/R026.md</t>
  </si>
  <si>
    <t xml:space="preserve">R027</t>
  </si>
  <si>
    <t xml:space="preserve">respostas/R027.md</t>
  </si>
  <si>
    <t xml:space="preserve">R028</t>
  </si>
  <si>
    <t xml:space="preserve">respostas/R028.md</t>
  </si>
  <si>
    <t xml:space="preserve">R029</t>
  </si>
  <si>
    <t xml:space="preserve">respostas/R029.md</t>
  </si>
  <si>
    <t xml:space="preserve">R030</t>
  </si>
  <si>
    <t xml:space="preserve">respostas/R030.md</t>
  </si>
  <si>
    <t xml:space="preserve">R031</t>
  </si>
  <si>
    <t xml:space="preserve">respostas/R031.md</t>
  </si>
  <si>
    <t xml:space="preserve">R032</t>
  </si>
  <si>
    <t xml:space="preserve">respostas/R032.md</t>
  </si>
  <si>
    <t xml:space="preserve">R033</t>
  </si>
  <si>
    <t xml:space="preserve">respostas/R033.md</t>
  </si>
  <si>
    <t xml:space="preserve">R034</t>
  </si>
  <si>
    <t xml:space="preserve">respostas/R034.md</t>
  </si>
  <si>
    <t xml:space="preserve">R035</t>
  </si>
  <si>
    <t xml:space="preserve">respostas/R035.md</t>
  </si>
  <si>
    <t xml:space="preserve">R036</t>
  </si>
  <si>
    <t xml:space="preserve">respostas/R036.md</t>
  </si>
  <si>
    <t xml:space="preserve">R037</t>
  </si>
  <si>
    <t xml:space="preserve">respostas/R037.md</t>
  </si>
  <si>
    <t xml:space="preserve">R038</t>
  </si>
  <si>
    <t xml:space="preserve">respostas/R038.md</t>
  </si>
  <si>
    <t xml:space="preserve">R039</t>
  </si>
  <si>
    <t xml:space="preserve">respostas/R039.md</t>
  </si>
  <si>
    <t xml:space="preserve">R040</t>
  </si>
  <si>
    <t xml:space="preserve">respostas/R040.md</t>
  </si>
  <si>
    <t xml:space="preserve">R041</t>
  </si>
  <si>
    <t xml:space="preserve">respostas/R041.md</t>
  </si>
  <si>
    <t xml:space="preserve">R042</t>
  </si>
  <si>
    <t xml:space="preserve">respostas/R042.md</t>
  </si>
  <si>
    <t xml:space="preserve">R043</t>
  </si>
  <si>
    <t xml:space="preserve">respostas/R043.md</t>
  </si>
  <si>
    <t xml:space="preserve">R044</t>
  </si>
  <si>
    <t xml:space="preserve">respostas/R044.md</t>
  </si>
  <si>
    <t xml:space="preserve">R045</t>
  </si>
  <si>
    <t xml:space="preserve">respostas/R045.md</t>
  </si>
  <si>
    <t xml:space="preserve">R046</t>
  </si>
  <si>
    <t xml:space="preserve">respostas/R046.md</t>
  </si>
  <si>
    <t xml:space="preserve">R047</t>
  </si>
  <si>
    <t xml:space="preserve">respostas/R047.md</t>
  </si>
  <si>
    <t xml:space="preserve">R048</t>
  </si>
  <si>
    <t xml:space="preserve">respostas/R048.md</t>
  </si>
  <si>
    <t xml:space="preserve">R049</t>
  </si>
  <si>
    <t xml:space="preserve">Antigravity</t>
  </si>
  <si>
    <t xml:space="preserve">respostas/R049.md</t>
  </si>
  <si>
    <t xml:space="preserve">R050</t>
  </si>
  <si>
    <t xml:space="preserve">respostas/R050.md</t>
  </si>
  <si>
    <t xml:space="preserve">R051</t>
  </si>
  <si>
    <t xml:space="preserve">respostas/R051.md</t>
  </si>
  <si>
    <t xml:space="preserve">R052</t>
  </si>
  <si>
    <t xml:space="preserve">respostas/R052.md</t>
  </si>
  <si>
    <t xml:space="preserve">R053</t>
  </si>
  <si>
    <t xml:space="preserve">respostas/R053.md</t>
  </si>
  <si>
    <t xml:space="preserve">R054</t>
  </si>
  <si>
    <t xml:space="preserve">respostas/R054.md</t>
  </si>
  <si>
    <t xml:space="preserve">R055</t>
  </si>
  <si>
    <t xml:space="preserve">respostas/R055.md</t>
  </si>
  <si>
    <t xml:space="preserve">R056</t>
  </si>
  <si>
    <t xml:space="preserve">respostas/R056.md</t>
  </si>
  <si>
    <t xml:space="preserve">R057</t>
  </si>
  <si>
    <t xml:space="preserve">respostas/R057.md</t>
  </si>
  <si>
    <t xml:space="preserve">R058</t>
  </si>
  <si>
    <t xml:space="preserve">respostas/R058.md</t>
  </si>
  <si>
    <t xml:space="preserve">R059</t>
  </si>
  <si>
    <t xml:space="preserve">respostas/R059.md</t>
  </si>
  <si>
    <t xml:space="preserve">R060</t>
  </si>
  <si>
    <t xml:space="preserve">respostas/R060.md</t>
  </si>
  <si>
    <t xml:space="preserve">R061</t>
  </si>
  <si>
    <t xml:space="preserve">respostas/R061.md</t>
  </si>
  <si>
    <t xml:space="preserve">R062</t>
  </si>
  <si>
    <t xml:space="preserve">respostas/R062.md</t>
  </si>
  <si>
    <t xml:space="preserve">R063</t>
  </si>
  <si>
    <t xml:space="preserve">respostas/R063.md</t>
  </si>
  <si>
    <t xml:space="preserve">R064</t>
  </si>
  <si>
    <t xml:space="preserve">respostas/R064.md</t>
  </si>
  <si>
    <t xml:space="preserve">R065</t>
  </si>
  <si>
    <t xml:space="preserve">respostas/R065.md</t>
  </si>
  <si>
    <t xml:space="preserve">R066</t>
  </si>
  <si>
    <t xml:space="preserve">respostas/R066.md</t>
  </si>
  <si>
    <t xml:space="preserve">R067</t>
  </si>
  <si>
    <t xml:space="preserve">respostas/R067.md</t>
  </si>
  <si>
    <t xml:space="preserve">R068</t>
  </si>
  <si>
    <t xml:space="preserve">respostas/R068.md</t>
  </si>
  <si>
    <t xml:space="preserve">R069</t>
  </si>
  <si>
    <t xml:space="preserve">respostas/R069.md</t>
  </si>
  <si>
    <t xml:space="preserve">R070</t>
  </si>
  <si>
    <t xml:space="preserve">respostas/R070.md</t>
  </si>
  <si>
    <t xml:space="preserve">R071</t>
  </si>
  <si>
    <t xml:space="preserve">respostas/R071.md</t>
  </si>
  <si>
    <t xml:space="preserve">R072</t>
  </si>
  <si>
    <t xml:space="preserve">respostas/R072.md</t>
  </si>
  <si>
    <t xml:space="preserve">R073</t>
  </si>
  <si>
    <t xml:space="preserve">GitHub Copilot</t>
  </si>
  <si>
    <t xml:space="preserve">respostas/R073.md</t>
  </si>
  <si>
    <t xml:space="preserve">R074</t>
  </si>
  <si>
    <t xml:space="preserve">respostas/R074.md</t>
  </si>
  <si>
    <t xml:space="preserve">R075</t>
  </si>
  <si>
    <t xml:space="preserve">respostas/R075.md</t>
  </si>
  <si>
    <t xml:space="preserve">R076</t>
  </si>
  <si>
    <t xml:space="preserve">respostas/R076.md</t>
  </si>
  <si>
    <t xml:space="preserve">R077</t>
  </si>
  <si>
    <t xml:space="preserve">respostas/R077.md</t>
  </si>
  <si>
    <t xml:space="preserve">R078</t>
  </si>
  <si>
    <t xml:space="preserve">respostas/R078.md</t>
  </si>
  <si>
    <t xml:space="preserve">R079</t>
  </si>
  <si>
    <t xml:space="preserve">respostas/R079.md</t>
  </si>
  <si>
    <t xml:space="preserve">R080</t>
  </si>
  <si>
    <t xml:space="preserve">respostas/R080.md</t>
  </si>
  <si>
    <t xml:space="preserve">R081</t>
  </si>
  <si>
    <t xml:space="preserve">respostas/R081.md</t>
  </si>
  <si>
    <t xml:space="preserve">R082</t>
  </si>
  <si>
    <t xml:space="preserve">respostas/R082.md</t>
  </si>
  <si>
    <t xml:space="preserve">R083</t>
  </si>
  <si>
    <t xml:space="preserve">respostas/R083.md</t>
  </si>
  <si>
    <t xml:space="preserve">R084</t>
  </si>
  <si>
    <t xml:space="preserve">respostas/R084.md</t>
  </si>
  <si>
    <t xml:space="preserve">R085</t>
  </si>
  <si>
    <t xml:space="preserve">respostas/R085.md</t>
  </si>
  <si>
    <t xml:space="preserve">R086</t>
  </si>
  <si>
    <t xml:space="preserve">respostas/R086.md</t>
  </si>
  <si>
    <t xml:space="preserve">R087</t>
  </si>
  <si>
    <t xml:space="preserve">respostas/R087.md</t>
  </si>
  <si>
    <t xml:space="preserve">R088</t>
  </si>
  <si>
    <t xml:space="preserve">respostas/R088.md</t>
  </si>
  <si>
    <t xml:space="preserve">R089</t>
  </si>
  <si>
    <t xml:space="preserve">respostas/R089.md</t>
  </si>
  <si>
    <t xml:space="preserve">R090</t>
  </si>
  <si>
    <t xml:space="preserve">respostas/R090.md</t>
  </si>
  <si>
    <t xml:space="preserve">R091</t>
  </si>
  <si>
    <t xml:space="preserve">respostas/R091.md</t>
  </si>
  <si>
    <t xml:space="preserve">R092</t>
  </si>
  <si>
    <t xml:space="preserve">respostas/R092.md</t>
  </si>
  <si>
    <t xml:space="preserve">R093</t>
  </si>
  <si>
    <t xml:space="preserve">respostas/R093.md</t>
  </si>
  <si>
    <t xml:space="preserve">R094</t>
  </si>
  <si>
    <t xml:space="preserve">respostas/R094.md</t>
  </si>
  <si>
    <t xml:space="preserve">R095</t>
  </si>
  <si>
    <t xml:space="preserve">respostas/R095.md</t>
  </si>
  <si>
    <t xml:space="preserve">R096</t>
  </si>
  <si>
    <t xml:space="preserve">respostas/R096.md</t>
  </si>
  <si>
    <t xml:space="preserve">Nº do apontamento</t>
  </si>
  <si>
    <t xml:space="preserve">ID apontamento</t>
  </si>
  <si>
    <t xml:space="preserve">Localização indicada pelo assistente</t>
  </si>
  <si>
    <t xml:space="preserve">Apontamento (resumo fiel do que o assistente afirmou)</t>
  </si>
  <si>
    <t xml:space="preserve">Localização</t>
  </si>
  <si>
    <t xml:space="preserve">Apontamento</t>
  </si>
  <si>
    <t xml:space="preserve">Defeito do gabarito (Dxx ou —)</t>
  </si>
  <si>
    <t xml:space="preserve">Justificativa / evidência (linha, requisito ou teste)</t>
  </si>
  <si>
    <t xml:space="preserve">Exec.</t>
  </si>
  <si>
    <t xml:space="preserve">Divergência entre avaliadores</t>
  </si>
  <si>
    <t xml:space="preserve">Decidido pelo 3º avaliador</t>
  </si>
  <si>
    <t xml:space="preserve">Resultado da verificação</t>
  </si>
  <si>
    <t xml:space="preserve">Categoria</t>
  </si>
  <si>
    <t xml:space="preserve">Encontrado</t>
  </si>
  <si>
    <t xml:space="preserve">Não encontrado</t>
  </si>
  <si>
    <t xml:space="preserve">D01</t>
  </si>
  <si>
    <t xml:space="preserve">Valor-limite</t>
  </si>
  <si>
    <t xml:space="preserve">D02</t>
  </si>
  <si>
    <t xml:space="preserve">Cálculo</t>
  </si>
  <si>
    <t xml:space="preserve">D03</t>
  </si>
  <si>
    <t xml:space="preserve">Atualização de dados</t>
  </si>
  <si>
    <t xml:space="preserve">D04</t>
  </si>
  <si>
    <t xml:space="preserve">Condição</t>
  </si>
  <si>
    <t xml:space="preserve">D05</t>
  </si>
  <si>
    <t xml:space="preserve">Validação de entrada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</si>
  <si>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</si>
  <si>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</si>
  <si>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</si>
  <si>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</si>
  <si>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</si>
  <si>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</si>
  <si>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</si>
  <si>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Métricas por assistente (Seção 4.8)</t>
  </si>
  <si>
    <t xml:space="preserve">Tudo é calculado a partir das abas Consenso e Defeitos não encontrados. Não digite nesta aba.</t>
  </si>
  <si>
    <t xml:space="preserve">1. Visão geral</t>
  </si>
  <si>
    <t xml:space="preserve">Respostas registradas</t>
  </si>
  <si>
    <t xml:space="preserve">Execuções sem apontamentos</t>
  </si>
  <si>
    <t xml:space="preserve">Apontamentos analisados</t>
  </si>
  <si>
    <t xml:space="preserve">Defeitos semeados avaliados</t>
  </si>
  <si>
    <t xml:space="preserve">Defeitos encontrados</t>
  </si>
  <si>
    <t xml:space="preserve">Revocação</t>
  </si>
  <si>
    <t xml:space="preserve">Apontamentos de defeito</t>
  </si>
  <si>
    <t xml:space="preserve">Falsos alarmes</t>
  </si>
  <si>
    <t xml:space="preserve">Proporção de falsos alarmes</t>
  </si>
  <si>
    <t xml:space="preserve">Apontamentos alucinados</t>
  </si>
  <si>
    <t xml:space="preserve">Proporção de alucinados</t>
  </si>
  <si>
    <t xml:space="preserve">Alucinados em defeito encontrado</t>
  </si>
  <si>
    <t xml:space="preserve">Alucinados em falso alarme</t>
  </si>
  <si>
    <t xml:space="preserve">Alucinados sem defeito apontado</t>
  </si>
  <si>
    <t xml:space="preserve">Comentários corretos</t>
  </si>
  <si>
    <t xml:space="preserve">Total</t>
  </si>
  <si>
    <t xml:space="preserve">Revocação = defeitos encontrados ÷ defeitos semeados avaliados (12 por execução nas versões defeituosas). Proporção de falsos alarmes = falsos alarmes ÷ apontamentos de defeito (defeito encontrado + falso alarme). Proporção de alucinados = alucinados ÷ todos os apontamentos. O apontamento que indica defeito é tratado como positivo.</t>
  </si>
  <si>
    <t xml:space="preserve">2. Por versão do programa</t>
  </si>
  <si>
    <t xml:space="preserve">Apontamentos (correta)</t>
  </si>
  <si>
    <t xml:space="preserve">Falsos alarmes (correta)</t>
  </si>
  <si>
    <t xml:space="preserve">Alucinados (correta)</t>
  </si>
  <si>
    <t xml:space="preserve">% alucinados (correta)</t>
  </si>
  <si>
    <t xml:space="preserve">Apontamentos (defeituosa)</t>
  </si>
  <si>
    <t xml:space="preserve">Falsos alarmes (defeituosa)</t>
  </si>
  <si>
    <t xml:space="preserve">Alucinados (defeituosa)</t>
  </si>
  <si>
    <t xml:space="preserve">% alucinados (defeituosa)</t>
  </si>
  <si>
    <t xml:space="preserve">Na versão correta, todo apontamento de defeito é falso alarme.</t>
  </si>
  <si>
    <t xml:space="preserve">3. Variação entre as três execuções</t>
  </si>
  <si>
    <t xml:space="preserve">Revocação exec. 1</t>
  </si>
  <si>
    <t xml:space="preserve">Revocação exec. 2</t>
  </si>
  <si>
    <t xml:space="preserve">Revocação exec. 3</t>
  </si>
  <si>
    <t xml:space="preserve">Falsos alarmes exec. 1</t>
  </si>
  <si>
    <t xml:space="preserve">Falsos alarmes exec. 2</t>
  </si>
  <si>
    <t xml:space="preserve">Falsos alarmes exec. 3</t>
  </si>
  <si>
    <t xml:space="preserve">Alucinados exec. 1</t>
  </si>
  <si>
    <t xml:space="preserve">Alucinados exec. 2</t>
  </si>
  <si>
    <t xml:space="preserve">Alucinados exec. 3</t>
  </si>
  <si>
    <t xml:space="preserve">4. Revocação e falsos alarmes por programa</t>
  </si>
  <si>
    <t xml:space="preserve">Revocação banco</t>
  </si>
  <si>
    <t xml:space="preserve">Revocação carrinho</t>
  </si>
  <si>
    <t xml:space="preserve">Revocação reservas</t>
  </si>
  <si>
    <t xml:space="preserve">Revocação notas</t>
  </si>
  <si>
    <t xml:space="preserve">Falsos alarmes banco</t>
  </si>
  <si>
    <t xml:space="preserve">Falsos alarmes carrinho</t>
  </si>
  <si>
    <t xml:space="preserve">Falsos alarmes reservas</t>
  </si>
  <si>
    <t xml:space="preserve">Falsos alarmes notas</t>
  </si>
  <si>
    <t xml:space="preserve">5. Execuções em que cada defeito foi encontrado (de 3)</t>
  </si>
  <si>
    <t xml:space="preserve">Total (de 12)</t>
  </si>
  <si>
    <t xml:space="preserve">6. Tipos de alucinação (apontamentos alucinados)</t>
  </si>
  <si>
    <t xml:space="preserve">Tipo</t>
  </si>
  <si>
    <t xml:space="preserve">Sem tipo atribuído</t>
  </si>
  <si>
    <t xml:space="preserve">Concordância inicial entre os avaliadores (Kappa de Cohen, Seção 4.6)</t>
  </si>
  <si>
    <t xml:space="preserve">Compara as abas Avaliador 1 e Avaliador 2 antes do consenso. Considera só os apontamentos classificados pelos dois.</t>
  </si>
  <si>
    <t xml:space="preserve">Dimensão</t>
  </si>
  <si>
    <t xml:space="preserve">n</t>
  </si>
  <si>
    <t xml:space="preserve">Ambos Sim</t>
  </si>
  <si>
    <t xml:space="preserve">A1 Sim / A2 Não</t>
  </si>
  <si>
    <t xml:space="preserve">A1 Não / A2 Sim</t>
  </si>
  <si>
    <t xml:space="preserve">Ambos Não</t>
  </si>
  <si>
    <t xml:space="preserve">Concordância observada</t>
  </si>
  <si>
    <t xml:space="preserve">Concordância esperada</t>
  </si>
  <si>
    <t xml:space="preserve">Kappa</t>
  </si>
  <si>
    <t xml:space="preserve">Interpretação</t>
  </si>
  <si>
    <t xml:space="preserve">Identificou defeito do gabarito</t>
  </si>
  <si>
    <t xml:space="preserve">Mesmo código de defeito (Dxx ou —)</t>
  </si>
  <si>
    <t xml:space="preserve">Interpretação segundo Landis e Koch (1977). Se uma dimensão tiver só uma categoria nos dois avaliadores, o Kappa fica indefinido e a célula aparece vazia.</t>
  </si>
  <si>
    <t xml:space="preserve">Código</t>
  </si>
  <si>
    <t xml:space="preserve">Requisito</t>
  </si>
  <si>
    <t xml:space="preserve">Comportamento esperado</t>
  </si>
  <si>
    <t xml:space="preserve">Comportamento observado</t>
  </si>
  <si>
    <t xml:space="preserve">Teste que demonstra</t>
  </si>
  <si>
    <t xml:space="preserve">RB03</t>
  </si>
  <si>
    <t xml:space="preserve">banco.py, Conta._validar_debito</t>
  </si>
  <si>
    <t xml:space="preserve">Saque (ou transferência) de valor igual ao saldo é aceito e deixa o saldo em zero.</t>
  </si>
  <si>
    <t xml:space="preserve">Saque de valor igual ao saldo lança SaldoInsuficienteError.</t>
  </si>
  <si>
    <t xml:space="preserve">test_saque_de_todo_o_saldo</t>
  </si>
  <si>
    <t xml:space="preserve">RB07</t>
  </si>
  <si>
    <t xml:space="preserve">banco.py, Conta.aplicar_rendimento</t>
  </si>
  <si>
    <t xml:space="preserve">Saldo 1000 com taxa 1% rende 10,00 (saldo final 1010,00).</t>
  </si>
  <si>
    <t xml:space="preserve">Rende 100,00 (saldo final 1100,00): o percentual é dividido por 10 em vez de 100.</t>
  </si>
  <si>
    <t xml:space="preserve">test_rendimento</t>
  </si>
  <si>
    <t xml:space="preserve">RB04, RB06</t>
  </si>
  <si>
    <t xml:space="preserve">banco.py, Conta.transferir</t>
  </si>
  <si>
    <t xml:space="preserve">A transferência enviada é somada ao total debitado no dia; após transferir 800, um saque de 300 lança LimiteDiarioError.</t>
  </si>
  <si>
    <t xml:space="preserve">Transferências não atualizam sacado_hoje; o saque de 300 é aceito e o limite diário pode ser ultrapassado.</t>
  </si>
  <si>
    <t xml:space="preserve">test_transferencia_conta_no_limite_diario, test_transferencia</t>
  </si>
  <si>
    <t xml:space="preserve">RC04</t>
  </si>
  <si>
    <t xml:space="preserve">carrinho.py, Carrinho.adicionar</t>
  </si>
  <si>
    <t xml:space="preserve">Com estoque 3 e 2 unidades no carrinho, adicionar mais 2 lança EstoqueInsuficienteError.</t>
  </si>
  <si>
    <t xml:space="preserve">A verificação ignora a quantidade já no carrinho; o item fica com 4 unidades, acima do estoque.</t>
  </si>
  <si>
    <t xml:space="preserve">test_estoque_considera_quantidade_ja_no_carrinho</t>
  </si>
  <si>
    <t xml:space="preserve">RC03</t>
  </si>
  <si>
    <t xml:space="preserve">adicionar(codigo, 0) lança ValueError e o carrinho não é alterado.</t>
  </si>
  <si>
    <t xml:space="preserve">Quantidade 0 é aceita e o produto entra no carrinho com quantidade 0.</t>
  </si>
  <si>
    <t xml:space="preserve">test_adicionar_quantidade_invalida[0]</t>
  </si>
  <si>
    <t xml:space="preserve">RC10</t>
  </si>
  <si>
    <t xml:space="preserve">carrinho.py, Carrinho.total</t>
  </si>
  <si>
    <t xml:space="preserve">Subtotal 600 (10%) com DESC20: 600 × 0,9 − 20 = 520,00.</t>
  </si>
  <si>
    <t xml:space="preserve">O cupom é abatido antes do percentual: (600 − 20) × 0,9 = 522,00.</t>
  </si>
  <si>
    <t xml:space="preserve">test_cupom_desc20_apos_desconto_progressivo</t>
  </si>
  <si>
    <t xml:space="preserve">RR04</t>
  </si>
  <si>
    <t xml:space="preserve">reservas.py, SistemaReservas._conflita</t>
  </si>
  <si>
    <t xml:space="preserve">Reserva 12–14 é aceita quando já existe 10–12 na mesma sala e data.</t>
  </si>
  <si>
    <t xml:space="preserve">Reservas encostadas são tratadas como sobrepostas e lançam ConflitoDeHorarioError.</t>
  </si>
  <si>
    <t xml:space="preserve">test_reservas_encostadas_nao_conflitam</t>
  </si>
  <si>
    <t xml:space="preserve">RR03</t>
  </si>
  <si>
    <t xml:space="preserve">reservas.py, SistemaReservas._validar</t>
  </si>
  <si>
    <t xml:space="preserve">Reserva com 7 participantes na sala de capacidade 6 lança ReservaInvalidaError.</t>
  </si>
  <si>
    <t xml:space="preserve">A capacidade da sala não é verificada; a reserva é criada.</t>
  </si>
  <si>
    <t xml:space="preserve">test_participantes_acima_da_capacidade</t>
  </si>
  <si>
    <t xml:space="preserve">RR04, RR05</t>
  </si>
  <si>
    <t xml:space="preserve">Após cancelar a reserva 10–12, uma nova reserva 10–12 na mesma sala e data é aceita.</t>
  </si>
  <si>
    <t xml:space="preserve">Reservas canceladas continuam bloqueando o horário (ConflitoDeHorarioError), embora horarios_livres o mostre livre.</t>
  </si>
  <si>
    <t xml:space="preserve">test_cancelar_libera_horario</t>
  </si>
  <si>
    <t xml:space="preserve">RN05</t>
  </si>
  <si>
    <t xml:space="preserve">notas.py, constante PESOS (usada em Turma.media)</t>
  </si>
  <si>
    <t xml:space="preserve">P1=0, P2=10, T=0 resulta em média 3,5; P1=0, P2=0, T=10 resulta em 3,0.</t>
  </si>
  <si>
    <t xml:space="preserve">Os pesos de P2 e T estão trocados: as médias resultam 3,0 e 3,5.</t>
  </si>
  <si>
    <t xml:space="preserve">test_media_pesos_das_provas, test_media_peso_do_trabalho, test_media_avaliacao_faltante_conta_zero</t>
  </si>
  <si>
    <t xml:space="preserve">RN03, RN07</t>
  </si>
  <si>
    <t xml:space="preserve">notas.py, Turma._validar_nota</t>
  </si>
  <si>
    <t xml:space="preserve">Nota 10,5 (ou 11) lança NotaInvalidaError, também no exame.</t>
  </si>
  <si>
    <t xml:space="preserve">Notas acima de 10 são aceitas.</t>
  </si>
  <si>
    <t xml:space="preserve">test_nota_fora_do_intervalo[10.5], test_nota_fora_do_intervalo[11]</t>
  </si>
  <si>
    <t xml:space="preserve">RN06</t>
  </si>
  <si>
    <t xml:space="preserve">notas.py, Turma.situacao</t>
  </si>
  <si>
    <t xml:space="preserve">Aluno com frequência exatamente 75% e média 8 está "Aprovado".</t>
  </si>
  <si>
    <t xml:space="preserve">Frequência de exatamente 75% resulta em "Reprovado por frequência".</t>
  </si>
  <si>
    <t xml:space="preserve">test_frequencia_exatamente_75_nao_reprova</t>
  </si>
  <si>
    <t xml:space="preserve">Sim/Não</t>
  </si>
  <si>
    <t xml:space="preserve">—</t>
  </si>
  <si>
    <t xml:space="preserve">Sim</t>
  </si>
  <si>
    <t xml:space="preserve">Inconsistência com a entrada</t>
  </si>
  <si>
    <t xml:space="preserve">Novos tipos criados por codificação aberta: escreva-os nas células amarelas vazias da coluna C. Eles passam a aparecer na lista e nas métricas.</t>
  </si>
  <si>
    <t xml:space="preserve">Não</t>
  </si>
  <si>
    <t xml:space="preserve">Inconsistência lógica</t>
  </si>
  <si>
    <t xml:space="preserve">Desvio de intenção</t>
  </si>
  <si>
    <t xml:space="preserve">Conhecimento (API/biblioteca)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</si>
</sst>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%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7F600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32.8" hidden="false" customHeight="false" outlineLevel="0" collapsed="false">
      <c r="A2" s="3" t="s">
        <v>1</v>
      </c>
      <c r="B2" s="2"/>
    </row>
    <row r="4" customFormat="false" ht="15" hidden="false" customHeight="false" outlineLevel="0" collapsed="false">
      <c r="A4" s="4" t="s">
        <v>2</v>
      </c>
      <c r="B4" s="2"/>
    </row>
    <row r="5" customFormat="false" ht="15" hidden="false" customHeight="false" outlineLevel="0" collapsed="false">
      <c r="A5" s="5" t="s">
        <v>3</v>
      </c>
      <c r="B5" s="2" t="s">
        <v>4</v>
      </c>
    </row>
    <row r="6" customFormat="false" ht="15" hidden="false" customHeight="false" outlineLevel="0" collapsed="false">
      <c r="A6" s="6" t="s">
        <v>5</v>
      </c>
      <c r="B6" s="2" t="s">
        <v>6</v>
      </c>
    </row>
    <row r="8" customFormat="false" ht="15" hidden="false" customHeight="false" outlineLevel="0" collapsed="false">
      <c r="A8" s="4" t="s">
        <v>7</v>
      </c>
      <c r="B8" s="2"/>
    </row>
    <row r="9" customFormat="false" ht="23.85" hidden="false" customHeight="false" outlineLevel="0" collapsed="false">
      <c r="A9" s="7" t="s">
        <v>8</v>
      </c>
      <c r="B9" s="2" t="s">
        <v>9</v>
      </c>
    </row>
    <row r="10" customFormat="false" ht="35.05" hidden="false" customHeight="false" outlineLevel="0" collapsed="false">
      <c r="A10" s="7" t="s">
        <v>10</v>
      </c>
      <c r="B10" s="2" t="s">
        <v>11</v>
      </c>
    </row>
    <row r="11" customFormat="false" ht="35.05" hidden="false" customHeight="false" outlineLevel="0" collapsed="false">
      <c r="A11" s="7" t="s">
        <v>12</v>
      </c>
      <c r="B11" s="2" t="s">
        <v>13</v>
      </c>
    </row>
    <row r="12" customFormat="false" ht="35.05" hidden="false" customHeight="false" outlineLevel="0" collapsed="false">
      <c r="A12" s="7" t="s">
        <v>14</v>
      </c>
      <c r="B12" s="2" t="s">
        <v>15</v>
      </c>
    </row>
    <row r="13" customFormat="false" ht="15" hidden="false" customHeight="false" outlineLevel="0" collapsed="false">
      <c r="A13" s="7" t="s">
        <v>16</v>
      </c>
      <c r="B13" s="2" t="s">
        <v>17</v>
      </c>
    </row>
    <row r="15" customFormat="false" ht="15" hidden="false" customHeight="false" outlineLevel="0" collapsed="false">
      <c r="A15" s="4" t="s">
        <v>18</v>
      </c>
      <c r="B15" s="2"/>
    </row>
    <row r="16" customFormat="false" ht="35.05" hidden="false" customHeight="false" outlineLevel="0" collapsed="false">
      <c r="A16" s="7" t="s">
        <v>19</v>
      </c>
      <c r="B16" s="2" t="s">
        <v>20</v>
      </c>
    </row>
    <row r="17" customFormat="false" ht="35.05" hidden="false" customHeight="false" outlineLevel="0" collapsed="false">
      <c r="A17" s="7" t="s">
        <v>21</v>
      </c>
      <c r="B17" s="2" t="s">
        <v>22</v>
      </c>
    </row>
    <row r="18" customFormat="false" ht="23.85" hidden="false" customHeight="false" outlineLevel="0" collapsed="false">
      <c r="A18" s="7" t="s">
        <v>23</v>
      </c>
      <c r="B18" s="2" t="s">
        <v>24</v>
      </c>
    </row>
    <row r="19" customFormat="false" ht="15" hidden="false" customHeight="false" outlineLevel="0" collapsed="false">
      <c r="A19" s="7" t="s">
        <v>25</v>
      </c>
      <c r="B19" s="2" t="s">
        <v>26</v>
      </c>
    </row>
    <row r="20" customFormat="false" ht="23.85" hidden="false" customHeight="false" outlineLevel="0" collapsed="false">
      <c r="A20" s="7" t="s">
        <v>27</v>
      </c>
      <c r="B20" s="2" t="s">
        <v>28</v>
      </c>
    </row>
    <row r="21" customFormat="false" ht="15" hidden="false" customHeight="false" outlineLevel="0" collapsed="false">
      <c r="A21" s="7" t="s">
        <v>29</v>
      </c>
      <c r="B21" s="2" t="s">
        <v>30</v>
      </c>
    </row>
    <row r="22" customFormat="false" ht="23.85" hidden="false" customHeight="false" outlineLevel="0" collapsed="false">
      <c r="A22" s="7" t="s">
        <v>31</v>
      </c>
      <c r="B22" s="2" t="s">
        <v>32</v>
      </c>
    </row>
    <row r="24" customFormat="false" ht="26.85" hidden="false" customHeight="false" outlineLevel="0" collapsed="false">
      <c r="A24" s="4" t="s">
        <v>33</v>
      </c>
      <c r="B24" s="2"/>
    </row>
    <row r="25" customFormat="false" ht="23.85" hidden="false" customHeight="false" outlineLevel="0" collapsed="false">
      <c r="A25" s="7" t="s">
        <v>34</v>
      </c>
      <c r="B25" s="2" t="s">
        <v>35</v>
      </c>
    </row>
    <row r="26" customFormat="false" ht="23.85" hidden="false" customHeight="false" outlineLevel="0" collapsed="false">
      <c r="A26" s="7" t="s">
        <v>36</v>
      </c>
      <c r="B26" s="2" t="s">
        <v>37</v>
      </c>
    </row>
    <row r="27" customFormat="false" ht="23.85" hidden="false" customHeight="false" outlineLevel="0" collapsed="false">
      <c r="A27" s="7" t="s">
        <v>38</v>
      </c>
      <c r="B27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24"/>
    <col collapsed="false" customWidth="true" hidden="false" outlineLevel="0" max="16" min="15" style="0" width="12"/>
  </cols>
  <sheetData>
    <row r="1" customFormat="false" ht="36" hidden="false" customHeight="true" outlineLevel="0" collapsed="false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8" t="s">
        <v>54</v>
      </c>
      <c r="P1" s="8" t="s">
        <v>55</v>
      </c>
    </row>
    <row r="2" customFormat="false" ht="15" hidden="false" customHeight="false" outlineLevel="0" collapsed="false">
      <c r="A2" s="10" t="s">
        <v>56</v>
      </c>
      <c r="B2" s="10" t="s">
        <v>57</v>
      </c>
      <c r="C2" s="11" t="n">
        <v>1</v>
      </c>
      <c r="D2" s="11" t="n">
        <v>1</v>
      </c>
      <c r="E2" s="10" t="s">
        <v>58</v>
      </c>
      <c r="F2" s="10" t="s">
        <v>59</v>
      </c>
      <c r="G2" s="10" t="s">
        <v>60</v>
      </c>
      <c r="H2" s="10" t="s">
        <v>61</v>
      </c>
      <c r="I2" s="12"/>
      <c r="J2" s="13"/>
      <c r="K2" s="13"/>
      <c r="L2" s="13"/>
      <c r="M2" s="13"/>
      <c r="N2" s="13"/>
      <c r="O2" s="11" t="n">
        <f aca="false">COUNTIF(Apontamentos!$A$2:$A$601,A2)</f>
        <v>0</v>
      </c>
      <c r="P2" s="11" t="str">
        <f aca="false">IF(I2="","",IF(O2=0,"Sim","Não"))</f>
        <v/>
      </c>
    </row>
    <row r="3" customFormat="false" ht="15" hidden="false" customHeight="false" outlineLevel="0" collapsed="false">
      <c r="A3" s="10" t="s">
        <v>62</v>
      </c>
      <c r="B3" s="10" t="s">
        <v>57</v>
      </c>
      <c r="C3" s="11" t="n">
        <v>1</v>
      </c>
      <c r="D3" s="11" t="n">
        <v>2</v>
      </c>
      <c r="E3" s="10" t="s">
        <v>63</v>
      </c>
      <c r="F3" s="10" t="s">
        <v>59</v>
      </c>
      <c r="G3" s="10" t="s">
        <v>64</v>
      </c>
      <c r="H3" s="10" t="s">
        <v>65</v>
      </c>
      <c r="I3" s="12"/>
      <c r="J3" s="13"/>
      <c r="K3" s="13"/>
      <c r="L3" s="13"/>
      <c r="M3" s="13"/>
      <c r="N3" s="13"/>
      <c r="O3" s="11" t="n">
        <f aca="false">COUNTIF(Apontamentos!$A$2:$A$601,A3)</f>
        <v>0</v>
      </c>
      <c r="P3" s="11" t="str">
        <f aca="false">IF(I3="","",IF(O3=0,"Sim","Não"))</f>
        <v/>
      </c>
    </row>
    <row r="4" customFormat="false" ht="15" hidden="false" customHeight="false" outlineLevel="0" collapsed="false">
      <c r="A4" s="10" t="s">
        <v>66</v>
      </c>
      <c r="B4" s="10" t="s">
        <v>57</v>
      </c>
      <c r="C4" s="11" t="n">
        <v>1</v>
      </c>
      <c r="D4" s="11" t="n">
        <v>3</v>
      </c>
      <c r="E4" s="10" t="s">
        <v>58</v>
      </c>
      <c r="F4" s="10" t="s">
        <v>67</v>
      </c>
      <c r="G4" s="10" t="s">
        <v>68</v>
      </c>
      <c r="H4" s="10" t="s">
        <v>69</v>
      </c>
      <c r="I4" s="12"/>
      <c r="J4" s="13"/>
      <c r="K4" s="13"/>
      <c r="L4" s="13"/>
      <c r="M4" s="13"/>
      <c r="N4" s="13"/>
      <c r="O4" s="11" t="n">
        <f aca="false">COUNTIF(Apontamentos!$A$2:$A$601,A4)</f>
        <v>0</v>
      </c>
      <c r="P4" s="11" t="str">
        <f aca="false">IF(I4="","",IF(O4=0,"Sim","Não"))</f>
        <v/>
      </c>
    </row>
    <row r="5" customFormat="false" ht="15" hidden="false" customHeight="false" outlineLevel="0" collapsed="false">
      <c r="A5" s="10" t="s">
        <v>70</v>
      </c>
      <c r="B5" s="10" t="s">
        <v>57</v>
      </c>
      <c r="C5" s="11" t="n">
        <v>1</v>
      </c>
      <c r="D5" s="11" t="n">
        <v>4</v>
      </c>
      <c r="E5" s="10" t="s">
        <v>71</v>
      </c>
      <c r="F5" s="10" t="s">
        <v>59</v>
      </c>
      <c r="G5" s="10" t="s">
        <v>72</v>
      </c>
      <c r="H5" s="10" t="s">
        <v>73</v>
      </c>
      <c r="I5" s="12"/>
      <c r="J5" s="13"/>
      <c r="K5" s="13"/>
      <c r="L5" s="13"/>
      <c r="M5" s="13"/>
      <c r="N5" s="13"/>
      <c r="O5" s="11" t="n">
        <f aca="false">COUNTIF(Apontamentos!$A$2:$A$601,A5)</f>
        <v>0</v>
      </c>
      <c r="P5" s="11" t="str">
        <f aca="false">IF(I5="","",IF(O5=0,"Sim","Não"))</f>
        <v/>
      </c>
    </row>
    <row r="6" customFormat="false" ht="15" hidden="false" customHeight="false" outlineLevel="0" collapsed="false">
      <c r="A6" s="10" t="s">
        <v>74</v>
      </c>
      <c r="B6" s="10" t="s">
        <v>57</v>
      </c>
      <c r="C6" s="11" t="n">
        <v>1</v>
      </c>
      <c r="D6" s="11" t="n">
        <v>5</v>
      </c>
      <c r="E6" s="10" t="s">
        <v>63</v>
      </c>
      <c r="F6" s="10" t="s">
        <v>67</v>
      </c>
      <c r="G6" s="10" t="s">
        <v>75</v>
      </c>
      <c r="H6" s="10" t="s">
        <v>76</v>
      </c>
      <c r="I6" s="12"/>
      <c r="J6" s="13"/>
      <c r="K6" s="13"/>
      <c r="L6" s="13"/>
      <c r="M6" s="13"/>
      <c r="N6" s="13"/>
      <c r="O6" s="11" t="n">
        <f aca="false">COUNTIF(Apontamentos!$A$2:$A$601,A6)</f>
        <v>0</v>
      </c>
      <c r="P6" s="11" t="str">
        <f aca="false">IF(I6="","",IF(O6=0,"Sim","Não"))</f>
        <v/>
      </c>
    </row>
    <row r="7" customFormat="false" ht="15" hidden="false" customHeight="false" outlineLevel="0" collapsed="false">
      <c r="A7" s="10" t="s">
        <v>77</v>
      </c>
      <c r="B7" s="10" t="s">
        <v>57</v>
      </c>
      <c r="C7" s="11" t="n">
        <v>1</v>
      </c>
      <c r="D7" s="11" t="n">
        <v>6</v>
      </c>
      <c r="E7" s="10" t="s">
        <v>78</v>
      </c>
      <c r="F7" s="10" t="s">
        <v>59</v>
      </c>
      <c r="G7" s="10" t="s">
        <v>79</v>
      </c>
      <c r="H7" s="10" t="s">
        <v>80</v>
      </c>
      <c r="I7" s="12"/>
      <c r="J7" s="13"/>
      <c r="K7" s="13"/>
      <c r="L7" s="13"/>
      <c r="M7" s="13"/>
      <c r="N7" s="13"/>
      <c r="O7" s="11" t="n">
        <f aca="false">COUNTIF(Apontamentos!$A$2:$A$601,A7)</f>
        <v>0</v>
      </c>
      <c r="P7" s="11" t="str">
        <f aca="false">IF(I7="","",IF(O7=0,"Sim","Não"))</f>
        <v/>
      </c>
    </row>
    <row r="8" customFormat="false" ht="15" hidden="false" customHeight="false" outlineLevel="0" collapsed="false">
      <c r="A8" s="10" t="s">
        <v>81</v>
      </c>
      <c r="B8" s="10" t="s">
        <v>57</v>
      </c>
      <c r="C8" s="11" t="n">
        <v>1</v>
      </c>
      <c r="D8" s="11" t="n">
        <v>7</v>
      </c>
      <c r="E8" s="10" t="s">
        <v>71</v>
      </c>
      <c r="F8" s="10" t="s">
        <v>67</v>
      </c>
      <c r="G8" s="10" t="s">
        <v>82</v>
      </c>
      <c r="H8" s="10" t="s">
        <v>83</v>
      </c>
      <c r="I8" s="12"/>
      <c r="J8" s="13"/>
      <c r="K8" s="13"/>
      <c r="L8" s="13"/>
      <c r="M8" s="13"/>
      <c r="N8" s="13"/>
      <c r="O8" s="11" t="n">
        <f aca="false">COUNTIF(Apontamentos!$A$2:$A$601,A8)</f>
        <v>0</v>
      </c>
      <c r="P8" s="11" t="str">
        <f aca="false">IF(I8="","",IF(O8=0,"Sim","Não"))</f>
        <v/>
      </c>
    </row>
    <row r="9" customFormat="false" ht="15" hidden="false" customHeight="false" outlineLevel="0" collapsed="false">
      <c r="A9" s="10" t="s">
        <v>84</v>
      </c>
      <c r="B9" s="10" t="s">
        <v>57</v>
      </c>
      <c r="C9" s="11" t="n">
        <v>1</v>
      </c>
      <c r="D9" s="11" t="n">
        <v>8</v>
      </c>
      <c r="E9" s="10" t="s">
        <v>78</v>
      </c>
      <c r="F9" s="10" t="s">
        <v>67</v>
      </c>
      <c r="G9" s="10" t="s">
        <v>85</v>
      </c>
      <c r="H9" s="10" t="s">
        <v>86</v>
      </c>
      <c r="I9" s="12"/>
      <c r="J9" s="13"/>
      <c r="K9" s="13"/>
      <c r="L9" s="13"/>
      <c r="M9" s="13"/>
      <c r="N9" s="13"/>
      <c r="O9" s="11" t="n">
        <f aca="false">COUNTIF(Apontamentos!$A$2:$A$601,A9)</f>
        <v>0</v>
      </c>
      <c r="P9" s="11" t="str">
        <f aca="false">IF(I9="","",IF(O9=0,"Sim","Não"))</f>
        <v/>
      </c>
    </row>
    <row r="10" customFormat="false" ht="15" hidden="false" customHeight="false" outlineLevel="0" collapsed="false">
      <c r="A10" s="10" t="s">
        <v>87</v>
      </c>
      <c r="B10" s="10" t="s">
        <v>57</v>
      </c>
      <c r="C10" s="11" t="n">
        <v>2</v>
      </c>
      <c r="D10" s="11" t="n">
        <v>1</v>
      </c>
      <c r="E10" s="10" t="s">
        <v>78</v>
      </c>
      <c r="F10" s="10" t="s">
        <v>59</v>
      </c>
      <c r="G10" s="10" t="s">
        <v>79</v>
      </c>
      <c r="H10" s="10" t="s">
        <v>88</v>
      </c>
      <c r="I10" s="12"/>
      <c r="J10" s="13"/>
      <c r="K10" s="13"/>
      <c r="L10" s="13"/>
      <c r="M10" s="13"/>
      <c r="N10" s="13"/>
      <c r="O10" s="11" t="n">
        <f aca="false">COUNTIF(Apontamentos!$A$2:$A$601,A10)</f>
        <v>0</v>
      </c>
      <c r="P10" s="11" t="str">
        <f aca="false">IF(I10="","",IF(O10=0,"Sim","Não"))</f>
        <v/>
      </c>
    </row>
    <row r="11" customFormat="false" ht="15" hidden="false" customHeight="false" outlineLevel="0" collapsed="false">
      <c r="A11" s="10" t="s">
        <v>89</v>
      </c>
      <c r="B11" s="10" t="s">
        <v>57</v>
      </c>
      <c r="C11" s="11" t="n">
        <v>2</v>
      </c>
      <c r="D11" s="11" t="n">
        <v>2</v>
      </c>
      <c r="E11" s="10" t="s">
        <v>63</v>
      </c>
      <c r="F11" s="10" t="s">
        <v>67</v>
      </c>
      <c r="G11" s="10" t="s">
        <v>75</v>
      </c>
      <c r="H11" s="10" t="s">
        <v>90</v>
      </c>
      <c r="I11" s="12"/>
      <c r="J11" s="13"/>
      <c r="K11" s="13"/>
      <c r="L11" s="13"/>
      <c r="M11" s="13"/>
      <c r="N11" s="13"/>
      <c r="O11" s="11" t="n">
        <f aca="false">COUNTIF(Apontamentos!$A$2:$A$601,A11)</f>
        <v>0</v>
      </c>
      <c r="P11" s="11" t="str">
        <f aca="false">IF(I11="","",IF(O11=0,"Sim","Não"))</f>
        <v/>
      </c>
    </row>
    <row r="12" customFormat="false" ht="15" hidden="false" customHeight="false" outlineLevel="0" collapsed="false">
      <c r="A12" s="10" t="s">
        <v>91</v>
      </c>
      <c r="B12" s="10" t="s">
        <v>57</v>
      </c>
      <c r="C12" s="11" t="n">
        <v>2</v>
      </c>
      <c r="D12" s="11" t="n">
        <v>3</v>
      </c>
      <c r="E12" s="10" t="s">
        <v>71</v>
      </c>
      <c r="F12" s="10" t="s">
        <v>67</v>
      </c>
      <c r="G12" s="10" t="s">
        <v>82</v>
      </c>
      <c r="H12" s="10" t="s">
        <v>92</v>
      </c>
      <c r="I12" s="12"/>
      <c r="J12" s="13"/>
      <c r="K12" s="13"/>
      <c r="L12" s="13"/>
      <c r="M12" s="13"/>
      <c r="N12" s="13"/>
      <c r="O12" s="11" t="n">
        <f aca="false">COUNTIF(Apontamentos!$A$2:$A$601,A12)</f>
        <v>0</v>
      </c>
      <c r="P12" s="11" t="str">
        <f aca="false">IF(I12="","",IF(O12=0,"Sim","Não"))</f>
        <v/>
      </c>
    </row>
    <row r="13" customFormat="false" ht="15" hidden="false" customHeight="false" outlineLevel="0" collapsed="false">
      <c r="A13" s="10" t="s">
        <v>93</v>
      </c>
      <c r="B13" s="10" t="s">
        <v>57</v>
      </c>
      <c r="C13" s="11" t="n">
        <v>2</v>
      </c>
      <c r="D13" s="11" t="n">
        <v>4</v>
      </c>
      <c r="E13" s="10" t="s">
        <v>58</v>
      </c>
      <c r="F13" s="10" t="s">
        <v>67</v>
      </c>
      <c r="G13" s="10" t="s">
        <v>68</v>
      </c>
      <c r="H13" s="10" t="s">
        <v>94</v>
      </c>
      <c r="I13" s="12"/>
      <c r="J13" s="13"/>
      <c r="K13" s="13"/>
      <c r="L13" s="13"/>
      <c r="M13" s="13"/>
      <c r="N13" s="13"/>
      <c r="O13" s="11" t="n">
        <f aca="false">COUNTIF(Apontamentos!$A$2:$A$601,A13)</f>
        <v>0</v>
      </c>
      <c r="P13" s="11" t="str">
        <f aca="false">IF(I13="","",IF(O13=0,"Sim","Não"))</f>
        <v/>
      </c>
    </row>
    <row r="14" customFormat="false" ht="15" hidden="false" customHeight="false" outlineLevel="0" collapsed="false">
      <c r="A14" s="10" t="s">
        <v>95</v>
      </c>
      <c r="B14" s="10" t="s">
        <v>57</v>
      </c>
      <c r="C14" s="11" t="n">
        <v>2</v>
      </c>
      <c r="D14" s="11" t="n">
        <v>5</v>
      </c>
      <c r="E14" s="10" t="s">
        <v>63</v>
      </c>
      <c r="F14" s="10" t="s">
        <v>59</v>
      </c>
      <c r="G14" s="10" t="s">
        <v>64</v>
      </c>
      <c r="H14" s="10" t="s">
        <v>96</v>
      </c>
      <c r="I14" s="12"/>
      <c r="J14" s="13"/>
      <c r="K14" s="13"/>
      <c r="L14" s="13"/>
      <c r="M14" s="13"/>
      <c r="N14" s="13"/>
      <c r="O14" s="11" t="n">
        <f aca="false">COUNTIF(Apontamentos!$A$2:$A$601,A14)</f>
        <v>0</v>
      </c>
      <c r="P14" s="11" t="str">
        <f aca="false">IF(I14="","",IF(O14=0,"Sim","Não"))</f>
        <v/>
      </c>
    </row>
    <row r="15" customFormat="false" ht="15" hidden="false" customHeight="false" outlineLevel="0" collapsed="false">
      <c r="A15" s="10" t="s">
        <v>97</v>
      </c>
      <c r="B15" s="10" t="s">
        <v>57</v>
      </c>
      <c r="C15" s="11" t="n">
        <v>2</v>
      </c>
      <c r="D15" s="11" t="n">
        <v>6</v>
      </c>
      <c r="E15" s="10" t="s">
        <v>71</v>
      </c>
      <c r="F15" s="10" t="s">
        <v>59</v>
      </c>
      <c r="G15" s="10" t="s">
        <v>72</v>
      </c>
      <c r="H15" s="10" t="s">
        <v>98</v>
      </c>
      <c r="I15" s="12"/>
      <c r="J15" s="13"/>
      <c r="K15" s="13"/>
      <c r="L15" s="13"/>
      <c r="M15" s="13"/>
      <c r="N15" s="13"/>
      <c r="O15" s="11" t="n">
        <f aca="false">COUNTIF(Apontamentos!$A$2:$A$601,A15)</f>
        <v>0</v>
      </c>
      <c r="P15" s="11" t="str">
        <f aca="false">IF(I15="","",IF(O15=0,"Sim","Não"))</f>
        <v/>
      </c>
    </row>
    <row r="16" customFormat="false" ht="15" hidden="false" customHeight="false" outlineLevel="0" collapsed="false">
      <c r="A16" s="10" t="s">
        <v>99</v>
      </c>
      <c r="B16" s="10" t="s">
        <v>57</v>
      </c>
      <c r="C16" s="11" t="n">
        <v>2</v>
      </c>
      <c r="D16" s="11" t="n">
        <v>7</v>
      </c>
      <c r="E16" s="10" t="s">
        <v>78</v>
      </c>
      <c r="F16" s="10" t="s">
        <v>67</v>
      </c>
      <c r="G16" s="10" t="s">
        <v>85</v>
      </c>
      <c r="H16" s="10" t="s">
        <v>100</v>
      </c>
      <c r="I16" s="12"/>
      <c r="J16" s="13"/>
      <c r="K16" s="13"/>
      <c r="L16" s="13"/>
      <c r="M16" s="13"/>
      <c r="N16" s="13"/>
      <c r="O16" s="11" t="n">
        <f aca="false">COUNTIF(Apontamentos!$A$2:$A$601,A16)</f>
        <v>0</v>
      </c>
      <c r="P16" s="11" t="str">
        <f aca="false">IF(I16="","",IF(O16=0,"Sim","Não"))</f>
        <v/>
      </c>
    </row>
    <row r="17" customFormat="false" ht="15" hidden="false" customHeight="false" outlineLevel="0" collapsed="false">
      <c r="A17" s="10" t="s">
        <v>101</v>
      </c>
      <c r="B17" s="10" t="s">
        <v>57</v>
      </c>
      <c r="C17" s="11" t="n">
        <v>2</v>
      </c>
      <c r="D17" s="11" t="n">
        <v>8</v>
      </c>
      <c r="E17" s="10" t="s">
        <v>58</v>
      </c>
      <c r="F17" s="10" t="s">
        <v>59</v>
      </c>
      <c r="G17" s="10" t="s">
        <v>60</v>
      </c>
      <c r="H17" s="10" t="s">
        <v>102</v>
      </c>
      <c r="I17" s="12"/>
      <c r="J17" s="13"/>
      <c r="K17" s="13"/>
      <c r="L17" s="13"/>
      <c r="M17" s="13"/>
      <c r="N17" s="13"/>
      <c r="O17" s="11" t="n">
        <f aca="false">COUNTIF(Apontamentos!$A$2:$A$601,A17)</f>
        <v>0</v>
      </c>
      <c r="P17" s="11" t="str">
        <f aca="false">IF(I17="","",IF(O17=0,"Sim","Não"))</f>
        <v/>
      </c>
    </row>
    <row r="18" customFormat="false" ht="15" hidden="false" customHeight="false" outlineLevel="0" collapsed="false">
      <c r="A18" s="10" t="s">
        <v>103</v>
      </c>
      <c r="B18" s="10" t="s">
        <v>57</v>
      </c>
      <c r="C18" s="11" t="n">
        <v>3</v>
      </c>
      <c r="D18" s="11" t="n">
        <v>1</v>
      </c>
      <c r="E18" s="10" t="s">
        <v>71</v>
      </c>
      <c r="F18" s="10" t="s">
        <v>67</v>
      </c>
      <c r="G18" s="10" t="s">
        <v>82</v>
      </c>
      <c r="H18" s="10" t="s">
        <v>104</v>
      </c>
      <c r="I18" s="12"/>
      <c r="J18" s="13"/>
      <c r="K18" s="13"/>
      <c r="L18" s="13"/>
      <c r="M18" s="13"/>
      <c r="N18" s="13"/>
      <c r="O18" s="11" t="n">
        <f aca="false">COUNTIF(Apontamentos!$A$2:$A$601,A18)</f>
        <v>0</v>
      </c>
      <c r="P18" s="11" t="str">
        <f aca="false">IF(I18="","",IF(O18=0,"Sim","Não"))</f>
        <v/>
      </c>
    </row>
    <row r="19" customFormat="false" ht="15" hidden="false" customHeight="false" outlineLevel="0" collapsed="false">
      <c r="A19" s="10" t="s">
        <v>105</v>
      </c>
      <c r="B19" s="10" t="s">
        <v>57</v>
      </c>
      <c r="C19" s="11" t="n">
        <v>3</v>
      </c>
      <c r="D19" s="11" t="n">
        <v>2</v>
      </c>
      <c r="E19" s="10" t="s">
        <v>58</v>
      </c>
      <c r="F19" s="10" t="s">
        <v>67</v>
      </c>
      <c r="G19" s="10" t="s">
        <v>68</v>
      </c>
      <c r="H19" s="10" t="s">
        <v>106</v>
      </c>
      <c r="I19" s="12"/>
      <c r="J19" s="13"/>
      <c r="K19" s="13"/>
      <c r="L19" s="13"/>
      <c r="M19" s="13"/>
      <c r="N19" s="13"/>
      <c r="O19" s="11" t="n">
        <f aca="false">COUNTIF(Apontamentos!$A$2:$A$601,A19)</f>
        <v>0</v>
      </c>
      <c r="P19" s="11" t="str">
        <f aca="false">IF(I19="","",IF(O19=0,"Sim","Não"))</f>
        <v/>
      </c>
    </row>
    <row r="20" customFormat="false" ht="15" hidden="false" customHeight="false" outlineLevel="0" collapsed="false">
      <c r="A20" s="10" t="s">
        <v>107</v>
      </c>
      <c r="B20" s="10" t="s">
        <v>57</v>
      </c>
      <c r="C20" s="11" t="n">
        <v>3</v>
      </c>
      <c r="D20" s="11" t="n">
        <v>3</v>
      </c>
      <c r="E20" s="10" t="s">
        <v>78</v>
      </c>
      <c r="F20" s="10" t="s">
        <v>59</v>
      </c>
      <c r="G20" s="10" t="s">
        <v>79</v>
      </c>
      <c r="H20" s="10" t="s">
        <v>108</v>
      </c>
      <c r="I20" s="12"/>
      <c r="J20" s="13"/>
      <c r="K20" s="13"/>
      <c r="L20" s="13"/>
      <c r="M20" s="13"/>
      <c r="N20" s="13"/>
      <c r="O20" s="11" t="n">
        <f aca="false">COUNTIF(Apontamentos!$A$2:$A$601,A20)</f>
        <v>0</v>
      </c>
      <c r="P20" s="11" t="str">
        <f aca="false">IF(I20="","",IF(O20=0,"Sim","Não"))</f>
        <v/>
      </c>
    </row>
    <row r="21" customFormat="false" ht="15" hidden="false" customHeight="false" outlineLevel="0" collapsed="false">
      <c r="A21" s="10" t="s">
        <v>109</v>
      </c>
      <c r="B21" s="10" t="s">
        <v>57</v>
      </c>
      <c r="C21" s="11" t="n">
        <v>3</v>
      </c>
      <c r="D21" s="11" t="n">
        <v>4</v>
      </c>
      <c r="E21" s="10" t="s">
        <v>63</v>
      </c>
      <c r="F21" s="10" t="s">
        <v>59</v>
      </c>
      <c r="G21" s="10" t="s">
        <v>64</v>
      </c>
      <c r="H21" s="10" t="s">
        <v>110</v>
      </c>
      <c r="I21" s="12"/>
      <c r="J21" s="13"/>
      <c r="K21" s="13"/>
      <c r="L21" s="13"/>
      <c r="M21" s="13"/>
      <c r="N21" s="13"/>
      <c r="O21" s="11" t="n">
        <f aca="false">COUNTIF(Apontamentos!$A$2:$A$601,A21)</f>
        <v>0</v>
      </c>
      <c r="P21" s="11" t="str">
        <f aca="false">IF(I21="","",IF(O21=0,"Sim","Não"))</f>
        <v/>
      </c>
    </row>
    <row r="22" customFormat="false" ht="15" hidden="false" customHeight="false" outlineLevel="0" collapsed="false">
      <c r="A22" s="10" t="s">
        <v>111</v>
      </c>
      <c r="B22" s="10" t="s">
        <v>57</v>
      </c>
      <c r="C22" s="11" t="n">
        <v>3</v>
      </c>
      <c r="D22" s="11" t="n">
        <v>5</v>
      </c>
      <c r="E22" s="10" t="s">
        <v>71</v>
      </c>
      <c r="F22" s="10" t="s">
        <v>59</v>
      </c>
      <c r="G22" s="10" t="s">
        <v>72</v>
      </c>
      <c r="H22" s="10" t="s">
        <v>112</v>
      </c>
      <c r="I22" s="12"/>
      <c r="J22" s="13"/>
      <c r="K22" s="13"/>
      <c r="L22" s="13"/>
      <c r="M22" s="13"/>
      <c r="N22" s="13"/>
      <c r="O22" s="11" t="n">
        <f aca="false">COUNTIF(Apontamentos!$A$2:$A$601,A22)</f>
        <v>0</v>
      </c>
      <c r="P22" s="11" t="str">
        <f aca="false">IF(I22="","",IF(O22=0,"Sim","Não"))</f>
        <v/>
      </c>
    </row>
    <row r="23" customFormat="false" ht="15" hidden="false" customHeight="false" outlineLevel="0" collapsed="false">
      <c r="A23" s="10" t="s">
        <v>113</v>
      </c>
      <c r="B23" s="10" t="s">
        <v>57</v>
      </c>
      <c r="C23" s="11" t="n">
        <v>3</v>
      </c>
      <c r="D23" s="11" t="n">
        <v>6</v>
      </c>
      <c r="E23" s="10" t="s">
        <v>58</v>
      </c>
      <c r="F23" s="10" t="s">
        <v>59</v>
      </c>
      <c r="G23" s="10" t="s">
        <v>60</v>
      </c>
      <c r="H23" s="10" t="s">
        <v>114</v>
      </c>
      <c r="I23" s="12"/>
      <c r="J23" s="13"/>
      <c r="K23" s="13"/>
      <c r="L23" s="13"/>
      <c r="M23" s="13"/>
      <c r="N23" s="13"/>
      <c r="O23" s="11" t="n">
        <f aca="false">COUNTIF(Apontamentos!$A$2:$A$601,A23)</f>
        <v>0</v>
      </c>
      <c r="P23" s="11" t="str">
        <f aca="false">IF(I23="","",IF(O23=0,"Sim","Não"))</f>
        <v/>
      </c>
    </row>
    <row r="24" customFormat="false" ht="15" hidden="false" customHeight="false" outlineLevel="0" collapsed="false">
      <c r="A24" s="10" t="s">
        <v>115</v>
      </c>
      <c r="B24" s="10" t="s">
        <v>57</v>
      </c>
      <c r="C24" s="11" t="n">
        <v>3</v>
      </c>
      <c r="D24" s="11" t="n">
        <v>7</v>
      </c>
      <c r="E24" s="10" t="s">
        <v>63</v>
      </c>
      <c r="F24" s="10" t="s">
        <v>67</v>
      </c>
      <c r="G24" s="10" t="s">
        <v>75</v>
      </c>
      <c r="H24" s="10" t="s">
        <v>116</v>
      </c>
      <c r="I24" s="12"/>
      <c r="J24" s="13"/>
      <c r="K24" s="13"/>
      <c r="L24" s="13"/>
      <c r="M24" s="13"/>
      <c r="N24" s="13"/>
      <c r="O24" s="11" t="n">
        <f aca="false">COUNTIF(Apontamentos!$A$2:$A$601,A24)</f>
        <v>0</v>
      </c>
      <c r="P24" s="11" t="str">
        <f aca="false">IF(I24="","",IF(O24=0,"Sim","Não"))</f>
        <v/>
      </c>
    </row>
    <row r="25" customFormat="false" ht="15" hidden="false" customHeight="false" outlineLevel="0" collapsed="false">
      <c r="A25" s="10" t="s">
        <v>117</v>
      </c>
      <c r="B25" s="10" t="s">
        <v>57</v>
      </c>
      <c r="C25" s="11" t="n">
        <v>3</v>
      </c>
      <c r="D25" s="11" t="n">
        <v>8</v>
      </c>
      <c r="E25" s="10" t="s">
        <v>78</v>
      </c>
      <c r="F25" s="10" t="s">
        <v>67</v>
      </c>
      <c r="G25" s="10" t="s">
        <v>85</v>
      </c>
      <c r="H25" s="10" t="s">
        <v>118</v>
      </c>
      <c r="I25" s="12"/>
      <c r="J25" s="13"/>
      <c r="K25" s="13"/>
      <c r="L25" s="13"/>
      <c r="M25" s="13"/>
      <c r="N25" s="13"/>
      <c r="O25" s="11" t="n">
        <f aca="false">COUNTIF(Apontamentos!$A$2:$A$601,A25)</f>
        <v>0</v>
      </c>
      <c r="P25" s="11" t="str">
        <f aca="false">IF(I25="","",IF(O25=0,"Sim","Não"))</f>
        <v/>
      </c>
    </row>
    <row r="26" customFormat="false" ht="15" hidden="false" customHeight="false" outlineLevel="0" collapsed="false">
      <c r="A26" s="10" t="s">
        <v>119</v>
      </c>
      <c r="B26" s="10" t="s">
        <v>120</v>
      </c>
      <c r="C26" s="11" t="n">
        <v>1</v>
      </c>
      <c r="D26" s="11" t="n">
        <v>1</v>
      </c>
      <c r="E26" s="10" t="s">
        <v>78</v>
      </c>
      <c r="F26" s="10" t="s">
        <v>59</v>
      </c>
      <c r="G26" s="10" t="s">
        <v>79</v>
      </c>
      <c r="H26" s="10" t="s">
        <v>121</v>
      </c>
      <c r="I26" s="12"/>
      <c r="J26" s="13"/>
      <c r="K26" s="13"/>
      <c r="L26" s="13"/>
      <c r="M26" s="13"/>
      <c r="N26" s="13"/>
      <c r="O26" s="11" t="n">
        <f aca="false">COUNTIF(Apontamentos!$A$2:$A$601,A26)</f>
        <v>0</v>
      </c>
      <c r="P26" s="11" t="str">
        <f aca="false">IF(I26="","",IF(O26=0,"Sim","Não"))</f>
        <v/>
      </c>
    </row>
    <row r="27" customFormat="false" ht="15" hidden="false" customHeight="false" outlineLevel="0" collapsed="false">
      <c r="A27" s="10" t="s">
        <v>122</v>
      </c>
      <c r="B27" s="10" t="s">
        <v>120</v>
      </c>
      <c r="C27" s="11" t="n">
        <v>1</v>
      </c>
      <c r="D27" s="11" t="n">
        <v>2</v>
      </c>
      <c r="E27" s="10" t="s">
        <v>58</v>
      </c>
      <c r="F27" s="10" t="s">
        <v>59</v>
      </c>
      <c r="G27" s="10" t="s">
        <v>60</v>
      </c>
      <c r="H27" s="10" t="s">
        <v>123</v>
      </c>
      <c r="I27" s="12"/>
      <c r="J27" s="13"/>
      <c r="K27" s="13"/>
      <c r="L27" s="13"/>
      <c r="M27" s="13"/>
      <c r="N27" s="13"/>
      <c r="O27" s="11" t="n">
        <f aca="false">COUNTIF(Apontamentos!$A$2:$A$601,A27)</f>
        <v>0</v>
      </c>
      <c r="P27" s="11" t="str">
        <f aca="false">IF(I27="","",IF(O27=0,"Sim","Não"))</f>
        <v/>
      </c>
    </row>
    <row r="28" customFormat="false" ht="15" hidden="false" customHeight="false" outlineLevel="0" collapsed="false">
      <c r="A28" s="10" t="s">
        <v>124</v>
      </c>
      <c r="B28" s="10" t="s">
        <v>120</v>
      </c>
      <c r="C28" s="11" t="n">
        <v>1</v>
      </c>
      <c r="D28" s="11" t="n">
        <v>3</v>
      </c>
      <c r="E28" s="10" t="s">
        <v>71</v>
      </c>
      <c r="F28" s="10" t="s">
        <v>59</v>
      </c>
      <c r="G28" s="10" t="s">
        <v>72</v>
      </c>
      <c r="H28" s="10" t="s">
        <v>125</v>
      </c>
      <c r="I28" s="12"/>
      <c r="J28" s="13"/>
      <c r="K28" s="13"/>
      <c r="L28" s="13"/>
      <c r="M28" s="13"/>
      <c r="N28" s="13"/>
      <c r="O28" s="11" t="n">
        <f aca="false">COUNTIF(Apontamentos!$A$2:$A$601,A28)</f>
        <v>0</v>
      </c>
      <c r="P28" s="11" t="str">
        <f aca="false">IF(I28="","",IF(O28=0,"Sim","Não"))</f>
        <v/>
      </c>
    </row>
    <row r="29" customFormat="false" ht="15" hidden="false" customHeight="false" outlineLevel="0" collapsed="false">
      <c r="A29" s="10" t="s">
        <v>126</v>
      </c>
      <c r="B29" s="10" t="s">
        <v>120</v>
      </c>
      <c r="C29" s="11" t="n">
        <v>1</v>
      </c>
      <c r="D29" s="11" t="n">
        <v>4</v>
      </c>
      <c r="E29" s="10" t="s">
        <v>63</v>
      </c>
      <c r="F29" s="10" t="s">
        <v>67</v>
      </c>
      <c r="G29" s="10" t="s">
        <v>75</v>
      </c>
      <c r="H29" s="10" t="s">
        <v>127</v>
      </c>
      <c r="I29" s="12"/>
      <c r="J29" s="13"/>
      <c r="K29" s="13"/>
      <c r="L29" s="13"/>
      <c r="M29" s="13"/>
      <c r="N29" s="13"/>
      <c r="O29" s="11" t="n">
        <f aca="false">COUNTIF(Apontamentos!$A$2:$A$601,A29)</f>
        <v>0</v>
      </c>
      <c r="P29" s="11" t="str">
        <f aca="false">IF(I29="","",IF(O29=0,"Sim","Não"))</f>
        <v/>
      </c>
    </row>
    <row r="30" customFormat="false" ht="15" hidden="false" customHeight="false" outlineLevel="0" collapsed="false">
      <c r="A30" s="10" t="s">
        <v>128</v>
      </c>
      <c r="B30" s="10" t="s">
        <v>120</v>
      </c>
      <c r="C30" s="11" t="n">
        <v>1</v>
      </c>
      <c r="D30" s="11" t="n">
        <v>5</v>
      </c>
      <c r="E30" s="10" t="s">
        <v>78</v>
      </c>
      <c r="F30" s="10" t="s">
        <v>67</v>
      </c>
      <c r="G30" s="10" t="s">
        <v>85</v>
      </c>
      <c r="H30" s="10" t="s">
        <v>129</v>
      </c>
      <c r="I30" s="12"/>
      <c r="J30" s="13"/>
      <c r="K30" s="13"/>
      <c r="L30" s="13"/>
      <c r="M30" s="13"/>
      <c r="N30" s="13"/>
      <c r="O30" s="11" t="n">
        <f aca="false">COUNTIF(Apontamentos!$A$2:$A$601,A30)</f>
        <v>0</v>
      </c>
      <c r="P30" s="11" t="str">
        <f aca="false">IF(I30="","",IF(O30=0,"Sim","Não"))</f>
        <v/>
      </c>
    </row>
    <row r="31" customFormat="false" ht="15" hidden="false" customHeight="false" outlineLevel="0" collapsed="false">
      <c r="A31" s="10" t="s">
        <v>130</v>
      </c>
      <c r="B31" s="10" t="s">
        <v>120</v>
      </c>
      <c r="C31" s="11" t="n">
        <v>1</v>
      </c>
      <c r="D31" s="11" t="n">
        <v>6</v>
      </c>
      <c r="E31" s="10" t="s">
        <v>58</v>
      </c>
      <c r="F31" s="10" t="s">
        <v>67</v>
      </c>
      <c r="G31" s="10" t="s">
        <v>68</v>
      </c>
      <c r="H31" s="10" t="s">
        <v>131</v>
      </c>
      <c r="I31" s="12"/>
      <c r="J31" s="13"/>
      <c r="K31" s="13"/>
      <c r="L31" s="13"/>
      <c r="M31" s="13"/>
      <c r="N31" s="13"/>
      <c r="O31" s="11" t="n">
        <f aca="false">COUNTIF(Apontamentos!$A$2:$A$601,A31)</f>
        <v>0</v>
      </c>
      <c r="P31" s="11" t="str">
        <f aca="false">IF(I31="","",IF(O31=0,"Sim","Não"))</f>
        <v/>
      </c>
    </row>
    <row r="32" customFormat="false" ht="15" hidden="false" customHeight="false" outlineLevel="0" collapsed="false">
      <c r="A32" s="10" t="s">
        <v>132</v>
      </c>
      <c r="B32" s="10" t="s">
        <v>120</v>
      </c>
      <c r="C32" s="11" t="n">
        <v>1</v>
      </c>
      <c r="D32" s="11" t="n">
        <v>7</v>
      </c>
      <c r="E32" s="10" t="s">
        <v>71</v>
      </c>
      <c r="F32" s="10" t="s">
        <v>67</v>
      </c>
      <c r="G32" s="10" t="s">
        <v>82</v>
      </c>
      <c r="H32" s="10" t="s">
        <v>133</v>
      </c>
      <c r="I32" s="12"/>
      <c r="J32" s="13"/>
      <c r="K32" s="13"/>
      <c r="L32" s="13"/>
      <c r="M32" s="13"/>
      <c r="N32" s="13"/>
      <c r="O32" s="11" t="n">
        <f aca="false">COUNTIF(Apontamentos!$A$2:$A$601,A32)</f>
        <v>0</v>
      </c>
      <c r="P32" s="11" t="str">
        <f aca="false">IF(I32="","",IF(O32=0,"Sim","Não"))</f>
        <v/>
      </c>
    </row>
    <row r="33" customFormat="false" ht="15" hidden="false" customHeight="false" outlineLevel="0" collapsed="false">
      <c r="A33" s="10" t="s">
        <v>134</v>
      </c>
      <c r="B33" s="10" t="s">
        <v>120</v>
      </c>
      <c r="C33" s="11" t="n">
        <v>1</v>
      </c>
      <c r="D33" s="11" t="n">
        <v>8</v>
      </c>
      <c r="E33" s="10" t="s">
        <v>63</v>
      </c>
      <c r="F33" s="10" t="s">
        <v>59</v>
      </c>
      <c r="G33" s="10" t="s">
        <v>64</v>
      </c>
      <c r="H33" s="10" t="s">
        <v>135</v>
      </c>
      <c r="I33" s="12"/>
      <c r="J33" s="13"/>
      <c r="K33" s="13"/>
      <c r="L33" s="13"/>
      <c r="M33" s="13"/>
      <c r="N33" s="13"/>
      <c r="O33" s="11" t="n">
        <f aca="false">COUNTIF(Apontamentos!$A$2:$A$601,A33)</f>
        <v>0</v>
      </c>
      <c r="P33" s="11" t="str">
        <f aca="false">IF(I33="","",IF(O33=0,"Sim","Não"))</f>
        <v/>
      </c>
    </row>
    <row r="34" customFormat="false" ht="15" hidden="false" customHeight="false" outlineLevel="0" collapsed="false">
      <c r="A34" s="10" t="s">
        <v>136</v>
      </c>
      <c r="B34" s="10" t="s">
        <v>120</v>
      </c>
      <c r="C34" s="11" t="n">
        <v>2</v>
      </c>
      <c r="D34" s="11" t="n">
        <v>1</v>
      </c>
      <c r="E34" s="10" t="s">
        <v>71</v>
      </c>
      <c r="F34" s="10" t="s">
        <v>59</v>
      </c>
      <c r="G34" s="10" t="s">
        <v>72</v>
      </c>
      <c r="H34" s="10" t="s">
        <v>137</v>
      </c>
      <c r="I34" s="12"/>
      <c r="J34" s="13"/>
      <c r="K34" s="13"/>
      <c r="L34" s="13"/>
      <c r="M34" s="13"/>
      <c r="N34" s="13"/>
      <c r="O34" s="11" t="n">
        <f aca="false">COUNTIF(Apontamentos!$A$2:$A$601,A34)</f>
        <v>0</v>
      </c>
      <c r="P34" s="11" t="str">
        <f aca="false">IF(I34="","",IF(O34=0,"Sim","Não"))</f>
        <v/>
      </c>
    </row>
    <row r="35" customFormat="false" ht="15" hidden="false" customHeight="false" outlineLevel="0" collapsed="false">
      <c r="A35" s="10" t="s">
        <v>138</v>
      </c>
      <c r="B35" s="10" t="s">
        <v>120</v>
      </c>
      <c r="C35" s="11" t="n">
        <v>2</v>
      </c>
      <c r="D35" s="11" t="n">
        <v>2</v>
      </c>
      <c r="E35" s="10" t="s">
        <v>58</v>
      </c>
      <c r="F35" s="10" t="s">
        <v>59</v>
      </c>
      <c r="G35" s="10" t="s">
        <v>60</v>
      </c>
      <c r="H35" s="10" t="s">
        <v>139</v>
      </c>
      <c r="I35" s="12"/>
      <c r="J35" s="13"/>
      <c r="K35" s="13"/>
      <c r="L35" s="13"/>
      <c r="M35" s="13"/>
      <c r="N35" s="13"/>
      <c r="O35" s="11" t="n">
        <f aca="false">COUNTIF(Apontamentos!$A$2:$A$601,A35)</f>
        <v>0</v>
      </c>
      <c r="P35" s="11" t="str">
        <f aca="false">IF(I35="","",IF(O35=0,"Sim","Não"))</f>
        <v/>
      </c>
    </row>
    <row r="36" customFormat="false" ht="15" hidden="false" customHeight="false" outlineLevel="0" collapsed="false">
      <c r="A36" s="10" t="s">
        <v>140</v>
      </c>
      <c r="B36" s="10" t="s">
        <v>120</v>
      </c>
      <c r="C36" s="11" t="n">
        <v>2</v>
      </c>
      <c r="D36" s="11" t="n">
        <v>3</v>
      </c>
      <c r="E36" s="10" t="s">
        <v>78</v>
      </c>
      <c r="F36" s="10" t="s">
        <v>59</v>
      </c>
      <c r="G36" s="10" t="s">
        <v>79</v>
      </c>
      <c r="H36" s="10" t="s">
        <v>141</v>
      </c>
      <c r="I36" s="12"/>
      <c r="J36" s="13"/>
      <c r="K36" s="13"/>
      <c r="L36" s="13"/>
      <c r="M36" s="13"/>
      <c r="N36" s="13"/>
      <c r="O36" s="11" t="n">
        <f aca="false">COUNTIF(Apontamentos!$A$2:$A$601,A36)</f>
        <v>0</v>
      </c>
      <c r="P36" s="11" t="str">
        <f aca="false">IF(I36="","",IF(O36=0,"Sim","Não"))</f>
        <v/>
      </c>
    </row>
    <row r="37" customFormat="false" ht="15" hidden="false" customHeight="false" outlineLevel="0" collapsed="false">
      <c r="A37" s="10" t="s">
        <v>142</v>
      </c>
      <c r="B37" s="10" t="s">
        <v>120</v>
      </c>
      <c r="C37" s="11" t="n">
        <v>2</v>
      </c>
      <c r="D37" s="11" t="n">
        <v>4</v>
      </c>
      <c r="E37" s="10" t="s">
        <v>63</v>
      </c>
      <c r="F37" s="10" t="s">
        <v>59</v>
      </c>
      <c r="G37" s="10" t="s">
        <v>64</v>
      </c>
      <c r="H37" s="10" t="s">
        <v>143</v>
      </c>
      <c r="I37" s="12"/>
      <c r="J37" s="13"/>
      <c r="K37" s="13"/>
      <c r="L37" s="13"/>
      <c r="M37" s="13"/>
      <c r="N37" s="13"/>
      <c r="O37" s="11" t="n">
        <f aca="false">COUNTIF(Apontamentos!$A$2:$A$601,A37)</f>
        <v>0</v>
      </c>
      <c r="P37" s="11" t="str">
        <f aca="false">IF(I37="","",IF(O37=0,"Sim","Não"))</f>
        <v/>
      </c>
    </row>
    <row r="38" customFormat="false" ht="15" hidden="false" customHeight="false" outlineLevel="0" collapsed="false">
      <c r="A38" s="10" t="s">
        <v>144</v>
      </c>
      <c r="B38" s="10" t="s">
        <v>120</v>
      </c>
      <c r="C38" s="11" t="n">
        <v>2</v>
      </c>
      <c r="D38" s="11" t="n">
        <v>5</v>
      </c>
      <c r="E38" s="10" t="s">
        <v>58</v>
      </c>
      <c r="F38" s="10" t="s">
        <v>67</v>
      </c>
      <c r="G38" s="10" t="s">
        <v>68</v>
      </c>
      <c r="H38" s="10" t="s">
        <v>145</v>
      </c>
      <c r="I38" s="12"/>
      <c r="J38" s="13"/>
      <c r="K38" s="13"/>
      <c r="L38" s="13"/>
      <c r="M38" s="13"/>
      <c r="N38" s="13"/>
      <c r="O38" s="11" t="n">
        <f aca="false">COUNTIF(Apontamentos!$A$2:$A$601,A38)</f>
        <v>0</v>
      </c>
      <c r="P38" s="11" t="str">
        <f aca="false">IF(I38="","",IF(O38=0,"Sim","Não"))</f>
        <v/>
      </c>
    </row>
    <row r="39" customFormat="false" ht="15" hidden="false" customHeight="false" outlineLevel="0" collapsed="false">
      <c r="A39" s="10" t="s">
        <v>146</v>
      </c>
      <c r="B39" s="10" t="s">
        <v>120</v>
      </c>
      <c r="C39" s="11" t="n">
        <v>2</v>
      </c>
      <c r="D39" s="11" t="n">
        <v>6</v>
      </c>
      <c r="E39" s="10" t="s">
        <v>71</v>
      </c>
      <c r="F39" s="10" t="s">
        <v>67</v>
      </c>
      <c r="G39" s="10" t="s">
        <v>82</v>
      </c>
      <c r="H39" s="10" t="s">
        <v>147</v>
      </c>
      <c r="I39" s="12"/>
      <c r="J39" s="13"/>
      <c r="K39" s="13"/>
      <c r="L39" s="13"/>
      <c r="M39" s="13"/>
      <c r="N39" s="13"/>
      <c r="O39" s="11" t="n">
        <f aca="false">COUNTIF(Apontamentos!$A$2:$A$601,A39)</f>
        <v>0</v>
      </c>
      <c r="P39" s="11" t="str">
        <f aca="false">IF(I39="","",IF(O39=0,"Sim","Não"))</f>
        <v/>
      </c>
    </row>
    <row r="40" customFormat="false" ht="15" hidden="false" customHeight="false" outlineLevel="0" collapsed="false">
      <c r="A40" s="10" t="s">
        <v>148</v>
      </c>
      <c r="B40" s="10" t="s">
        <v>120</v>
      </c>
      <c r="C40" s="11" t="n">
        <v>2</v>
      </c>
      <c r="D40" s="11" t="n">
        <v>7</v>
      </c>
      <c r="E40" s="10" t="s">
        <v>78</v>
      </c>
      <c r="F40" s="10" t="s">
        <v>67</v>
      </c>
      <c r="G40" s="10" t="s">
        <v>85</v>
      </c>
      <c r="H40" s="10" t="s">
        <v>149</v>
      </c>
      <c r="I40" s="12"/>
      <c r="J40" s="13"/>
      <c r="K40" s="13"/>
      <c r="L40" s="13"/>
      <c r="M40" s="13"/>
      <c r="N40" s="13"/>
      <c r="O40" s="11" t="n">
        <f aca="false">COUNTIF(Apontamentos!$A$2:$A$601,A40)</f>
        <v>0</v>
      </c>
      <c r="P40" s="11" t="str">
        <f aca="false">IF(I40="","",IF(O40=0,"Sim","Não"))</f>
        <v/>
      </c>
    </row>
    <row r="41" customFormat="false" ht="15" hidden="false" customHeight="false" outlineLevel="0" collapsed="false">
      <c r="A41" s="10" t="s">
        <v>150</v>
      </c>
      <c r="B41" s="10" t="s">
        <v>120</v>
      </c>
      <c r="C41" s="11" t="n">
        <v>2</v>
      </c>
      <c r="D41" s="11" t="n">
        <v>8</v>
      </c>
      <c r="E41" s="10" t="s">
        <v>63</v>
      </c>
      <c r="F41" s="10" t="s">
        <v>67</v>
      </c>
      <c r="G41" s="10" t="s">
        <v>75</v>
      </c>
      <c r="H41" s="10" t="s">
        <v>151</v>
      </c>
      <c r="I41" s="12"/>
      <c r="J41" s="13"/>
      <c r="K41" s="13"/>
      <c r="L41" s="13"/>
      <c r="M41" s="13"/>
      <c r="N41" s="13"/>
      <c r="O41" s="11" t="n">
        <f aca="false">COUNTIF(Apontamentos!$A$2:$A$601,A41)</f>
        <v>0</v>
      </c>
      <c r="P41" s="11" t="str">
        <f aca="false">IF(I41="","",IF(O41=0,"Sim","Não"))</f>
        <v/>
      </c>
    </row>
    <row r="42" customFormat="false" ht="15" hidden="false" customHeight="false" outlineLevel="0" collapsed="false">
      <c r="A42" s="10" t="s">
        <v>152</v>
      </c>
      <c r="B42" s="10" t="s">
        <v>120</v>
      </c>
      <c r="C42" s="11" t="n">
        <v>3</v>
      </c>
      <c r="D42" s="11" t="n">
        <v>1</v>
      </c>
      <c r="E42" s="10" t="s">
        <v>78</v>
      </c>
      <c r="F42" s="10" t="s">
        <v>67</v>
      </c>
      <c r="G42" s="10" t="s">
        <v>85</v>
      </c>
      <c r="H42" s="10" t="s">
        <v>153</v>
      </c>
      <c r="I42" s="12"/>
      <c r="J42" s="13"/>
      <c r="K42" s="13"/>
      <c r="L42" s="13"/>
      <c r="M42" s="13"/>
      <c r="N42" s="13"/>
      <c r="O42" s="11" t="n">
        <f aca="false">COUNTIF(Apontamentos!$A$2:$A$601,A42)</f>
        <v>0</v>
      </c>
      <c r="P42" s="11" t="str">
        <f aca="false">IF(I42="","",IF(O42=0,"Sim","Não"))</f>
        <v/>
      </c>
    </row>
    <row r="43" customFormat="false" ht="15" hidden="false" customHeight="false" outlineLevel="0" collapsed="false">
      <c r="A43" s="10" t="s">
        <v>154</v>
      </c>
      <c r="B43" s="10" t="s">
        <v>120</v>
      </c>
      <c r="C43" s="11" t="n">
        <v>3</v>
      </c>
      <c r="D43" s="11" t="n">
        <v>2</v>
      </c>
      <c r="E43" s="10" t="s">
        <v>58</v>
      </c>
      <c r="F43" s="10" t="s">
        <v>59</v>
      </c>
      <c r="G43" s="10" t="s">
        <v>60</v>
      </c>
      <c r="H43" s="10" t="s">
        <v>155</v>
      </c>
      <c r="I43" s="12"/>
      <c r="J43" s="13"/>
      <c r="K43" s="13"/>
      <c r="L43" s="13"/>
      <c r="M43" s="13"/>
      <c r="N43" s="13"/>
      <c r="O43" s="11" t="n">
        <f aca="false">COUNTIF(Apontamentos!$A$2:$A$601,A43)</f>
        <v>0</v>
      </c>
      <c r="P43" s="11" t="str">
        <f aca="false">IF(I43="","",IF(O43=0,"Sim","Não"))</f>
        <v/>
      </c>
    </row>
    <row r="44" customFormat="false" ht="15" hidden="false" customHeight="false" outlineLevel="0" collapsed="false">
      <c r="A44" s="10" t="s">
        <v>156</v>
      </c>
      <c r="B44" s="10" t="s">
        <v>120</v>
      </c>
      <c r="C44" s="11" t="n">
        <v>3</v>
      </c>
      <c r="D44" s="11" t="n">
        <v>3</v>
      </c>
      <c r="E44" s="10" t="s">
        <v>71</v>
      </c>
      <c r="F44" s="10" t="s">
        <v>67</v>
      </c>
      <c r="G44" s="10" t="s">
        <v>82</v>
      </c>
      <c r="H44" s="10" t="s">
        <v>157</v>
      </c>
      <c r="I44" s="12"/>
      <c r="J44" s="13"/>
      <c r="K44" s="13"/>
      <c r="L44" s="13"/>
      <c r="M44" s="13"/>
      <c r="N44" s="13"/>
      <c r="O44" s="11" t="n">
        <f aca="false">COUNTIF(Apontamentos!$A$2:$A$601,A44)</f>
        <v>0</v>
      </c>
      <c r="P44" s="11" t="str">
        <f aca="false">IF(I44="","",IF(O44=0,"Sim","Não"))</f>
        <v/>
      </c>
    </row>
    <row r="45" customFormat="false" ht="15" hidden="false" customHeight="false" outlineLevel="0" collapsed="false">
      <c r="A45" s="10" t="s">
        <v>158</v>
      </c>
      <c r="B45" s="10" t="s">
        <v>120</v>
      </c>
      <c r="C45" s="11" t="n">
        <v>3</v>
      </c>
      <c r="D45" s="11" t="n">
        <v>4</v>
      </c>
      <c r="E45" s="10" t="s">
        <v>78</v>
      </c>
      <c r="F45" s="10" t="s">
        <v>59</v>
      </c>
      <c r="G45" s="10" t="s">
        <v>79</v>
      </c>
      <c r="H45" s="10" t="s">
        <v>159</v>
      </c>
      <c r="I45" s="12"/>
      <c r="J45" s="13"/>
      <c r="K45" s="13"/>
      <c r="L45" s="13"/>
      <c r="M45" s="13"/>
      <c r="N45" s="13"/>
      <c r="O45" s="11" t="n">
        <f aca="false">COUNTIF(Apontamentos!$A$2:$A$601,A45)</f>
        <v>0</v>
      </c>
      <c r="P45" s="11" t="str">
        <f aca="false">IF(I45="","",IF(O45=0,"Sim","Não"))</f>
        <v/>
      </c>
    </row>
    <row r="46" customFormat="false" ht="15" hidden="false" customHeight="false" outlineLevel="0" collapsed="false">
      <c r="A46" s="10" t="s">
        <v>160</v>
      </c>
      <c r="B46" s="10" t="s">
        <v>120</v>
      </c>
      <c r="C46" s="11" t="n">
        <v>3</v>
      </c>
      <c r="D46" s="11" t="n">
        <v>5</v>
      </c>
      <c r="E46" s="10" t="s">
        <v>63</v>
      </c>
      <c r="F46" s="10" t="s">
        <v>59</v>
      </c>
      <c r="G46" s="10" t="s">
        <v>64</v>
      </c>
      <c r="H46" s="10" t="s">
        <v>161</v>
      </c>
      <c r="I46" s="12"/>
      <c r="J46" s="13"/>
      <c r="K46" s="13"/>
      <c r="L46" s="13"/>
      <c r="M46" s="13"/>
      <c r="N46" s="13"/>
      <c r="O46" s="11" t="n">
        <f aca="false">COUNTIF(Apontamentos!$A$2:$A$601,A46)</f>
        <v>0</v>
      </c>
      <c r="P46" s="11" t="str">
        <f aca="false">IF(I46="","",IF(O46=0,"Sim","Não"))</f>
        <v/>
      </c>
    </row>
    <row r="47" customFormat="false" ht="15" hidden="false" customHeight="false" outlineLevel="0" collapsed="false">
      <c r="A47" s="10" t="s">
        <v>162</v>
      </c>
      <c r="B47" s="10" t="s">
        <v>120</v>
      </c>
      <c r="C47" s="11" t="n">
        <v>3</v>
      </c>
      <c r="D47" s="11" t="n">
        <v>6</v>
      </c>
      <c r="E47" s="10" t="s">
        <v>71</v>
      </c>
      <c r="F47" s="10" t="s">
        <v>59</v>
      </c>
      <c r="G47" s="10" t="s">
        <v>72</v>
      </c>
      <c r="H47" s="10" t="s">
        <v>163</v>
      </c>
      <c r="I47" s="12"/>
      <c r="J47" s="13"/>
      <c r="K47" s="13"/>
      <c r="L47" s="13"/>
      <c r="M47" s="13"/>
      <c r="N47" s="13"/>
      <c r="O47" s="11" t="n">
        <f aca="false">COUNTIF(Apontamentos!$A$2:$A$601,A47)</f>
        <v>0</v>
      </c>
      <c r="P47" s="11" t="str">
        <f aca="false">IF(I47="","",IF(O47=0,"Sim","Não"))</f>
        <v/>
      </c>
    </row>
    <row r="48" customFormat="false" ht="15" hidden="false" customHeight="false" outlineLevel="0" collapsed="false">
      <c r="A48" s="10" t="s">
        <v>164</v>
      </c>
      <c r="B48" s="10" t="s">
        <v>120</v>
      </c>
      <c r="C48" s="11" t="n">
        <v>3</v>
      </c>
      <c r="D48" s="11" t="n">
        <v>7</v>
      </c>
      <c r="E48" s="10" t="s">
        <v>58</v>
      </c>
      <c r="F48" s="10" t="s">
        <v>67</v>
      </c>
      <c r="G48" s="10" t="s">
        <v>68</v>
      </c>
      <c r="H48" s="10" t="s">
        <v>165</v>
      </c>
      <c r="I48" s="12"/>
      <c r="J48" s="13"/>
      <c r="K48" s="13"/>
      <c r="L48" s="13"/>
      <c r="M48" s="13"/>
      <c r="N48" s="13"/>
      <c r="O48" s="11" t="n">
        <f aca="false">COUNTIF(Apontamentos!$A$2:$A$601,A48)</f>
        <v>0</v>
      </c>
      <c r="P48" s="11" t="str">
        <f aca="false">IF(I48="","",IF(O48=0,"Sim","Não"))</f>
        <v/>
      </c>
    </row>
    <row r="49" customFormat="false" ht="15" hidden="false" customHeight="false" outlineLevel="0" collapsed="false">
      <c r="A49" s="10" t="s">
        <v>166</v>
      </c>
      <c r="B49" s="10" t="s">
        <v>120</v>
      </c>
      <c r="C49" s="11" t="n">
        <v>3</v>
      </c>
      <c r="D49" s="11" t="n">
        <v>8</v>
      </c>
      <c r="E49" s="10" t="s">
        <v>63</v>
      </c>
      <c r="F49" s="10" t="s">
        <v>67</v>
      </c>
      <c r="G49" s="10" t="s">
        <v>75</v>
      </c>
      <c r="H49" s="10" t="s">
        <v>167</v>
      </c>
      <c r="I49" s="12"/>
      <c r="J49" s="13"/>
      <c r="K49" s="13"/>
      <c r="L49" s="13"/>
      <c r="M49" s="13"/>
      <c r="N49" s="13"/>
      <c r="O49" s="11" t="n">
        <f aca="false">COUNTIF(Apontamentos!$A$2:$A$601,A49)</f>
        <v>0</v>
      </c>
      <c r="P49" s="11" t="str">
        <f aca="false">IF(I49="","",IF(O49=0,"Sim","Não"))</f>
        <v/>
      </c>
    </row>
    <row r="50" customFormat="false" ht="15" hidden="false" customHeight="false" outlineLevel="0" collapsed="false">
      <c r="A50" s="10" t="s">
        <v>168</v>
      </c>
      <c r="B50" s="10" t="s">
        <v>169</v>
      </c>
      <c r="C50" s="11" t="n">
        <v>1</v>
      </c>
      <c r="D50" s="11" t="n">
        <v>1</v>
      </c>
      <c r="E50" s="10" t="s">
        <v>58</v>
      </c>
      <c r="F50" s="10" t="s">
        <v>59</v>
      </c>
      <c r="G50" s="10" t="s">
        <v>60</v>
      </c>
      <c r="H50" s="10" t="s">
        <v>170</v>
      </c>
      <c r="I50" s="12"/>
      <c r="J50" s="13"/>
      <c r="K50" s="13"/>
      <c r="L50" s="13"/>
      <c r="M50" s="13"/>
      <c r="N50" s="13"/>
      <c r="O50" s="11" t="n">
        <f aca="false">COUNTIF(Apontamentos!$A$2:$A$601,A50)</f>
        <v>0</v>
      </c>
      <c r="P50" s="11" t="str">
        <f aca="false">IF(I50="","",IF(O50=0,"Sim","Não"))</f>
        <v/>
      </c>
    </row>
    <row r="51" customFormat="false" ht="15" hidden="false" customHeight="false" outlineLevel="0" collapsed="false">
      <c r="A51" s="10" t="s">
        <v>171</v>
      </c>
      <c r="B51" s="10" t="s">
        <v>169</v>
      </c>
      <c r="C51" s="11" t="n">
        <v>1</v>
      </c>
      <c r="D51" s="11" t="n">
        <v>2</v>
      </c>
      <c r="E51" s="10" t="s">
        <v>58</v>
      </c>
      <c r="F51" s="10" t="s">
        <v>67</v>
      </c>
      <c r="G51" s="10" t="s">
        <v>68</v>
      </c>
      <c r="H51" s="10" t="s">
        <v>172</v>
      </c>
      <c r="I51" s="12"/>
      <c r="J51" s="13"/>
      <c r="K51" s="13"/>
      <c r="L51" s="13"/>
      <c r="M51" s="13"/>
      <c r="N51" s="13"/>
      <c r="O51" s="11" t="n">
        <f aca="false">COUNTIF(Apontamentos!$A$2:$A$601,A51)</f>
        <v>0</v>
      </c>
      <c r="P51" s="11" t="str">
        <f aca="false">IF(I51="","",IF(O51=0,"Sim","Não"))</f>
        <v/>
      </c>
    </row>
    <row r="52" customFormat="false" ht="15" hidden="false" customHeight="false" outlineLevel="0" collapsed="false">
      <c r="A52" s="10" t="s">
        <v>173</v>
      </c>
      <c r="B52" s="10" t="s">
        <v>169</v>
      </c>
      <c r="C52" s="11" t="n">
        <v>1</v>
      </c>
      <c r="D52" s="11" t="n">
        <v>3</v>
      </c>
      <c r="E52" s="10" t="s">
        <v>78</v>
      </c>
      <c r="F52" s="10" t="s">
        <v>67</v>
      </c>
      <c r="G52" s="10" t="s">
        <v>85</v>
      </c>
      <c r="H52" s="10" t="s">
        <v>174</v>
      </c>
      <c r="I52" s="12"/>
      <c r="J52" s="13"/>
      <c r="K52" s="13"/>
      <c r="L52" s="13"/>
      <c r="M52" s="13"/>
      <c r="N52" s="13"/>
      <c r="O52" s="11" t="n">
        <f aca="false">COUNTIF(Apontamentos!$A$2:$A$601,A52)</f>
        <v>0</v>
      </c>
      <c r="P52" s="11" t="str">
        <f aca="false">IF(I52="","",IF(O52=0,"Sim","Não"))</f>
        <v/>
      </c>
    </row>
    <row r="53" customFormat="false" ht="15" hidden="false" customHeight="false" outlineLevel="0" collapsed="false">
      <c r="A53" s="10" t="s">
        <v>175</v>
      </c>
      <c r="B53" s="10" t="s">
        <v>169</v>
      </c>
      <c r="C53" s="11" t="n">
        <v>1</v>
      </c>
      <c r="D53" s="11" t="n">
        <v>4</v>
      </c>
      <c r="E53" s="10" t="s">
        <v>78</v>
      </c>
      <c r="F53" s="10" t="s">
        <v>59</v>
      </c>
      <c r="G53" s="10" t="s">
        <v>79</v>
      </c>
      <c r="H53" s="10" t="s">
        <v>176</v>
      </c>
      <c r="I53" s="12"/>
      <c r="J53" s="13"/>
      <c r="K53" s="13"/>
      <c r="L53" s="13"/>
      <c r="M53" s="13"/>
      <c r="N53" s="13"/>
      <c r="O53" s="11" t="n">
        <f aca="false">COUNTIF(Apontamentos!$A$2:$A$601,A53)</f>
        <v>0</v>
      </c>
      <c r="P53" s="11" t="str">
        <f aca="false">IF(I53="","",IF(O53=0,"Sim","Não"))</f>
        <v/>
      </c>
    </row>
    <row r="54" customFormat="false" ht="15" hidden="false" customHeight="false" outlineLevel="0" collapsed="false">
      <c r="A54" s="10" t="s">
        <v>177</v>
      </c>
      <c r="B54" s="10" t="s">
        <v>169</v>
      </c>
      <c r="C54" s="11" t="n">
        <v>1</v>
      </c>
      <c r="D54" s="11" t="n">
        <v>5</v>
      </c>
      <c r="E54" s="10" t="s">
        <v>63</v>
      </c>
      <c r="F54" s="10" t="s">
        <v>59</v>
      </c>
      <c r="G54" s="10" t="s">
        <v>64</v>
      </c>
      <c r="H54" s="10" t="s">
        <v>178</v>
      </c>
      <c r="I54" s="12"/>
      <c r="J54" s="13"/>
      <c r="K54" s="13"/>
      <c r="L54" s="13"/>
      <c r="M54" s="13"/>
      <c r="N54" s="13"/>
      <c r="O54" s="11" t="n">
        <f aca="false">COUNTIF(Apontamentos!$A$2:$A$601,A54)</f>
        <v>0</v>
      </c>
      <c r="P54" s="11" t="str">
        <f aca="false">IF(I54="","",IF(O54=0,"Sim","Não"))</f>
        <v/>
      </c>
    </row>
    <row r="55" customFormat="false" ht="15" hidden="false" customHeight="false" outlineLevel="0" collapsed="false">
      <c r="A55" s="10" t="s">
        <v>179</v>
      </c>
      <c r="B55" s="10" t="s">
        <v>169</v>
      </c>
      <c r="C55" s="11" t="n">
        <v>1</v>
      </c>
      <c r="D55" s="11" t="n">
        <v>6</v>
      </c>
      <c r="E55" s="10" t="s">
        <v>71</v>
      </c>
      <c r="F55" s="10" t="s">
        <v>59</v>
      </c>
      <c r="G55" s="10" t="s">
        <v>72</v>
      </c>
      <c r="H55" s="10" t="s">
        <v>180</v>
      </c>
      <c r="I55" s="12"/>
      <c r="J55" s="13"/>
      <c r="K55" s="13"/>
      <c r="L55" s="13"/>
      <c r="M55" s="13"/>
      <c r="N55" s="13"/>
      <c r="O55" s="11" t="n">
        <f aca="false">COUNTIF(Apontamentos!$A$2:$A$601,A55)</f>
        <v>0</v>
      </c>
      <c r="P55" s="11" t="str">
        <f aca="false">IF(I55="","",IF(O55=0,"Sim","Não"))</f>
        <v/>
      </c>
    </row>
    <row r="56" customFormat="false" ht="15" hidden="false" customHeight="false" outlineLevel="0" collapsed="false">
      <c r="A56" s="10" t="s">
        <v>181</v>
      </c>
      <c r="B56" s="10" t="s">
        <v>169</v>
      </c>
      <c r="C56" s="11" t="n">
        <v>1</v>
      </c>
      <c r="D56" s="11" t="n">
        <v>7</v>
      </c>
      <c r="E56" s="10" t="s">
        <v>71</v>
      </c>
      <c r="F56" s="10" t="s">
        <v>67</v>
      </c>
      <c r="G56" s="10" t="s">
        <v>82</v>
      </c>
      <c r="H56" s="10" t="s">
        <v>182</v>
      </c>
      <c r="I56" s="12"/>
      <c r="J56" s="13"/>
      <c r="K56" s="13"/>
      <c r="L56" s="13"/>
      <c r="M56" s="13"/>
      <c r="N56" s="13"/>
      <c r="O56" s="11" t="n">
        <f aca="false">COUNTIF(Apontamentos!$A$2:$A$601,A56)</f>
        <v>0</v>
      </c>
      <c r="P56" s="11" t="str">
        <f aca="false">IF(I56="","",IF(O56=0,"Sim","Não"))</f>
        <v/>
      </c>
    </row>
    <row r="57" customFormat="false" ht="15" hidden="false" customHeight="false" outlineLevel="0" collapsed="false">
      <c r="A57" s="10" t="s">
        <v>183</v>
      </c>
      <c r="B57" s="10" t="s">
        <v>169</v>
      </c>
      <c r="C57" s="11" t="n">
        <v>1</v>
      </c>
      <c r="D57" s="11" t="n">
        <v>8</v>
      </c>
      <c r="E57" s="10" t="s">
        <v>63</v>
      </c>
      <c r="F57" s="10" t="s">
        <v>67</v>
      </c>
      <c r="G57" s="10" t="s">
        <v>75</v>
      </c>
      <c r="H57" s="10" t="s">
        <v>184</v>
      </c>
      <c r="I57" s="12"/>
      <c r="J57" s="13"/>
      <c r="K57" s="13"/>
      <c r="L57" s="13"/>
      <c r="M57" s="13"/>
      <c r="N57" s="13"/>
      <c r="O57" s="11" t="n">
        <f aca="false">COUNTIF(Apontamentos!$A$2:$A$601,A57)</f>
        <v>0</v>
      </c>
      <c r="P57" s="11" t="str">
        <f aca="false">IF(I57="","",IF(O57=0,"Sim","Não"))</f>
        <v/>
      </c>
    </row>
    <row r="58" customFormat="false" ht="15" hidden="false" customHeight="false" outlineLevel="0" collapsed="false">
      <c r="A58" s="10" t="s">
        <v>185</v>
      </c>
      <c r="B58" s="10" t="s">
        <v>169</v>
      </c>
      <c r="C58" s="11" t="n">
        <v>2</v>
      </c>
      <c r="D58" s="11" t="n">
        <v>1</v>
      </c>
      <c r="E58" s="10" t="s">
        <v>58</v>
      </c>
      <c r="F58" s="10" t="s">
        <v>67</v>
      </c>
      <c r="G58" s="10" t="s">
        <v>68</v>
      </c>
      <c r="H58" s="10" t="s">
        <v>186</v>
      </c>
      <c r="I58" s="12"/>
      <c r="J58" s="13"/>
      <c r="K58" s="13"/>
      <c r="L58" s="13"/>
      <c r="M58" s="13"/>
      <c r="N58" s="13"/>
      <c r="O58" s="11" t="n">
        <f aca="false">COUNTIF(Apontamentos!$A$2:$A$601,A58)</f>
        <v>0</v>
      </c>
      <c r="P58" s="11" t="str">
        <f aca="false">IF(I58="","",IF(O58=0,"Sim","Não"))</f>
        <v/>
      </c>
    </row>
    <row r="59" customFormat="false" ht="15" hidden="false" customHeight="false" outlineLevel="0" collapsed="false">
      <c r="A59" s="10" t="s">
        <v>187</v>
      </c>
      <c r="B59" s="10" t="s">
        <v>169</v>
      </c>
      <c r="C59" s="11" t="n">
        <v>2</v>
      </c>
      <c r="D59" s="11" t="n">
        <v>2</v>
      </c>
      <c r="E59" s="10" t="s">
        <v>63</v>
      </c>
      <c r="F59" s="10" t="s">
        <v>67</v>
      </c>
      <c r="G59" s="10" t="s">
        <v>75</v>
      </c>
      <c r="H59" s="10" t="s">
        <v>188</v>
      </c>
      <c r="I59" s="12"/>
      <c r="J59" s="13"/>
      <c r="K59" s="13"/>
      <c r="L59" s="13"/>
      <c r="M59" s="13"/>
      <c r="N59" s="13"/>
      <c r="O59" s="11" t="n">
        <f aca="false">COUNTIF(Apontamentos!$A$2:$A$601,A59)</f>
        <v>0</v>
      </c>
      <c r="P59" s="11" t="str">
        <f aca="false">IF(I59="","",IF(O59=0,"Sim","Não"))</f>
        <v/>
      </c>
    </row>
    <row r="60" customFormat="false" ht="15" hidden="false" customHeight="false" outlineLevel="0" collapsed="false">
      <c r="A60" s="10" t="s">
        <v>189</v>
      </c>
      <c r="B60" s="10" t="s">
        <v>169</v>
      </c>
      <c r="C60" s="11" t="n">
        <v>2</v>
      </c>
      <c r="D60" s="11" t="n">
        <v>3</v>
      </c>
      <c r="E60" s="10" t="s">
        <v>71</v>
      </c>
      <c r="F60" s="10" t="s">
        <v>67</v>
      </c>
      <c r="G60" s="10" t="s">
        <v>82</v>
      </c>
      <c r="H60" s="10" t="s">
        <v>190</v>
      </c>
      <c r="I60" s="12"/>
      <c r="J60" s="13"/>
      <c r="K60" s="13"/>
      <c r="L60" s="13"/>
      <c r="M60" s="13"/>
      <c r="N60" s="13"/>
      <c r="O60" s="11" t="n">
        <f aca="false">COUNTIF(Apontamentos!$A$2:$A$601,A60)</f>
        <v>0</v>
      </c>
      <c r="P60" s="11" t="str">
        <f aca="false">IF(I60="","",IF(O60=0,"Sim","Não"))</f>
        <v/>
      </c>
    </row>
    <row r="61" customFormat="false" ht="15" hidden="false" customHeight="false" outlineLevel="0" collapsed="false">
      <c r="A61" s="10" t="s">
        <v>191</v>
      </c>
      <c r="B61" s="10" t="s">
        <v>169</v>
      </c>
      <c r="C61" s="11" t="n">
        <v>2</v>
      </c>
      <c r="D61" s="11" t="n">
        <v>4</v>
      </c>
      <c r="E61" s="10" t="s">
        <v>71</v>
      </c>
      <c r="F61" s="10" t="s">
        <v>59</v>
      </c>
      <c r="G61" s="10" t="s">
        <v>72</v>
      </c>
      <c r="H61" s="10" t="s">
        <v>192</v>
      </c>
      <c r="I61" s="12"/>
      <c r="J61" s="13"/>
      <c r="K61" s="13"/>
      <c r="L61" s="13"/>
      <c r="M61" s="13"/>
      <c r="N61" s="13"/>
      <c r="O61" s="11" t="n">
        <f aca="false">COUNTIF(Apontamentos!$A$2:$A$601,A61)</f>
        <v>0</v>
      </c>
      <c r="P61" s="11" t="str">
        <f aca="false">IF(I61="","",IF(O61=0,"Sim","Não"))</f>
        <v/>
      </c>
    </row>
    <row r="62" customFormat="false" ht="15" hidden="false" customHeight="false" outlineLevel="0" collapsed="false">
      <c r="A62" s="10" t="s">
        <v>193</v>
      </c>
      <c r="B62" s="10" t="s">
        <v>169</v>
      </c>
      <c r="C62" s="11" t="n">
        <v>2</v>
      </c>
      <c r="D62" s="11" t="n">
        <v>5</v>
      </c>
      <c r="E62" s="10" t="s">
        <v>78</v>
      </c>
      <c r="F62" s="10" t="s">
        <v>67</v>
      </c>
      <c r="G62" s="10" t="s">
        <v>85</v>
      </c>
      <c r="H62" s="10" t="s">
        <v>194</v>
      </c>
      <c r="I62" s="12"/>
      <c r="J62" s="13"/>
      <c r="K62" s="13"/>
      <c r="L62" s="13"/>
      <c r="M62" s="13"/>
      <c r="N62" s="13"/>
      <c r="O62" s="11" t="n">
        <f aca="false">COUNTIF(Apontamentos!$A$2:$A$601,A62)</f>
        <v>0</v>
      </c>
      <c r="P62" s="11" t="str">
        <f aca="false">IF(I62="","",IF(O62=0,"Sim","Não"))</f>
        <v/>
      </c>
    </row>
    <row r="63" customFormat="false" ht="15" hidden="false" customHeight="false" outlineLevel="0" collapsed="false">
      <c r="A63" s="10" t="s">
        <v>195</v>
      </c>
      <c r="B63" s="10" t="s">
        <v>169</v>
      </c>
      <c r="C63" s="11" t="n">
        <v>2</v>
      </c>
      <c r="D63" s="11" t="n">
        <v>6</v>
      </c>
      <c r="E63" s="10" t="s">
        <v>78</v>
      </c>
      <c r="F63" s="10" t="s">
        <v>59</v>
      </c>
      <c r="G63" s="10" t="s">
        <v>79</v>
      </c>
      <c r="H63" s="10" t="s">
        <v>196</v>
      </c>
      <c r="I63" s="12"/>
      <c r="J63" s="13"/>
      <c r="K63" s="13"/>
      <c r="L63" s="13"/>
      <c r="M63" s="13"/>
      <c r="N63" s="13"/>
      <c r="O63" s="11" t="n">
        <f aca="false">COUNTIF(Apontamentos!$A$2:$A$601,A63)</f>
        <v>0</v>
      </c>
      <c r="P63" s="11" t="str">
        <f aca="false">IF(I63="","",IF(O63=0,"Sim","Não"))</f>
        <v/>
      </c>
    </row>
    <row r="64" customFormat="false" ht="15" hidden="false" customHeight="false" outlineLevel="0" collapsed="false">
      <c r="A64" s="10" t="s">
        <v>197</v>
      </c>
      <c r="B64" s="10" t="s">
        <v>169</v>
      </c>
      <c r="C64" s="11" t="n">
        <v>2</v>
      </c>
      <c r="D64" s="11" t="n">
        <v>7</v>
      </c>
      <c r="E64" s="10" t="s">
        <v>63</v>
      </c>
      <c r="F64" s="10" t="s">
        <v>59</v>
      </c>
      <c r="G64" s="10" t="s">
        <v>64</v>
      </c>
      <c r="H64" s="10" t="s">
        <v>198</v>
      </c>
      <c r="I64" s="12"/>
      <c r="J64" s="13"/>
      <c r="K64" s="13"/>
      <c r="L64" s="13"/>
      <c r="M64" s="13"/>
      <c r="N64" s="13"/>
      <c r="O64" s="11" t="n">
        <f aca="false">COUNTIF(Apontamentos!$A$2:$A$601,A64)</f>
        <v>0</v>
      </c>
      <c r="P64" s="11" t="str">
        <f aca="false">IF(I64="","",IF(O64=0,"Sim","Não"))</f>
        <v/>
      </c>
    </row>
    <row r="65" customFormat="false" ht="15" hidden="false" customHeight="false" outlineLevel="0" collapsed="false">
      <c r="A65" s="10" t="s">
        <v>199</v>
      </c>
      <c r="B65" s="10" t="s">
        <v>169</v>
      </c>
      <c r="C65" s="11" t="n">
        <v>2</v>
      </c>
      <c r="D65" s="11" t="n">
        <v>8</v>
      </c>
      <c r="E65" s="10" t="s">
        <v>58</v>
      </c>
      <c r="F65" s="10" t="s">
        <v>59</v>
      </c>
      <c r="G65" s="10" t="s">
        <v>60</v>
      </c>
      <c r="H65" s="10" t="s">
        <v>200</v>
      </c>
      <c r="I65" s="12"/>
      <c r="J65" s="13"/>
      <c r="K65" s="13"/>
      <c r="L65" s="13"/>
      <c r="M65" s="13"/>
      <c r="N65" s="13"/>
      <c r="O65" s="11" t="n">
        <f aca="false">COUNTIF(Apontamentos!$A$2:$A$601,A65)</f>
        <v>0</v>
      </c>
      <c r="P65" s="11" t="str">
        <f aca="false">IF(I65="","",IF(O65=0,"Sim","Não"))</f>
        <v/>
      </c>
    </row>
    <row r="66" customFormat="false" ht="15" hidden="false" customHeight="false" outlineLevel="0" collapsed="false">
      <c r="A66" s="10" t="s">
        <v>201</v>
      </c>
      <c r="B66" s="10" t="s">
        <v>169</v>
      </c>
      <c r="C66" s="11" t="n">
        <v>3</v>
      </c>
      <c r="D66" s="11" t="n">
        <v>1</v>
      </c>
      <c r="E66" s="10" t="s">
        <v>71</v>
      </c>
      <c r="F66" s="10" t="s">
        <v>59</v>
      </c>
      <c r="G66" s="10" t="s">
        <v>72</v>
      </c>
      <c r="H66" s="10" t="s">
        <v>202</v>
      </c>
      <c r="I66" s="12"/>
      <c r="J66" s="13"/>
      <c r="K66" s="13"/>
      <c r="L66" s="13"/>
      <c r="M66" s="13"/>
      <c r="N66" s="13"/>
      <c r="O66" s="11" t="n">
        <f aca="false">COUNTIF(Apontamentos!$A$2:$A$601,A66)</f>
        <v>0</v>
      </c>
      <c r="P66" s="11" t="str">
        <f aca="false">IF(I66="","",IF(O66=0,"Sim","Não"))</f>
        <v/>
      </c>
    </row>
    <row r="67" customFormat="false" ht="15" hidden="false" customHeight="false" outlineLevel="0" collapsed="false">
      <c r="A67" s="10" t="s">
        <v>203</v>
      </c>
      <c r="B67" s="10" t="s">
        <v>169</v>
      </c>
      <c r="C67" s="11" t="n">
        <v>3</v>
      </c>
      <c r="D67" s="11" t="n">
        <v>2</v>
      </c>
      <c r="E67" s="10" t="s">
        <v>58</v>
      </c>
      <c r="F67" s="10" t="s">
        <v>67</v>
      </c>
      <c r="G67" s="10" t="s">
        <v>68</v>
      </c>
      <c r="H67" s="10" t="s">
        <v>204</v>
      </c>
      <c r="I67" s="12"/>
      <c r="J67" s="13"/>
      <c r="K67" s="13"/>
      <c r="L67" s="13"/>
      <c r="M67" s="13"/>
      <c r="N67" s="13"/>
      <c r="O67" s="11" t="n">
        <f aca="false">COUNTIF(Apontamentos!$A$2:$A$601,A67)</f>
        <v>0</v>
      </c>
      <c r="P67" s="11" t="str">
        <f aca="false">IF(I67="","",IF(O67=0,"Sim","Não"))</f>
        <v/>
      </c>
    </row>
    <row r="68" customFormat="false" ht="15" hidden="false" customHeight="false" outlineLevel="0" collapsed="false">
      <c r="A68" s="10" t="s">
        <v>205</v>
      </c>
      <c r="B68" s="10" t="s">
        <v>169</v>
      </c>
      <c r="C68" s="11" t="n">
        <v>3</v>
      </c>
      <c r="D68" s="11" t="n">
        <v>3</v>
      </c>
      <c r="E68" s="10" t="s">
        <v>78</v>
      </c>
      <c r="F68" s="10" t="s">
        <v>59</v>
      </c>
      <c r="G68" s="10" t="s">
        <v>79</v>
      </c>
      <c r="H68" s="10" t="s">
        <v>206</v>
      </c>
      <c r="I68" s="12"/>
      <c r="J68" s="13"/>
      <c r="K68" s="13"/>
      <c r="L68" s="13"/>
      <c r="M68" s="13"/>
      <c r="N68" s="13"/>
      <c r="O68" s="11" t="n">
        <f aca="false">COUNTIF(Apontamentos!$A$2:$A$601,A68)</f>
        <v>0</v>
      </c>
      <c r="P68" s="11" t="str">
        <f aca="false">IF(I68="","",IF(O68=0,"Sim","Não"))</f>
        <v/>
      </c>
    </row>
    <row r="69" customFormat="false" ht="15" hidden="false" customHeight="false" outlineLevel="0" collapsed="false">
      <c r="A69" s="10" t="s">
        <v>207</v>
      </c>
      <c r="B69" s="10" t="s">
        <v>169</v>
      </c>
      <c r="C69" s="11" t="n">
        <v>3</v>
      </c>
      <c r="D69" s="11" t="n">
        <v>4</v>
      </c>
      <c r="E69" s="10" t="s">
        <v>71</v>
      </c>
      <c r="F69" s="10" t="s">
        <v>67</v>
      </c>
      <c r="G69" s="10" t="s">
        <v>82</v>
      </c>
      <c r="H69" s="10" t="s">
        <v>208</v>
      </c>
      <c r="I69" s="12"/>
      <c r="J69" s="13"/>
      <c r="K69" s="13"/>
      <c r="L69" s="13"/>
      <c r="M69" s="13"/>
      <c r="N69" s="13"/>
      <c r="O69" s="11" t="n">
        <f aca="false">COUNTIF(Apontamentos!$A$2:$A$601,A69)</f>
        <v>0</v>
      </c>
      <c r="P69" s="11" t="str">
        <f aca="false">IF(I69="","",IF(O69=0,"Sim","Não"))</f>
        <v/>
      </c>
    </row>
    <row r="70" customFormat="false" ht="15" hidden="false" customHeight="false" outlineLevel="0" collapsed="false">
      <c r="A70" s="10" t="s">
        <v>209</v>
      </c>
      <c r="B70" s="10" t="s">
        <v>169</v>
      </c>
      <c r="C70" s="11" t="n">
        <v>3</v>
      </c>
      <c r="D70" s="11" t="n">
        <v>5</v>
      </c>
      <c r="E70" s="10" t="s">
        <v>63</v>
      </c>
      <c r="F70" s="10" t="s">
        <v>59</v>
      </c>
      <c r="G70" s="10" t="s">
        <v>64</v>
      </c>
      <c r="H70" s="10" t="s">
        <v>210</v>
      </c>
      <c r="I70" s="12"/>
      <c r="J70" s="13"/>
      <c r="K70" s="13"/>
      <c r="L70" s="13"/>
      <c r="M70" s="13"/>
      <c r="N70" s="13"/>
      <c r="O70" s="11" t="n">
        <f aca="false">COUNTIF(Apontamentos!$A$2:$A$601,A70)</f>
        <v>0</v>
      </c>
      <c r="P70" s="11" t="str">
        <f aca="false">IF(I70="","",IF(O70=0,"Sim","Não"))</f>
        <v/>
      </c>
    </row>
    <row r="71" customFormat="false" ht="15" hidden="false" customHeight="false" outlineLevel="0" collapsed="false">
      <c r="A71" s="10" t="s">
        <v>211</v>
      </c>
      <c r="B71" s="10" t="s">
        <v>169</v>
      </c>
      <c r="C71" s="11" t="n">
        <v>3</v>
      </c>
      <c r="D71" s="11" t="n">
        <v>6</v>
      </c>
      <c r="E71" s="10" t="s">
        <v>63</v>
      </c>
      <c r="F71" s="10" t="s">
        <v>67</v>
      </c>
      <c r="G71" s="10" t="s">
        <v>75</v>
      </c>
      <c r="H71" s="10" t="s">
        <v>212</v>
      </c>
      <c r="I71" s="12"/>
      <c r="J71" s="13"/>
      <c r="K71" s="13"/>
      <c r="L71" s="13"/>
      <c r="M71" s="13"/>
      <c r="N71" s="13"/>
      <c r="O71" s="11" t="n">
        <f aca="false">COUNTIF(Apontamentos!$A$2:$A$601,A71)</f>
        <v>0</v>
      </c>
      <c r="P71" s="11" t="str">
        <f aca="false">IF(I71="","",IF(O71=0,"Sim","Não"))</f>
        <v/>
      </c>
    </row>
    <row r="72" customFormat="false" ht="15" hidden="false" customHeight="false" outlineLevel="0" collapsed="false">
      <c r="A72" s="10" t="s">
        <v>213</v>
      </c>
      <c r="B72" s="10" t="s">
        <v>169</v>
      </c>
      <c r="C72" s="11" t="n">
        <v>3</v>
      </c>
      <c r="D72" s="11" t="n">
        <v>7</v>
      </c>
      <c r="E72" s="10" t="s">
        <v>58</v>
      </c>
      <c r="F72" s="10" t="s">
        <v>59</v>
      </c>
      <c r="G72" s="10" t="s">
        <v>60</v>
      </c>
      <c r="H72" s="10" t="s">
        <v>214</v>
      </c>
      <c r="I72" s="12"/>
      <c r="J72" s="13"/>
      <c r="K72" s="13"/>
      <c r="L72" s="13"/>
      <c r="M72" s="13"/>
      <c r="N72" s="13"/>
      <c r="O72" s="11" t="n">
        <f aca="false">COUNTIF(Apontamentos!$A$2:$A$601,A72)</f>
        <v>0</v>
      </c>
      <c r="P72" s="11" t="str">
        <f aca="false">IF(I72="","",IF(O72=0,"Sim","Não"))</f>
        <v/>
      </c>
    </row>
    <row r="73" customFormat="false" ht="15" hidden="false" customHeight="false" outlineLevel="0" collapsed="false">
      <c r="A73" s="10" t="s">
        <v>215</v>
      </c>
      <c r="B73" s="10" t="s">
        <v>169</v>
      </c>
      <c r="C73" s="11" t="n">
        <v>3</v>
      </c>
      <c r="D73" s="11" t="n">
        <v>8</v>
      </c>
      <c r="E73" s="10" t="s">
        <v>78</v>
      </c>
      <c r="F73" s="10" t="s">
        <v>67</v>
      </c>
      <c r="G73" s="10" t="s">
        <v>85</v>
      </c>
      <c r="H73" s="10" t="s">
        <v>216</v>
      </c>
      <c r="I73" s="12"/>
      <c r="J73" s="13"/>
      <c r="K73" s="13"/>
      <c r="L73" s="13"/>
      <c r="M73" s="13"/>
      <c r="N73" s="13"/>
      <c r="O73" s="11" t="n">
        <f aca="false">COUNTIF(Apontamentos!$A$2:$A$601,A73)</f>
        <v>0</v>
      </c>
      <c r="P73" s="11" t="str">
        <f aca="false">IF(I73="","",IF(O73=0,"Sim","Não"))</f>
        <v/>
      </c>
    </row>
    <row r="74" customFormat="false" ht="15" hidden="false" customHeight="false" outlineLevel="0" collapsed="false">
      <c r="A74" s="10" t="s">
        <v>217</v>
      </c>
      <c r="B74" s="10" t="s">
        <v>218</v>
      </c>
      <c r="C74" s="11" t="n">
        <v>1</v>
      </c>
      <c r="D74" s="11" t="n">
        <v>1</v>
      </c>
      <c r="E74" s="10" t="s">
        <v>58</v>
      </c>
      <c r="F74" s="10" t="s">
        <v>59</v>
      </c>
      <c r="G74" s="10" t="s">
        <v>60</v>
      </c>
      <c r="H74" s="10" t="s">
        <v>219</v>
      </c>
      <c r="I74" s="12"/>
      <c r="J74" s="13"/>
      <c r="K74" s="13"/>
      <c r="L74" s="13"/>
      <c r="M74" s="13"/>
      <c r="N74" s="13"/>
      <c r="O74" s="11" t="n">
        <f aca="false">COUNTIF(Apontamentos!$A$2:$A$601,A74)</f>
        <v>0</v>
      </c>
      <c r="P74" s="11" t="str">
        <f aca="false">IF(I74="","",IF(O74=0,"Sim","Não"))</f>
        <v/>
      </c>
    </row>
    <row r="75" customFormat="false" ht="15" hidden="false" customHeight="false" outlineLevel="0" collapsed="false">
      <c r="A75" s="10" t="s">
        <v>220</v>
      </c>
      <c r="B75" s="10" t="s">
        <v>218</v>
      </c>
      <c r="C75" s="11" t="n">
        <v>1</v>
      </c>
      <c r="D75" s="11" t="n">
        <v>2</v>
      </c>
      <c r="E75" s="10" t="s">
        <v>63</v>
      </c>
      <c r="F75" s="10" t="s">
        <v>59</v>
      </c>
      <c r="G75" s="10" t="s">
        <v>64</v>
      </c>
      <c r="H75" s="10" t="s">
        <v>221</v>
      </c>
      <c r="I75" s="12"/>
      <c r="J75" s="13"/>
      <c r="K75" s="13"/>
      <c r="L75" s="13"/>
      <c r="M75" s="13"/>
      <c r="N75" s="13"/>
      <c r="O75" s="11" t="n">
        <f aca="false">COUNTIF(Apontamentos!$A$2:$A$601,A75)</f>
        <v>0</v>
      </c>
      <c r="P75" s="11" t="str">
        <f aca="false">IF(I75="","",IF(O75=0,"Sim","Não"))</f>
        <v/>
      </c>
    </row>
    <row r="76" customFormat="false" ht="15" hidden="false" customHeight="false" outlineLevel="0" collapsed="false">
      <c r="A76" s="10" t="s">
        <v>222</v>
      </c>
      <c r="B76" s="10" t="s">
        <v>218</v>
      </c>
      <c r="C76" s="11" t="n">
        <v>1</v>
      </c>
      <c r="D76" s="11" t="n">
        <v>3</v>
      </c>
      <c r="E76" s="10" t="s">
        <v>58</v>
      </c>
      <c r="F76" s="10" t="s">
        <v>67</v>
      </c>
      <c r="G76" s="10" t="s">
        <v>68</v>
      </c>
      <c r="H76" s="10" t="s">
        <v>223</v>
      </c>
      <c r="I76" s="12"/>
      <c r="J76" s="13"/>
      <c r="K76" s="13"/>
      <c r="L76" s="13"/>
      <c r="M76" s="13"/>
      <c r="N76" s="13"/>
      <c r="O76" s="11" t="n">
        <f aca="false">COUNTIF(Apontamentos!$A$2:$A$601,A76)</f>
        <v>0</v>
      </c>
      <c r="P76" s="11" t="str">
        <f aca="false">IF(I76="","",IF(O76=0,"Sim","Não"))</f>
        <v/>
      </c>
    </row>
    <row r="77" customFormat="false" ht="15" hidden="false" customHeight="false" outlineLevel="0" collapsed="false">
      <c r="A77" s="10" t="s">
        <v>224</v>
      </c>
      <c r="B77" s="10" t="s">
        <v>218</v>
      </c>
      <c r="C77" s="11" t="n">
        <v>1</v>
      </c>
      <c r="D77" s="11" t="n">
        <v>4</v>
      </c>
      <c r="E77" s="10" t="s">
        <v>71</v>
      </c>
      <c r="F77" s="10" t="s">
        <v>59</v>
      </c>
      <c r="G77" s="10" t="s">
        <v>72</v>
      </c>
      <c r="H77" s="10" t="s">
        <v>225</v>
      </c>
      <c r="I77" s="12"/>
      <c r="J77" s="13"/>
      <c r="K77" s="13"/>
      <c r="L77" s="13"/>
      <c r="M77" s="13"/>
      <c r="N77" s="13"/>
      <c r="O77" s="11" t="n">
        <f aca="false">COUNTIF(Apontamentos!$A$2:$A$601,A77)</f>
        <v>0</v>
      </c>
      <c r="P77" s="11" t="str">
        <f aca="false">IF(I77="","",IF(O77=0,"Sim","Não"))</f>
        <v/>
      </c>
    </row>
    <row r="78" customFormat="false" ht="15" hidden="false" customHeight="false" outlineLevel="0" collapsed="false">
      <c r="A78" s="10" t="s">
        <v>226</v>
      </c>
      <c r="B78" s="10" t="s">
        <v>218</v>
      </c>
      <c r="C78" s="11" t="n">
        <v>1</v>
      </c>
      <c r="D78" s="11" t="n">
        <v>5</v>
      </c>
      <c r="E78" s="10" t="s">
        <v>63</v>
      </c>
      <c r="F78" s="10" t="s">
        <v>67</v>
      </c>
      <c r="G78" s="10" t="s">
        <v>75</v>
      </c>
      <c r="H78" s="10" t="s">
        <v>227</v>
      </c>
      <c r="I78" s="12"/>
      <c r="J78" s="13"/>
      <c r="K78" s="13"/>
      <c r="L78" s="13"/>
      <c r="M78" s="13"/>
      <c r="N78" s="13"/>
      <c r="O78" s="11" t="n">
        <f aca="false">COUNTIF(Apontamentos!$A$2:$A$601,A78)</f>
        <v>0</v>
      </c>
      <c r="P78" s="11" t="str">
        <f aca="false">IF(I78="","",IF(O78=0,"Sim","Não"))</f>
        <v/>
      </c>
    </row>
    <row r="79" customFormat="false" ht="15" hidden="false" customHeight="false" outlineLevel="0" collapsed="false">
      <c r="A79" s="10" t="s">
        <v>228</v>
      </c>
      <c r="B79" s="10" t="s">
        <v>218</v>
      </c>
      <c r="C79" s="11" t="n">
        <v>1</v>
      </c>
      <c r="D79" s="11" t="n">
        <v>6</v>
      </c>
      <c r="E79" s="10" t="s">
        <v>78</v>
      </c>
      <c r="F79" s="10" t="s">
        <v>59</v>
      </c>
      <c r="G79" s="10" t="s">
        <v>79</v>
      </c>
      <c r="H79" s="10" t="s">
        <v>229</v>
      </c>
      <c r="I79" s="12"/>
      <c r="J79" s="13"/>
      <c r="K79" s="13"/>
      <c r="L79" s="13"/>
      <c r="M79" s="13"/>
      <c r="N79" s="13"/>
      <c r="O79" s="11" t="n">
        <f aca="false">COUNTIF(Apontamentos!$A$2:$A$601,A79)</f>
        <v>0</v>
      </c>
      <c r="P79" s="11" t="str">
        <f aca="false">IF(I79="","",IF(O79=0,"Sim","Não"))</f>
        <v/>
      </c>
    </row>
    <row r="80" customFormat="false" ht="15" hidden="false" customHeight="false" outlineLevel="0" collapsed="false">
      <c r="A80" s="10" t="s">
        <v>230</v>
      </c>
      <c r="B80" s="10" t="s">
        <v>218</v>
      </c>
      <c r="C80" s="11" t="n">
        <v>1</v>
      </c>
      <c r="D80" s="11" t="n">
        <v>7</v>
      </c>
      <c r="E80" s="10" t="s">
        <v>78</v>
      </c>
      <c r="F80" s="10" t="s">
        <v>67</v>
      </c>
      <c r="G80" s="10" t="s">
        <v>85</v>
      </c>
      <c r="H80" s="10" t="s">
        <v>231</v>
      </c>
      <c r="I80" s="12"/>
      <c r="J80" s="13"/>
      <c r="K80" s="13"/>
      <c r="L80" s="13"/>
      <c r="M80" s="13"/>
      <c r="N80" s="13"/>
      <c r="O80" s="11" t="n">
        <f aca="false">COUNTIF(Apontamentos!$A$2:$A$601,A80)</f>
        <v>0</v>
      </c>
      <c r="P80" s="11" t="str">
        <f aca="false">IF(I80="","",IF(O80=0,"Sim","Não"))</f>
        <v/>
      </c>
    </row>
    <row r="81" customFormat="false" ht="15" hidden="false" customHeight="false" outlineLevel="0" collapsed="false">
      <c r="A81" s="10" t="s">
        <v>232</v>
      </c>
      <c r="B81" s="10" t="s">
        <v>218</v>
      </c>
      <c r="C81" s="11" t="n">
        <v>1</v>
      </c>
      <c r="D81" s="11" t="n">
        <v>8</v>
      </c>
      <c r="E81" s="10" t="s">
        <v>71</v>
      </c>
      <c r="F81" s="10" t="s">
        <v>67</v>
      </c>
      <c r="G81" s="10" t="s">
        <v>82</v>
      </c>
      <c r="H81" s="10" t="s">
        <v>233</v>
      </c>
      <c r="I81" s="12"/>
      <c r="J81" s="13"/>
      <c r="K81" s="13"/>
      <c r="L81" s="13"/>
      <c r="M81" s="13"/>
      <c r="N81" s="13"/>
      <c r="O81" s="11" t="n">
        <f aca="false">COUNTIF(Apontamentos!$A$2:$A$601,A81)</f>
        <v>0</v>
      </c>
      <c r="P81" s="11" t="str">
        <f aca="false">IF(I81="","",IF(O81=0,"Sim","Não"))</f>
        <v/>
      </c>
    </row>
    <row r="82" customFormat="false" ht="15" hidden="false" customHeight="false" outlineLevel="0" collapsed="false">
      <c r="A82" s="10" t="s">
        <v>234</v>
      </c>
      <c r="B82" s="10" t="s">
        <v>218</v>
      </c>
      <c r="C82" s="11" t="n">
        <v>2</v>
      </c>
      <c r="D82" s="11" t="n">
        <v>1</v>
      </c>
      <c r="E82" s="10" t="s">
        <v>58</v>
      </c>
      <c r="F82" s="10" t="s">
        <v>59</v>
      </c>
      <c r="G82" s="10" t="s">
        <v>60</v>
      </c>
      <c r="H82" s="10" t="s">
        <v>235</v>
      </c>
      <c r="I82" s="12"/>
      <c r="J82" s="13"/>
      <c r="K82" s="13"/>
      <c r="L82" s="13"/>
      <c r="M82" s="13"/>
      <c r="N82" s="13"/>
      <c r="O82" s="11" t="n">
        <f aca="false">COUNTIF(Apontamentos!$A$2:$A$601,A82)</f>
        <v>0</v>
      </c>
      <c r="P82" s="11" t="str">
        <f aca="false">IF(I82="","",IF(O82=0,"Sim","Não"))</f>
        <v/>
      </c>
    </row>
    <row r="83" customFormat="false" ht="15" hidden="false" customHeight="false" outlineLevel="0" collapsed="false">
      <c r="A83" s="10" t="s">
        <v>236</v>
      </c>
      <c r="B83" s="10" t="s">
        <v>218</v>
      </c>
      <c r="C83" s="11" t="n">
        <v>2</v>
      </c>
      <c r="D83" s="11" t="n">
        <v>2</v>
      </c>
      <c r="E83" s="10" t="s">
        <v>71</v>
      </c>
      <c r="F83" s="10" t="s">
        <v>59</v>
      </c>
      <c r="G83" s="10" t="s">
        <v>72</v>
      </c>
      <c r="H83" s="10" t="s">
        <v>237</v>
      </c>
      <c r="I83" s="12"/>
      <c r="J83" s="13"/>
      <c r="K83" s="13"/>
      <c r="L83" s="13"/>
      <c r="M83" s="13"/>
      <c r="N83" s="13"/>
      <c r="O83" s="11" t="n">
        <f aca="false">COUNTIF(Apontamentos!$A$2:$A$601,A83)</f>
        <v>0</v>
      </c>
      <c r="P83" s="11" t="str">
        <f aca="false">IF(I83="","",IF(O83=0,"Sim","Não"))</f>
        <v/>
      </c>
    </row>
    <row r="84" customFormat="false" ht="15" hidden="false" customHeight="false" outlineLevel="0" collapsed="false">
      <c r="A84" s="10" t="s">
        <v>238</v>
      </c>
      <c r="B84" s="10" t="s">
        <v>218</v>
      </c>
      <c r="C84" s="11" t="n">
        <v>2</v>
      </c>
      <c r="D84" s="11" t="n">
        <v>3</v>
      </c>
      <c r="E84" s="10" t="s">
        <v>71</v>
      </c>
      <c r="F84" s="10" t="s">
        <v>67</v>
      </c>
      <c r="G84" s="10" t="s">
        <v>82</v>
      </c>
      <c r="H84" s="10" t="s">
        <v>239</v>
      </c>
      <c r="I84" s="12"/>
      <c r="J84" s="13"/>
      <c r="K84" s="13"/>
      <c r="L84" s="13"/>
      <c r="M84" s="13"/>
      <c r="N84" s="13"/>
      <c r="O84" s="11" t="n">
        <f aca="false">COUNTIF(Apontamentos!$A$2:$A$601,A84)</f>
        <v>0</v>
      </c>
      <c r="P84" s="11" t="str">
        <f aca="false">IF(I84="","",IF(O84=0,"Sim","Não"))</f>
        <v/>
      </c>
    </row>
    <row r="85" customFormat="false" ht="15" hidden="false" customHeight="false" outlineLevel="0" collapsed="false">
      <c r="A85" s="10" t="s">
        <v>240</v>
      </c>
      <c r="B85" s="10" t="s">
        <v>218</v>
      </c>
      <c r="C85" s="11" t="n">
        <v>2</v>
      </c>
      <c r="D85" s="11" t="n">
        <v>4</v>
      </c>
      <c r="E85" s="10" t="s">
        <v>78</v>
      </c>
      <c r="F85" s="10" t="s">
        <v>67</v>
      </c>
      <c r="G85" s="10" t="s">
        <v>85</v>
      </c>
      <c r="H85" s="10" t="s">
        <v>241</v>
      </c>
      <c r="I85" s="12"/>
      <c r="J85" s="13"/>
      <c r="K85" s="13"/>
      <c r="L85" s="13"/>
      <c r="M85" s="13"/>
      <c r="N85" s="13"/>
      <c r="O85" s="11" t="n">
        <f aca="false">COUNTIF(Apontamentos!$A$2:$A$601,A85)</f>
        <v>0</v>
      </c>
      <c r="P85" s="11" t="str">
        <f aca="false">IF(I85="","",IF(O85=0,"Sim","Não"))</f>
        <v/>
      </c>
    </row>
    <row r="86" customFormat="false" ht="15" hidden="false" customHeight="false" outlineLevel="0" collapsed="false">
      <c r="A86" s="10" t="s">
        <v>242</v>
      </c>
      <c r="B86" s="10" t="s">
        <v>218</v>
      </c>
      <c r="C86" s="11" t="n">
        <v>2</v>
      </c>
      <c r="D86" s="11" t="n">
        <v>5</v>
      </c>
      <c r="E86" s="10" t="s">
        <v>58</v>
      </c>
      <c r="F86" s="10" t="s">
        <v>67</v>
      </c>
      <c r="G86" s="10" t="s">
        <v>68</v>
      </c>
      <c r="H86" s="10" t="s">
        <v>243</v>
      </c>
      <c r="I86" s="12"/>
      <c r="J86" s="13"/>
      <c r="K86" s="13"/>
      <c r="L86" s="13"/>
      <c r="M86" s="13"/>
      <c r="N86" s="13"/>
      <c r="O86" s="11" t="n">
        <f aca="false">COUNTIF(Apontamentos!$A$2:$A$601,A86)</f>
        <v>0</v>
      </c>
      <c r="P86" s="11" t="str">
        <f aca="false">IF(I86="","",IF(O86=0,"Sim","Não"))</f>
        <v/>
      </c>
    </row>
    <row r="87" customFormat="false" ht="15" hidden="false" customHeight="false" outlineLevel="0" collapsed="false">
      <c r="A87" s="10" t="s">
        <v>244</v>
      </c>
      <c r="B87" s="10" t="s">
        <v>218</v>
      </c>
      <c r="C87" s="11" t="n">
        <v>2</v>
      </c>
      <c r="D87" s="11" t="n">
        <v>6</v>
      </c>
      <c r="E87" s="10" t="s">
        <v>63</v>
      </c>
      <c r="F87" s="10" t="s">
        <v>67</v>
      </c>
      <c r="G87" s="10" t="s">
        <v>75</v>
      </c>
      <c r="H87" s="10" t="s">
        <v>245</v>
      </c>
      <c r="I87" s="12"/>
      <c r="J87" s="13"/>
      <c r="K87" s="13"/>
      <c r="L87" s="13"/>
      <c r="M87" s="13"/>
      <c r="N87" s="13"/>
      <c r="O87" s="11" t="n">
        <f aca="false">COUNTIF(Apontamentos!$A$2:$A$601,A87)</f>
        <v>0</v>
      </c>
      <c r="P87" s="11" t="str">
        <f aca="false">IF(I87="","",IF(O87=0,"Sim","Não"))</f>
        <v/>
      </c>
    </row>
    <row r="88" customFormat="false" ht="15" hidden="false" customHeight="false" outlineLevel="0" collapsed="false">
      <c r="A88" s="10" t="s">
        <v>246</v>
      </c>
      <c r="B88" s="10" t="s">
        <v>218</v>
      </c>
      <c r="C88" s="11" t="n">
        <v>2</v>
      </c>
      <c r="D88" s="11" t="n">
        <v>7</v>
      </c>
      <c r="E88" s="10" t="s">
        <v>63</v>
      </c>
      <c r="F88" s="10" t="s">
        <v>59</v>
      </c>
      <c r="G88" s="10" t="s">
        <v>64</v>
      </c>
      <c r="H88" s="10" t="s">
        <v>247</v>
      </c>
      <c r="I88" s="12"/>
      <c r="J88" s="13"/>
      <c r="K88" s="13"/>
      <c r="L88" s="13"/>
      <c r="M88" s="13"/>
      <c r="N88" s="13"/>
      <c r="O88" s="11" t="n">
        <f aca="false">COUNTIF(Apontamentos!$A$2:$A$601,A88)</f>
        <v>0</v>
      </c>
      <c r="P88" s="11" t="str">
        <f aca="false">IF(I88="","",IF(O88=0,"Sim","Não"))</f>
        <v/>
      </c>
    </row>
    <row r="89" customFormat="false" ht="15" hidden="false" customHeight="false" outlineLevel="0" collapsed="false">
      <c r="A89" s="10" t="s">
        <v>248</v>
      </c>
      <c r="B89" s="10" t="s">
        <v>218</v>
      </c>
      <c r="C89" s="11" t="n">
        <v>2</v>
      </c>
      <c r="D89" s="11" t="n">
        <v>8</v>
      </c>
      <c r="E89" s="10" t="s">
        <v>78</v>
      </c>
      <c r="F89" s="10" t="s">
        <v>59</v>
      </c>
      <c r="G89" s="10" t="s">
        <v>79</v>
      </c>
      <c r="H89" s="10" t="s">
        <v>249</v>
      </c>
      <c r="I89" s="12"/>
      <c r="J89" s="13"/>
      <c r="K89" s="13"/>
      <c r="L89" s="13"/>
      <c r="M89" s="13"/>
      <c r="N89" s="13"/>
      <c r="O89" s="11" t="n">
        <f aca="false">COUNTIF(Apontamentos!$A$2:$A$601,A89)</f>
        <v>0</v>
      </c>
      <c r="P89" s="11" t="str">
        <f aca="false">IF(I89="","",IF(O89=0,"Sim","Não"))</f>
        <v/>
      </c>
    </row>
    <row r="90" customFormat="false" ht="15" hidden="false" customHeight="false" outlineLevel="0" collapsed="false">
      <c r="A90" s="10" t="s">
        <v>250</v>
      </c>
      <c r="B90" s="10" t="s">
        <v>218</v>
      </c>
      <c r="C90" s="11" t="n">
        <v>3</v>
      </c>
      <c r="D90" s="11" t="n">
        <v>1</v>
      </c>
      <c r="E90" s="10" t="s">
        <v>63</v>
      </c>
      <c r="F90" s="10" t="s">
        <v>59</v>
      </c>
      <c r="G90" s="10" t="s">
        <v>64</v>
      </c>
      <c r="H90" s="10" t="s">
        <v>251</v>
      </c>
      <c r="I90" s="12"/>
      <c r="J90" s="13"/>
      <c r="K90" s="13"/>
      <c r="L90" s="13"/>
      <c r="M90" s="13"/>
      <c r="N90" s="13"/>
      <c r="O90" s="11" t="n">
        <f aca="false">COUNTIF(Apontamentos!$A$2:$A$601,A90)</f>
        <v>0</v>
      </c>
      <c r="P90" s="11" t="str">
        <f aca="false">IF(I90="","",IF(O90=0,"Sim","Não"))</f>
        <v/>
      </c>
    </row>
    <row r="91" customFormat="false" ht="15" hidden="false" customHeight="false" outlineLevel="0" collapsed="false">
      <c r="A91" s="10" t="s">
        <v>252</v>
      </c>
      <c r="B91" s="10" t="s">
        <v>218</v>
      </c>
      <c r="C91" s="11" t="n">
        <v>3</v>
      </c>
      <c r="D91" s="11" t="n">
        <v>2</v>
      </c>
      <c r="E91" s="10" t="s">
        <v>58</v>
      </c>
      <c r="F91" s="10" t="s">
        <v>59</v>
      </c>
      <c r="G91" s="10" t="s">
        <v>60</v>
      </c>
      <c r="H91" s="10" t="s">
        <v>253</v>
      </c>
      <c r="I91" s="12"/>
      <c r="J91" s="13"/>
      <c r="K91" s="13"/>
      <c r="L91" s="13"/>
      <c r="M91" s="13"/>
      <c r="N91" s="13"/>
      <c r="O91" s="11" t="n">
        <f aca="false">COUNTIF(Apontamentos!$A$2:$A$601,A91)</f>
        <v>0</v>
      </c>
      <c r="P91" s="11" t="str">
        <f aca="false">IF(I91="","",IF(O91=0,"Sim","Não"))</f>
        <v/>
      </c>
    </row>
    <row r="92" customFormat="false" ht="15" hidden="false" customHeight="false" outlineLevel="0" collapsed="false">
      <c r="A92" s="10" t="s">
        <v>254</v>
      </c>
      <c r="B92" s="10" t="s">
        <v>218</v>
      </c>
      <c r="C92" s="11" t="n">
        <v>3</v>
      </c>
      <c r="D92" s="11" t="n">
        <v>3</v>
      </c>
      <c r="E92" s="10" t="s">
        <v>71</v>
      </c>
      <c r="F92" s="10" t="s">
        <v>67</v>
      </c>
      <c r="G92" s="10" t="s">
        <v>82</v>
      </c>
      <c r="H92" s="10" t="s">
        <v>255</v>
      </c>
      <c r="I92" s="12"/>
      <c r="J92" s="13"/>
      <c r="K92" s="13"/>
      <c r="L92" s="13"/>
      <c r="M92" s="13"/>
      <c r="N92" s="13"/>
      <c r="O92" s="11" t="n">
        <f aca="false">COUNTIF(Apontamentos!$A$2:$A$601,A92)</f>
        <v>0</v>
      </c>
      <c r="P92" s="11" t="str">
        <f aca="false">IF(I92="","",IF(O92=0,"Sim","Não"))</f>
        <v/>
      </c>
    </row>
    <row r="93" customFormat="false" ht="15" hidden="false" customHeight="false" outlineLevel="0" collapsed="false">
      <c r="A93" s="10" t="s">
        <v>256</v>
      </c>
      <c r="B93" s="10" t="s">
        <v>218</v>
      </c>
      <c r="C93" s="11" t="n">
        <v>3</v>
      </c>
      <c r="D93" s="11" t="n">
        <v>4</v>
      </c>
      <c r="E93" s="10" t="s">
        <v>71</v>
      </c>
      <c r="F93" s="10" t="s">
        <v>59</v>
      </c>
      <c r="G93" s="10" t="s">
        <v>72</v>
      </c>
      <c r="H93" s="10" t="s">
        <v>257</v>
      </c>
      <c r="I93" s="12"/>
      <c r="J93" s="13"/>
      <c r="K93" s="13"/>
      <c r="L93" s="13"/>
      <c r="M93" s="13"/>
      <c r="N93" s="13"/>
      <c r="O93" s="11" t="n">
        <f aca="false">COUNTIF(Apontamentos!$A$2:$A$601,A93)</f>
        <v>0</v>
      </c>
      <c r="P93" s="11" t="str">
        <f aca="false">IF(I93="","",IF(O93=0,"Sim","Não"))</f>
        <v/>
      </c>
    </row>
    <row r="94" customFormat="false" ht="15" hidden="false" customHeight="false" outlineLevel="0" collapsed="false">
      <c r="A94" s="10" t="s">
        <v>258</v>
      </c>
      <c r="B94" s="10" t="s">
        <v>218</v>
      </c>
      <c r="C94" s="11" t="n">
        <v>3</v>
      </c>
      <c r="D94" s="11" t="n">
        <v>5</v>
      </c>
      <c r="E94" s="10" t="s">
        <v>63</v>
      </c>
      <c r="F94" s="10" t="s">
        <v>67</v>
      </c>
      <c r="G94" s="10" t="s">
        <v>75</v>
      </c>
      <c r="H94" s="10" t="s">
        <v>259</v>
      </c>
      <c r="I94" s="12"/>
      <c r="J94" s="13"/>
      <c r="K94" s="13"/>
      <c r="L94" s="13"/>
      <c r="M94" s="13"/>
      <c r="N94" s="13"/>
      <c r="O94" s="11" t="n">
        <f aca="false">COUNTIF(Apontamentos!$A$2:$A$601,A94)</f>
        <v>0</v>
      </c>
      <c r="P94" s="11" t="str">
        <f aca="false">IF(I94="","",IF(O94=0,"Sim","Não"))</f>
        <v/>
      </c>
    </row>
    <row r="95" customFormat="false" ht="15" hidden="false" customHeight="false" outlineLevel="0" collapsed="false">
      <c r="A95" s="10" t="s">
        <v>260</v>
      </c>
      <c r="B95" s="10" t="s">
        <v>218</v>
      </c>
      <c r="C95" s="11" t="n">
        <v>3</v>
      </c>
      <c r="D95" s="11" t="n">
        <v>6</v>
      </c>
      <c r="E95" s="10" t="s">
        <v>58</v>
      </c>
      <c r="F95" s="10" t="s">
        <v>67</v>
      </c>
      <c r="G95" s="10" t="s">
        <v>68</v>
      </c>
      <c r="H95" s="10" t="s">
        <v>261</v>
      </c>
      <c r="I95" s="12"/>
      <c r="J95" s="13"/>
      <c r="K95" s="13"/>
      <c r="L95" s="13"/>
      <c r="M95" s="13"/>
      <c r="N95" s="13"/>
      <c r="O95" s="11" t="n">
        <f aca="false">COUNTIF(Apontamentos!$A$2:$A$601,A95)</f>
        <v>0</v>
      </c>
      <c r="P95" s="11" t="str">
        <f aca="false">IF(I95="","",IF(O95=0,"Sim","Não"))</f>
        <v/>
      </c>
    </row>
    <row r="96" customFormat="false" ht="15" hidden="false" customHeight="false" outlineLevel="0" collapsed="false">
      <c r="A96" s="10" t="s">
        <v>262</v>
      </c>
      <c r="B96" s="10" t="s">
        <v>218</v>
      </c>
      <c r="C96" s="11" t="n">
        <v>3</v>
      </c>
      <c r="D96" s="11" t="n">
        <v>7</v>
      </c>
      <c r="E96" s="10" t="s">
        <v>78</v>
      </c>
      <c r="F96" s="10" t="s">
        <v>67</v>
      </c>
      <c r="G96" s="10" t="s">
        <v>85</v>
      </c>
      <c r="H96" s="10" t="s">
        <v>263</v>
      </c>
      <c r="I96" s="12"/>
      <c r="J96" s="13"/>
      <c r="K96" s="13"/>
      <c r="L96" s="13"/>
      <c r="M96" s="13"/>
      <c r="N96" s="13"/>
      <c r="O96" s="11" t="n">
        <f aca="false">COUNTIF(Apontamentos!$A$2:$A$601,A96)</f>
        <v>0</v>
      </c>
      <c r="P96" s="11" t="str">
        <f aca="false">IF(I96="","",IF(O96=0,"Sim","Não"))</f>
        <v/>
      </c>
    </row>
    <row r="97" customFormat="false" ht="15" hidden="false" customHeight="false" outlineLevel="0" collapsed="false">
      <c r="A97" s="10" t="s">
        <v>264</v>
      </c>
      <c r="B97" s="10" t="s">
        <v>218</v>
      </c>
      <c r="C97" s="11" t="n">
        <v>3</v>
      </c>
      <c r="D97" s="11" t="n">
        <v>8</v>
      </c>
      <c r="E97" s="10" t="s">
        <v>78</v>
      </c>
      <c r="F97" s="10" t="s">
        <v>59</v>
      </c>
      <c r="G97" s="10" t="s">
        <v>79</v>
      </c>
      <c r="H97" s="10" t="s">
        <v>265</v>
      </c>
      <c r="I97" s="12"/>
      <c r="J97" s="13"/>
      <c r="K97" s="13"/>
      <c r="L97" s="13"/>
      <c r="M97" s="13"/>
      <c r="N97" s="13"/>
      <c r="O97" s="11" t="n">
        <f aca="false">COUNTIF(Apontamentos!$A$2:$A$601,A97)</f>
        <v>0</v>
      </c>
      <c r="P97" s="11" t="str">
        <f aca="false">IF(I97="","",IF(O97=0,"Sim","Não"))</f>
        <v/>
      </c>
    </row>
  </sheetData>
  <autoFilter ref="A1:P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36" hidden="false" customHeight="true" outlineLevel="0" collapsed="false">
      <c r="A1" s="9" t="s">
        <v>40</v>
      </c>
      <c r="B1" s="9" t="s">
        <v>266</v>
      </c>
      <c r="C1" s="8" t="s">
        <v>267</v>
      </c>
      <c r="D1" s="8" t="s">
        <v>44</v>
      </c>
      <c r="E1" s="8" t="s">
        <v>45</v>
      </c>
      <c r="F1" s="9" t="s">
        <v>268</v>
      </c>
      <c r="G1" s="9" t="s">
        <v>269</v>
      </c>
    </row>
    <row r="2" customFormat="false" ht="15" hidden="false" customHeight="false" outlineLevel="0" collapsed="false">
      <c r="A2" s="14"/>
      <c r="B2" s="14"/>
      <c r="C2" s="11" t="str">
        <f aca="false">IF(OR(A2="",B2=""),"",A2&amp;"-"&amp;TEXT(B2,"00"))</f>
        <v/>
      </c>
      <c r="D2" s="11" t="str">
        <f aca="false">IF(A2="","",IFERROR(INDEX(Execuções!$E$2:$E$97,MATCH(A2,Execuções!$A$2:$A$97,0)),"ID?"))</f>
        <v/>
      </c>
      <c r="E2" s="11" t="str">
        <f aca="false">IF(A2="","",IFERROR(INDEX(Execuções!$F$2:$F$97,MATCH(A2,Execuções!$A$2:$A$97,0)),"ID?"))</f>
        <v/>
      </c>
      <c r="F2" s="13"/>
      <c r="G2" s="13"/>
    </row>
    <row r="3" customFormat="false" ht="15" hidden="false" customHeight="false" outlineLevel="0" collapsed="false">
      <c r="A3" s="14"/>
      <c r="B3" s="14"/>
      <c r="C3" s="11" t="str">
        <f aca="false">IF(OR(A3="",B3=""),"",A3&amp;"-"&amp;TEXT(B3,"00"))</f>
        <v/>
      </c>
      <c r="D3" s="11" t="str">
        <f aca="false">IF(A3="","",IFERROR(INDEX(Execuções!$E$2:$E$97,MATCH(A3,Execuções!$A$2:$A$97,0)),"ID?"))</f>
        <v/>
      </c>
      <c r="E3" s="11" t="str">
        <f aca="false">IF(A3="","",IFERROR(INDEX(Execuções!$F$2:$F$97,MATCH(A3,Execuções!$A$2:$A$97,0)),"ID?"))</f>
        <v/>
      </c>
      <c r="F3" s="13"/>
      <c r="G3" s="13"/>
    </row>
    <row r="4" customFormat="false" ht="15" hidden="false" customHeight="false" outlineLevel="0" collapsed="false">
      <c r="A4" s="14"/>
      <c r="B4" s="14"/>
      <c r="C4" s="11" t="str">
        <f aca="false">IF(OR(A4="",B4=""),"",A4&amp;"-"&amp;TEXT(B4,"00"))</f>
        <v/>
      </c>
      <c r="D4" s="11" t="str">
        <f aca="false">IF(A4="","",IFERROR(INDEX(Execuções!$E$2:$E$97,MATCH(A4,Execuções!$A$2:$A$97,0)),"ID?"))</f>
        <v/>
      </c>
      <c r="E4" s="11" t="str">
        <f aca="false">IF(A4="","",IFERROR(INDEX(Execuções!$F$2:$F$97,MATCH(A4,Execuções!$A$2:$A$97,0)),"ID?"))</f>
        <v/>
      </c>
      <c r="F4" s="13"/>
      <c r="G4" s="13"/>
    </row>
    <row r="5" customFormat="false" ht="15" hidden="false" customHeight="false" outlineLevel="0" collapsed="false">
      <c r="A5" s="14"/>
      <c r="B5" s="14"/>
      <c r="C5" s="11" t="str">
        <f aca="false">IF(OR(A5="",B5=""),"",A5&amp;"-"&amp;TEXT(B5,"00"))</f>
        <v/>
      </c>
      <c r="D5" s="11" t="str">
        <f aca="false">IF(A5="","",IFERROR(INDEX(Execuções!$E$2:$E$97,MATCH(A5,Execuções!$A$2:$A$97,0)),"ID?"))</f>
        <v/>
      </c>
      <c r="E5" s="11" t="str">
        <f aca="false">IF(A5="","",IFERROR(INDEX(Execuções!$F$2:$F$97,MATCH(A5,Execuções!$A$2:$A$97,0)),"ID?"))</f>
        <v/>
      </c>
      <c r="F5" s="13"/>
      <c r="G5" s="13"/>
    </row>
    <row r="6" customFormat="false" ht="15" hidden="false" customHeight="false" outlineLevel="0" collapsed="false">
      <c r="A6" s="14"/>
      <c r="B6" s="14"/>
      <c r="C6" s="11" t="str">
        <f aca="false">IF(OR(A6="",B6=""),"",A6&amp;"-"&amp;TEXT(B6,"00"))</f>
        <v/>
      </c>
      <c r="D6" s="11" t="str">
        <f aca="false">IF(A6="","",IFERROR(INDEX(Execuções!$E$2:$E$97,MATCH(A6,Execuções!$A$2:$A$97,0)),"ID?"))</f>
        <v/>
      </c>
      <c r="E6" s="11" t="str">
        <f aca="false">IF(A6="","",IFERROR(INDEX(Execuções!$F$2:$F$97,MATCH(A6,Execuções!$A$2:$A$97,0)),"ID?"))</f>
        <v/>
      </c>
      <c r="F6" s="13"/>
      <c r="G6" s="13"/>
    </row>
    <row r="7" customFormat="false" ht="15" hidden="false" customHeight="false" outlineLevel="0" collapsed="false">
      <c r="A7" s="14"/>
      <c r="B7" s="14"/>
      <c r="C7" s="11" t="str">
        <f aca="false">IF(OR(A7="",B7=""),"",A7&amp;"-"&amp;TEXT(B7,"00"))</f>
        <v/>
      </c>
      <c r="D7" s="11" t="str">
        <f aca="false">IF(A7="","",IFERROR(INDEX(Execuções!$E$2:$E$97,MATCH(A7,Execuções!$A$2:$A$97,0)),"ID?"))</f>
        <v/>
      </c>
      <c r="E7" s="11" t="str">
        <f aca="false">IF(A7="","",IFERROR(INDEX(Execuções!$F$2:$F$97,MATCH(A7,Execuções!$A$2:$A$97,0)),"ID?"))</f>
        <v/>
      </c>
      <c r="F7" s="13"/>
      <c r="G7" s="13"/>
    </row>
    <row r="8" customFormat="false" ht="15" hidden="false" customHeight="false" outlineLevel="0" collapsed="false">
      <c r="A8" s="14"/>
      <c r="B8" s="14"/>
      <c r="C8" s="11" t="str">
        <f aca="false">IF(OR(A8="",B8=""),"",A8&amp;"-"&amp;TEXT(B8,"00"))</f>
        <v/>
      </c>
      <c r="D8" s="11" t="str">
        <f aca="false">IF(A8="","",IFERROR(INDEX(Execuções!$E$2:$E$97,MATCH(A8,Execuções!$A$2:$A$97,0)),"ID?"))</f>
        <v/>
      </c>
      <c r="E8" s="11" t="str">
        <f aca="false">IF(A8="","",IFERROR(INDEX(Execuções!$F$2:$F$97,MATCH(A8,Execuções!$A$2:$A$97,0)),"ID?"))</f>
        <v/>
      </c>
      <c r="F8" s="13"/>
      <c r="G8" s="13"/>
    </row>
    <row r="9" customFormat="false" ht="15" hidden="false" customHeight="false" outlineLevel="0" collapsed="false">
      <c r="A9" s="14"/>
      <c r="B9" s="14"/>
      <c r="C9" s="11" t="str">
        <f aca="false">IF(OR(A9="",B9=""),"",A9&amp;"-"&amp;TEXT(B9,"00"))</f>
        <v/>
      </c>
      <c r="D9" s="11" t="str">
        <f aca="false">IF(A9="","",IFERROR(INDEX(Execuções!$E$2:$E$97,MATCH(A9,Execuções!$A$2:$A$97,0)),"ID?"))</f>
        <v/>
      </c>
      <c r="E9" s="11" t="str">
        <f aca="false">IF(A9="","",IFERROR(INDEX(Execuções!$F$2:$F$97,MATCH(A9,Execuções!$A$2:$A$97,0)),"ID?"))</f>
        <v/>
      </c>
      <c r="F9" s="13"/>
      <c r="G9" s="13"/>
    </row>
    <row r="10" customFormat="false" ht="15" hidden="false" customHeight="false" outlineLevel="0" collapsed="false">
      <c r="A10" s="14"/>
      <c r="B10" s="14"/>
      <c r="C10" s="11" t="str">
        <f aca="false">IF(OR(A10="",B10=""),"",A10&amp;"-"&amp;TEXT(B10,"00"))</f>
        <v/>
      </c>
      <c r="D10" s="11" t="str">
        <f aca="false">IF(A10="","",IFERROR(INDEX(Execuções!$E$2:$E$97,MATCH(A10,Execuções!$A$2:$A$97,0)),"ID?"))</f>
        <v/>
      </c>
      <c r="E10" s="11" t="str">
        <f aca="false">IF(A10="","",IFERROR(INDEX(Execuções!$F$2:$F$97,MATCH(A10,Execuções!$A$2:$A$97,0)),"ID?"))</f>
        <v/>
      </c>
      <c r="F10" s="13"/>
      <c r="G10" s="13"/>
    </row>
    <row r="11" customFormat="false" ht="15" hidden="false" customHeight="false" outlineLevel="0" collapsed="false">
      <c r="A11" s="14"/>
      <c r="B11" s="14"/>
      <c r="C11" s="11" t="str">
        <f aca="false">IF(OR(A11="",B11=""),"",A11&amp;"-"&amp;TEXT(B11,"00"))</f>
        <v/>
      </c>
      <c r="D11" s="11" t="str">
        <f aca="false">IF(A11="","",IFERROR(INDEX(Execuções!$E$2:$E$97,MATCH(A11,Execuções!$A$2:$A$97,0)),"ID?"))</f>
        <v/>
      </c>
      <c r="E11" s="11" t="str">
        <f aca="false">IF(A11="","",IFERROR(INDEX(Execuções!$F$2:$F$97,MATCH(A11,Execuções!$A$2:$A$97,0)),"ID?"))</f>
        <v/>
      </c>
      <c r="F11" s="13"/>
      <c r="G11" s="13"/>
    </row>
    <row r="12" customFormat="false" ht="15" hidden="false" customHeight="false" outlineLevel="0" collapsed="false">
      <c r="A12" s="14"/>
      <c r="B12" s="14"/>
      <c r="C12" s="11" t="str">
        <f aca="false">IF(OR(A12="",B12=""),"",A12&amp;"-"&amp;TEXT(B12,"00"))</f>
        <v/>
      </c>
      <c r="D12" s="11" t="str">
        <f aca="false">IF(A12="","",IFERROR(INDEX(Execuções!$E$2:$E$97,MATCH(A12,Execuções!$A$2:$A$97,0)),"ID?"))</f>
        <v/>
      </c>
      <c r="E12" s="11" t="str">
        <f aca="false">IF(A12="","",IFERROR(INDEX(Execuções!$F$2:$F$97,MATCH(A12,Execuções!$A$2:$A$97,0)),"ID?"))</f>
        <v/>
      </c>
      <c r="F12" s="13"/>
      <c r="G12" s="13"/>
    </row>
    <row r="13" customFormat="false" ht="15" hidden="false" customHeight="false" outlineLevel="0" collapsed="false">
      <c r="A13" s="14"/>
      <c r="B13" s="14"/>
      <c r="C13" s="11" t="str">
        <f aca="false">IF(OR(A13="",B13=""),"",A13&amp;"-"&amp;TEXT(B13,"00"))</f>
        <v/>
      </c>
      <c r="D13" s="11" t="str">
        <f aca="false">IF(A13="","",IFERROR(INDEX(Execuções!$E$2:$E$97,MATCH(A13,Execuções!$A$2:$A$97,0)),"ID?"))</f>
        <v/>
      </c>
      <c r="E13" s="11" t="str">
        <f aca="false">IF(A13="","",IFERROR(INDEX(Execuções!$F$2:$F$97,MATCH(A13,Execuções!$A$2:$A$97,0)),"ID?"))</f>
        <v/>
      </c>
      <c r="F13" s="13"/>
      <c r="G13" s="13"/>
    </row>
    <row r="14" customFormat="false" ht="15" hidden="false" customHeight="false" outlineLevel="0" collapsed="false">
      <c r="A14" s="14"/>
      <c r="B14" s="14"/>
      <c r="C14" s="11" t="str">
        <f aca="false">IF(OR(A14="",B14=""),"",A14&amp;"-"&amp;TEXT(B14,"00"))</f>
        <v/>
      </c>
      <c r="D14" s="11" t="str">
        <f aca="false">IF(A14="","",IFERROR(INDEX(Execuções!$E$2:$E$97,MATCH(A14,Execuções!$A$2:$A$97,0)),"ID?"))</f>
        <v/>
      </c>
      <c r="E14" s="11" t="str">
        <f aca="false">IF(A14="","",IFERROR(INDEX(Execuções!$F$2:$F$97,MATCH(A14,Execuções!$A$2:$A$97,0)),"ID?"))</f>
        <v/>
      </c>
      <c r="F14" s="13"/>
      <c r="G14" s="13"/>
    </row>
    <row r="15" customFormat="false" ht="15" hidden="false" customHeight="false" outlineLevel="0" collapsed="false">
      <c r="A15" s="14"/>
      <c r="B15" s="14"/>
      <c r="C15" s="11" t="str">
        <f aca="false">IF(OR(A15="",B15=""),"",A15&amp;"-"&amp;TEXT(B15,"00"))</f>
        <v/>
      </c>
      <c r="D15" s="11" t="str">
        <f aca="false">IF(A15="","",IFERROR(INDEX(Execuções!$E$2:$E$97,MATCH(A15,Execuções!$A$2:$A$97,0)),"ID?"))</f>
        <v/>
      </c>
      <c r="E15" s="11" t="str">
        <f aca="false">IF(A15="","",IFERROR(INDEX(Execuções!$F$2:$F$97,MATCH(A15,Execuções!$A$2:$A$97,0)),"ID?"))</f>
        <v/>
      </c>
      <c r="F15" s="13"/>
      <c r="G15" s="13"/>
    </row>
    <row r="16" customFormat="false" ht="15" hidden="false" customHeight="false" outlineLevel="0" collapsed="false">
      <c r="A16" s="14"/>
      <c r="B16" s="14"/>
      <c r="C16" s="11" t="str">
        <f aca="false">IF(OR(A16="",B16=""),"",A16&amp;"-"&amp;TEXT(B16,"00"))</f>
        <v/>
      </c>
      <c r="D16" s="11" t="str">
        <f aca="false">IF(A16="","",IFERROR(INDEX(Execuções!$E$2:$E$97,MATCH(A16,Execuções!$A$2:$A$97,0)),"ID?"))</f>
        <v/>
      </c>
      <c r="E16" s="11" t="str">
        <f aca="false">IF(A16="","",IFERROR(INDEX(Execuções!$F$2:$F$97,MATCH(A16,Execuções!$A$2:$A$97,0)),"ID?"))</f>
        <v/>
      </c>
      <c r="F16" s="13"/>
      <c r="G16" s="13"/>
    </row>
    <row r="17" customFormat="false" ht="15" hidden="false" customHeight="false" outlineLevel="0" collapsed="false">
      <c r="A17" s="14"/>
      <c r="B17" s="14"/>
      <c r="C17" s="11" t="str">
        <f aca="false">IF(OR(A17="",B17=""),"",A17&amp;"-"&amp;TEXT(B17,"00"))</f>
        <v/>
      </c>
      <c r="D17" s="11" t="str">
        <f aca="false">IF(A17="","",IFERROR(INDEX(Execuções!$E$2:$E$97,MATCH(A17,Execuções!$A$2:$A$97,0)),"ID?"))</f>
        <v/>
      </c>
      <c r="E17" s="11" t="str">
        <f aca="false">IF(A17="","",IFERROR(INDEX(Execuções!$F$2:$F$97,MATCH(A17,Execuções!$A$2:$A$97,0)),"ID?"))</f>
        <v/>
      </c>
      <c r="F17" s="13"/>
      <c r="G17" s="13"/>
    </row>
    <row r="18" customFormat="false" ht="15" hidden="false" customHeight="false" outlineLevel="0" collapsed="false">
      <c r="A18" s="14"/>
      <c r="B18" s="14"/>
      <c r="C18" s="11" t="str">
        <f aca="false">IF(OR(A18="",B18=""),"",A18&amp;"-"&amp;TEXT(B18,"00"))</f>
        <v/>
      </c>
      <c r="D18" s="11" t="str">
        <f aca="false">IF(A18="","",IFERROR(INDEX(Execuções!$E$2:$E$97,MATCH(A18,Execuções!$A$2:$A$97,0)),"ID?"))</f>
        <v/>
      </c>
      <c r="E18" s="11" t="str">
        <f aca="false">IF(A18="","",IFERROR(INDEX(Execuções!$F$2:$F$97,MATCH(A18,Execuções!$A$2:$A$97,0)),"ID?"))</f>
        <v/>
      </c>
      <c r="F18" s="13"/>
      <c r="G18" s="13"/>
    </row>
    <row r="19" customFormat="false" ht="15" hidden="false" customHeight="false" outlineLevel="0" collapsed="false">
      <c r="A19" s="14"/>
      <c r="B19" s="14"/>
      <c r="C19" s="11" t="str">
        <f aca="false">IF(OR(A19="",B19=""),"",A19&amp;"-"&amp;TEXT(B19,"00"))</f>
        <v/>
      </c>
      <c r="D19" s="11" t="str">
        <f aca="false">IF(A19="","",IFERROR(INDEX(Execuções!$E$2:$E$97,MATCH(A19,Execuções!$A$2:$A$97,0)),"ID?"))</f>
        <v/>
      </c>
      <c r="E19" s="11" t="str">
        <f aca="false">IF(A19="","",IFERROR(INDEX(Execuções!$F$2:$F$97,MATCH(A19,Execuções!$A$2:$A$97,0)),"ID?"))</f>
        <v/>
      </c>
      <c r="F19" s="13"/>
      <c r="G19" s="13"/>
    </row>
    <row r="20" customFormat="false" ht="15" hidden="false" customHeight="false" outlineLevel="0" collapsed="false">
      <c r="A20" s="14"/>
      <c r="B20" s="14"/>
      <c r="C20" s="11" t="str">
        <f aca="false">IF(OR(A20="",B20=""),"",A20&amp;"-"&amp;TEXT(B20,"00"))</f>
        <v/>
      </c>
      <c r="D20" s="11" t="str">
        <f aca="false">IF(A20="","",IFERROR(INDEX(Execuções!$E$2:$E$97,MATCH(A20,Execuções!$A$2:$A$97,0)),"ID?"))</f>
        <v/>
      </c>
      <c r="E20" s="11" t="str">
        <f aca="false">IF(A20="","",IFERROR(INDEX(Execuções!$F$2:$F$97,MATCH(A20,Execuções!$A$2:$A$97,0)),"ID?"))</f>
        <v/>
      </c>
      <c r="F20" s="13"/>
      <c r="G20" s="13"/>
    </row>
    <row r="21" customFormat="false" ht="15" hidden="false" customHeight="false" outlineLevel="0" collapsed="false">
      <c r="A21" s="14"/>
      <c r="B21" s="14"/>
      <c r="C21" s="11" t="str">
        <f aca="false">IF(OR(A21="",B21=""),"",A21&amp;"-"&amp;TEXT(B21,"00"))</f>
        <v/>
      </c>
      <c r="D21" s="11" t="str">
        <f aca="false">IF(A21="","",IFERROR(INDEX(Execuções!$E$2:$E$97,MATCH(A21,Execuções!$A$2:$A$97,0)),"ID?"))</f>
        <v/>
      </c>
      <c r="E21" s="11" t="str">
        <f aca="false">IF(A21="","",IFERROR(INDEX(Execuções!$F$2:$F$97,MATCH(A21,Execuções!$A$2:$A$97,0)),"ID?"))</f>
        <v/>
      </c>
      <c r="F21" s="13"/>
      <c r="G21" s="13"/>
    </row>
    <row r="22" customFormat="false" ht="15" hidden="false" customHeight="false" outlineLevel="0" collapsed="false">
      <c r="A22" s="14"/>
      <c r="B22" s="14"/>
      <c r="C22" s="11" t="str">
        <f aca="false">IF(OR(A22="",B22=""),"",A22&amp;"-"&amp;TEXT(B22,"00"))</f>
        <v/>
      </c>
      <c r="D22" s="11" t="str">
        <f aca="false">IF(A22="","",IFERROR(INDEX(Execuções!$E$2:$E$97,MATCH(A22,Execuções!$A$2:$A$97,0)),"ID?"))</f>
        <v/>
      </c>
      <c r="E22" s="11" t="str">
        <f aca="false">IF(A22="","",IFERROR(INDEX(Execuções!$F$2:$F$97,MATCH(A22,Execuções!$A$2:$A$97,0)),"ID?"))</f>
        <v/>
      </c>
      <c r="F22" s="13"/>
      <c r="G22" s="13"/>
    </row>
    <row r="23" customFormat="false" ht="15" hidden="false" customHeight="false" outlineLevel="0" collapsed="false">
      <c r="A23" s="14"/>
      <c r="B23" s="14"/>
      <c r="C23" s="11" t="str">
        <f aca="false">IF(OR(A23="",B23=""),"",A23&amp;"-"&amp;TEXT(B23,"00"))</f>
        <v/>
      </c>
      <c r="D23" s="11" t="str">
        <f aca="false">IF(A23="","",IFERROR(INDEX(Execuções!$E$2:$E$97,MATCH(A23,Execuções!$A$2:$A$97,0)),"ID?"))</f>
        <v/>
      </c>
      <c r="E23" s="11" t="str">
        <f aca="false">IF(A23="","",IFERROR(INDEX(Execuções!$F$2:$F$97,MATCH(A23,Execuções!$A$2:$A$97,0)),"ID?"))</f>
        <v/>
      </c>
      <c r="F23" s="13"/>
      <c r="G23" s="13"/>
    </row>
    <row r="24" customFormat="false" ht="15" hidden="false" customHeight="false" outlineLevel="0" collapsed="false">
      <c r="A24" s="14"/>
      <c r="B24" s="14"/>
      <c r="C24" s="11" t="str">
        <f aca="false">IF(OR(A24="",B24=""),"",A24&amp;"-"&amp;TEXT(B24,"00"))</f>
        <v/>
      </c>
      <c r="D24" s="11" t="str">
        <f aca="false">IF(A24="","",IFERROR(INDEX(Execuções!$E$2:$E$97,MATCH(A24,Execuções!$A$2:$A$97,0)),"ID?"))</f>
        <v/>
      </c>
      <c r="E24" s="11" t="str">
        <f aca="false">IF(A24="","",IFERROR(INDEX(Execuções!$F$2:$F$97,MATCH(A24,Execuções!$A$2:$A$97,0)),"ID?"))</f>
        <v/>
      </c>
      <c r="F24" s="13"/>
      <c r="G24" s="13"/>
    </row>
    <row r="25" customFormat="false" ht="15" hidden="false" customHeight="false" outlineLevel="0" collapsed="false">
      <c r="A25" s="14"/>
      <c r="B25" s="14"/>
      <c r="C25" s="11" t="str">
        <f aca="false">IF(OR(A25="",B25=""),"",A25&amp;"-"&amp;TEXT(B25,"00"))</f>
        <v/>
      </c>
      <c r="D25" s="11" t="str">
        <f aca="false">IF(A25="","",IFERROR(INDEX(Execuções!$E$2:$E$97,MATCH(A25,Execuções!$A$2:$A$97,0)),"ID?"))</f>
        <v/>
      </c>
      <c r="E25" s="11" t="str">
        <f aca="false">IF(A25="","",IFERROR(INDEX(Execuções!$F$2:$F$97,MATCH(A25,Execuções!$A$2:$A$97,0)),"ID?"))</f>
        <v/>
      </c>
      <c r="F25" s="13"/>
      <c r="G25" s="13"/>
    </row>
    <row r="26" customFormat="false" ht="15" hidden="false" customHeight="false" outlineLevel="0" collapsed="false">
      <c r="A26" s="14"/>
      <c r="B26" s="14"/>
      <c r="C26" s="11" t="str">
        <f aca="false">IF(OR(A26="",B26=""),"",A26&amp;"-"&amp;TEXT(B26,"00"))</f>
        <v/>
      </c>
      <c r="D26" s="11" t="str">
        <f aca="false">IF(A26="","",IFERROR(INDEX(Execuções!$E$2:$E$97,MATCH(A26,Execuções!$A$2:$A$97,0)),"ID?"))</f>
        <v/>
      </c>
      <c r="E26" s="11" t="str">
        <f aca="false">IF(A26="","",IFERROR(INDEX(Execuções!$F$2:$F$97,MATCH(A26,Execuções!$A$2:$A$97,0)),"ID?"))</f>
        <v/>
      </c>
      <c r="F26" s="13"/>
      <c r="G26" s="13"/>
    </row>
    <row r="27" customFormat="false" ht="15" hidden="false" customHeight="false" outlineLevel="0" collapsed="false">
      <c r="A27" s="14"/>
      <c r="B27" s="14"/>
      <c r="C27" s="11" t="str">
        <f aca="false">IF(OR(A27="",B27=""),"",A27&amp;"-"&amp;TEXT(B27,"00"))</f>
        <v/>
      </c>
      <c r="D27" s="11" t="str">
        <f aca="false">IF(A27="","",IFERROR(INDEX(Execuções!$E$2:$E$97,MATCH(A27,Execuções!$A$2:$A$97,0)),"ID?"))</f>
        <v/>
      </c>
      <c r="E27" s="11" t="str">
        <f aca="false">IF(A27="","",IFERROR(INDEX(Execuções!$F$2:$F$97,MATCH(A27,Execuções!$A$2:$A$97,0)),"ID?"))</f>
        <v/>
      </c>
      <c r="F27" s="13"/>
      <c r="G27" s="13"/>
    </row>
    <row r="28" customFormat="false" ht="15" hidden="false" customHeight="false" outlineLevel="0" collapsed="false">
      <c r="A28" s="14"/>
      <c r="B28" s="14"/>
      <c r="C28" s="11" t="str">
        <f aca="false">IF(OR(A28="",B28=""),"",A28&amp;"-"&amp;TEXT(B28,"00"))</f>
        <v/>
      </c>
      <c r="D28" s="11" t="str">
        <f aca="false">IF(A28="","",IFERROR(INDEX(Execuções!$E$2:$E$97,MATCH(A28,Execuções!$A$2:$A$97,0)),"ID?"))</f>
        <v/>
      </c>
      <c r="E28" s="11" t="str">
        <f aca="false">IF(A28="","",IFERROR(INDEX(Execuções!$F$2:$F$97,MATCH(A28,Execuções!$A$2:$A$97,0)),"ID?"))</f>
        <v/>
      </c>
      <c r="F28" s="13"/>
      <c r="G28" s="13"/>
    </row>
    <row r="29" customFormat="false" ht="15" hidden="false" customHeight="false" outlineLevel="0" collapsed="false">
      <c r="A29" s="14"/>
      <c r="B29" s="14"/>
      <c r="C29" s="11" t="str">
        <f aca="false">IF(OR(A29="",B29=""),"",A29&amp;"-"&amp;TEXT(B29,"00"))</f>
        <v/>
      </c>
      <c r="D29" s="11" t="str">
        <f aca="false">IF(A29="","",IFERROR(INDEX(Execuções!$E$2:$E$97,MATCH(A29,Execuções!$A$2:$A$97,0)),"ID?"))</f>
        <v/>
      </c>
      <c r="E29" s="11" t="str">
        <f aca="false">IF(A29="","",IFERROR(INDEX(Execuções!$F$2:$F$97,MATCH(A29,Execuções!$A$2:$A$97,0)),"ID?"))</f>
        <v/>
      </c>
      <c r="F29" s="13"/>
      <c r="G29" s="13"/>
    </row>
    <row r="30" customFormat="false" ht="15" hidden="false" customHeight="false" outlineLevel="0" collapsed="false">
      <c r="A30" s="14"/>
      <c r="B30" s="14"/>
      <c r="C30" s="11" t="str">
        <f aca="false">IF(OR(A30="",B30=""),"",A30&amp;"-"&amp;TEXT(B30,"00"))</f>
        <v/>
      </c>
      <c r="D30" s="11" t="str">
        <f aca="false">IF(A30="","",IFERROR(INDEX(Execuções!$E$2:$E$97,MATCH(A30,Execuções!$A$2:$A$97,0)),"ID?"))</f>
        <v/>
      </c>
      <c r="E30" s="11" t="str">
        <f aca="false">IF(A30="","",IFERROR(INDEX(Execuções!$F$2:$F$97,MATCH(A30,Execuções!$A$2:$A$97,0)),"ID?"))</f>
        <v/>
      </c>
      <c r="F30" s="13"/>
      <c r="G30" s="13"/>
    </row>
    <row r="31" customFormat="false" ht="15" hidden="false" customHeight="false" outlineLevel="0" collapsed="false">
      <c r="A31" s="14"/>
      <c r="B31" s="14"/>
      <c r="C31" s="11" t="str">
        <f aca="false">IF(OR(A31="",B31=""),"",A31&amp;"-"&amp;TEXT(B31,"00"))</f>
        <v/>
      </c>
      <c r="D31" s="11" t="str">
        <f aca="false">IF(A31="","",IFERROR(INDEX(Execuções!$E$2:$E$97,MATCH(A31,Execuções!$A$2:$A$97,0)),"ID?"))</f>
        <v/>
      </c>
      <c r="E31" s="11" t="str">
        <f aca="false">IF(A31="","",IFERROR(INDEX(Execuções!$F$2:$F$97,MATCH(A31,Execuções!$A$2:$A$97,0)),"ID?"))</f>
        <v/>
      </c>
      <c r="F31" s="13"/>
      <c r="G31" s="13"/>
    </row>
    <row r="32" customFormat="false" ht="15" hidden="false" customHeight="false" outlineLevel="0" collapsed="false">
      <c r="A32" s="14"/>
      <c r="B32" s="14"/>
      <c r="C32" s="11" t="str">
        <f aca="false">IF(OR(A32="",B32=""),"",A32&amp;"-"&amp;TEXT(B32,"00"))</f>
        <v/>
      </c>
      <c r="D32" s="11" t="str">
        <f aca="false">IF(A32="","",IFERROR(INDEX(Execuções!$E$2:$E$97,MATCH(A32,Execuções!$A$2:$A$97,0)),"ID?"))</f>
        <v/>
      </c>
      <c r="E32" s="11" t="str">
        <f aca="false">IF(A32="","",IFERROR(INDEX(Execuções!$F$2:$F$97,MATCH(A32,Execuções!$A$2:$A$97,0)),"ID?"))</f>
        <v/>
      </c>
      <c r="F32" s="13"/>
      <c r="G32" s="13"/>
    </row>
    <row r="33" customFormat="false" ht="15" hidden="false" customHeight="false" outlineLevel="0" collapsed="false">
      <c r="A33" s="14"/>
      <c r="B33" s="14"/>
      <c r="C33" s="11" t="str">
        <f aca="false">IF(OR(A33="",B33=""),"",A33&amp;"-"&amp;TEXT(B33,"00"))</f>
        <v/>
      </c>
      <c r="D33" s="11" t="str">
        <f aca="false">IF(A33="","",IFERROR(INDEX(Execuções!$E$2:$E$97,MATCH(A33,Execuções!$A$2:$A$97,0)),"ID?"))</f>
        <v/>
      </c>
      <c r="E33" s="11" t="str">
        <f aca="false">IF(A33="","",IFERROR(INDEX(Execuções!$F$2:$F$97,MATCH(A33,Execuções!$A$2:$A$97,0)),"ID?"))</f>
        <v/>
      </c>
      <c r="F33" s="13"/>
      <c r="G33" s="13"/>
    </row>
    <row r="34" customFormat="false" ht="15" hidden="false" customHeight="false" outlineLevel="0" collapsed="false">
      <c r="A34" s="14"/>
      <c r="B34" s="14"/>
      <c r="C34" s="11" t="str">
        <f aca="false">IF(OR(A34="",B34=""),"",A34&amp;"-"&amp;TEXT(B34,"00"))</f>
        <v/>
      </c>
      <c r="D34" s="11" t="str">
        <f aca="false">IF(A34="","",IFERROR(INDEX(Execuções!$E$2:$E$97,MATCH(A34,Execuções!$A$2:$A$97,0)),"ID?"))</f>
        <v/>
      </c>
      <c r="E34" s="11" t="str">
        <f aca="false">IF(A34="","",IFERROR(INDEX(Execuções!$F$2:$F$97,MATCH(A34,Execuções!$A$2:$A$97,0)),"ID?"))</f>
        <v/>
      </c>
      <c r="F34" s="13"/>
      <c r="G34" s="13"/>
    </row>
    <row r="35" customFormat="false" ht="15" hidden="false" customHeight="false" outlineLevel="0" collapsed="false">
      <c r="A35" s="14"/>
      <c r="B35" s="14"/>
      <c r="C35" s="11" t="str">
        <f aca="false">IF(OR(A35="",B35=""),"",A35&amp;"-"&amp;TEXT(B35,"00"))</f>
        <v/>
      </c>
      <c r="D35" s="11" t="str">
        <f aca="false">IF(A35="","",IFERROR(INDEX(Execuções!$E$2:$E$97,MATCH(A35,Execuções!$A$2:$A$97,0)),"ID?"))</f>
        <v/>
      </c>
      <c r="E35" s="11" t="str">
        <f aca="false">IF(A35="","",IFERROR(INDEX(Execuções!$F$2:$F$97,MATCH(A35,Execuções!$A$2:$A$97,0)),"ID?"))</f>
        <v/>
      </c>
      <c r="F35" s="13"/>
      <c r="G35" s="13"/>
    </row>
    <row r="36" customFormat="false" ht="15" hidden="false" customHeight="false" outlineLevel="0" collapsed="false">
      <c r="A36" s="14"/>
      <c r="B36" s="14"/>
      <c r="C36" s="11" t="str">
        <f aca="false">IF(OR(A36="",B36=""),"",A36&amp;"-"&amp;TEXT(B36,"00"))</f>
        <v/>
      </c>
      <c r="D36" s="11" t="str">
        <f aca="false">IF(A36="","",IFERROR(INDEX(Execuções!$E$2:$E$97,MATCH(A36,Execuções!$A$2:$A$97,0)),"ID?"))</f>
        <v/>
      </c>
      <c r="E36" s="11" t="str">
        <f aca="false">IF(A36="","",IFERROR(INDEX(Execuções!$F$2:$F$97,MATCH(A36,Execuções!$A$2:$A$97,0)),"ID?"))</f>
        <v/>
      </c>
      <c r="F36" s="13"/>
      <c r="G36" s="13"/>
    </row>
    <row r="37" customFormat="false" ht="15" hidden="false" customHeight="false" outlineLevel="0" collapsed="false">
      <c r="A37" s="14"/>
      <c r="B37" s="14"/>
      <c r="C37" s="11" t="str">
        <f aca="false">IF(OR(A37="",B37=""),"",A37&amp;"-"&amp;TEXT(B37,"00"))</f>
        <v/>
      </c>
      <c r="D37" s="11" t="str">
        <f aca="false">IF(A37="","",IFERROR(INDEX(Execuções!$E$2:$E$97,MATCH(A37,Execuções!$A$2:$A$97,0)),"ID?"))</f>
        <v/>
      </c>
      <c r="E37" s="11" t="str">
        <f aca="false">IF(A37="","",IFERROR(INDEX(Execuções!$F$2:$F$97,MATCH(A37,Execuções!$A$2:$A$97,0)),"ID?"))</f>
        <v/>
      </c>
      <c r="F37" s="13"/>
      <c r="G37" s="13"/>
    </row>
    <row r="38" customFormat="false" ht="15" hidden="false" customHeight="false" outlineLevel="0" collapsed="false">
      <c r="A38" s="14"/>
      <c r="B38" s="14"/>
      <c r="C38" s="11" t="str">
        <f aca="false">IF(OR(A38="",B38=""),"",A38&amp;"-"&amp;TEXT(B38,"00"))</f>
        <v/>
      </c>
      <c r="D38" s="11" t="str">
        <f aca="false">IF(A38="","",IFERROR(INDEX(Execuções!$E$2:$E$97,MATCH(A38,Execuções!$A$2:$A$97,0)),"ID?"))</f>
        <v/>
      </c>
      <c r="E38" s="11" t="str">
        <f aca="false">IF(A38="","",IFERROR(INDEX(Execuções!$F$2:$F$97,MATCH(A38,Execuções!$A$2:$A$97,0)),"ID?"))</f>
        <v/>
      </c>
      <c r="F38" s="13"/>
      <c r="G38" s="13"/>
    </row>
    <row r="39" customFormat="false" ht="15" hidden="false" customHeight="false" outlineLevel="0" collapsed="false">
      <c r="A39" s="14"/>
      <c r="B39" s="14"/>
      <c r="C39" s="11" t="str">
        <f aca="false">IF(OR(A39="",B39=""),"",A39&amp;"-"&amp;TEXT(B39,"00"))</f>
        <v/>
      </c>
      <c r="D39" s="11" t="str">
        <f aca="false">IF(A39="","",IFERROR(INDEX(Execuções!$E$2:$E$97,MATCH(A39,Execuções!$A$2:$A$97,0)),"ID?"))</f>
        <v/>
      </c>
      <c r="E39" s="11" t="str">
        <f aca="false">IF(A39="","",IFERROR(INDEX(Execuções!$F$2:$F$97,MATCH(A39,Execuções!$A$2:$A$97,0)),"ID?"))</f>
        <v/>
      </c>
      <c r="F39" s="13"/>
      <c r="G39" s="13"/>
    </row>
    <row r="40" customFormat="false" ht="15" hidden="false" customHeight="false" outlineLevel="0" collapsed="false">
      <c r="A40" s="14"/>
      <c r="B40" s="14"/>
      <c r="C40" s="11" t="str">
        <f aca="false">IF(OR(A40="",B40=""),"",A40&amp;"-"&amp;TEXT(B40,"00"))</f>
        <v/>
      </c>
      <c r="D40" s="11" t="str">
        <f aca="false">IF(A40="","",IFERROR(INDEX(Execuções!$E$2:$E$97,MATCH(A40,Execuções!$A$2:$A$97,0)),"ID?"))</f>
        <v/>
      </c>
      <c r="E40" s="11" t="str">
        <f aca="false">IF(A40="","",IFERROR(INDEX(Execuções!$F$2:$F$97,MATCH(A40,Execuções!$A$2:$A$97,0)),"ID?"))</f>
        <v/>
      </c>
      <c r="F40" s="13"/>
      <c r="G40" s="13"/>
    </row>
    <row r="41" customFormat="false" ht="15" hidden="false" customHeight="false" outlineLevel="0" collapsed="false">
      <c r="A41" s="14"/>
      <c r="B41" s="14"/>
      <c r="C41" s="11" t="str">
        <f aca="false">IF(OR(A41="",B41=""),"",A41&amp;"-"&amp;TEXT(B41,"00"))</f>
        <v/>
      </c>
      <c r="D41" s="11" t="str">
        <f aca="false">IF(A41="","",IFERROR(INDEX(Execuções!$E$2:$E$97,MATCH(A41,Execuções!$A$2:$A$97,0)),"ID?"))</f>
        <v/>
      </c>
      <c r="E41" s="11" t="str">
        <f aca="false">IF(A41="","",IFERROR(INDEX(Execuções!$F$2:$F$97,MATCH(A41,Execuções!$A$2:$A$97,0)),"ID?"))</f>
        <v/>
      </c>
      <c r="F41" s="13"/>
      <c r="G41" s="13"/>
    </row>
    <row r="42" customFormat="false" ht="15" hidden="false" customHeight="false" outlineLevel="0" collapsed="false">
      <c r="A42" s="14"/>
      <c r="B42" s="14"/>
      <c r="C42" s="11" t="str">
        <f aca="false">IF(OR(A42="",B42=""),"",A42&amp;"-"&amp;TEXT(B42,"00"))</f>
        <v/>
      </c>
      <c r="D42" s="11" t="str">
        <f aca="false">IF(A42="","",IFERROR(INDEX(Execuções!$E$2:$E$97,MATCH(A42,Execuções!$A$2:$A$97,0)),"ID?"))</f>
        <v/>
      </c>
      <c r="E42" s="11" t="str">
        <f aca="false">IF(A42="","",IFERROR(INDEX(Execuções!$F$2:$F$97,MATCH(A42,Execuções!$A$2:$A$97,0)),"ID?"))</f>
        <v/>
      </c>
      <c r="F42" s="13"/>
      <c r="G42" s="13"/>
    </row>
    <row r="43" customFormat="false" ht="15" hidden="false" customHeight="false" outlineLevel="0" collapsed="false">
      <c r="A43" s="14"/>
      <c r="B43" s="14"/>
      <c r="C43" s="11" t="str">
        <f aca="false">IF(OR(A43="",B43=""),"",A43&amp;"-"&amp;TEXT(B43,"00"))</f>
        <v/>
      </c>
      <c r="D43" s="11" t="str">
        <f aca="false">IF(A43="","",IFERROR(INDEX(Execuções!$E$2:$E$97,MATCH(A43,Execuções!$A$2:$A$97,0)),"ID?"))</f>
        <v/>
      </c>
      <c r="E43" s="11" t="str">
        <f aca="false">IF(A43="","",IFERROR(INDEX(Execuções!$F$2:$F$97,MATCH(A43,Execuções!$A$2:$A$97,0)),"ID?"))</f>
        <v/>
      </c>
      <c r="F43" s="13"/>
      <c r="G43" s="13"/>
    </row>
    <row r="44" customFormat="false" ht="15" hidden="false" customHeight="false" outlineLevel="0" collapsed="false">
      <c r="A44" s="14"/>
      <c r="B44" s="14"/>
      <c r="C44" s="11" t="str">
        <f aca="false">IF(OR(A44="",B44=""),"",A44&amp;"-"&amp;TEXT(B44,"00"))</f>
        <v/>
      </c>
      <c r="D44" s="11" t="str">
        <f aca="false">IF(A44="","",IFERROR(INDEX(Execuções!$E$2:$E$97,MATCH(A44,Execuções!$A$2:$A$97,0)),"ID?"))</f>
        <v/>
      </c>
      <c r="E44" s="11" t="str">
        <f aca="false">IF(A44="","",IFERROR(INDEX(Execuções!$F$2:$F$97,MATCH(A44,Execuções!$A$2:$A$97,0)),"ID?"))</f>
        <v/>
      </c>
      <c r="F44" s="13"/>
      <c r="G44" s="13"/>
    </row>
    <row r="45" customFormat="false" ht="15" hidden="false" customHeight="false" outlineLevel="0" collapsed="false">
      <c r="A45" s="14"/>
      <c r="B45" s="14"/>
      <c r="C45" s="11" t="str">
        <f aca="false">IF(OR(A45="",B45=""),"",A45&amp;"-"&amp;TEXT(B45,"00"))</f>
        <v/>
      </c>
      <c r="D45" s="11" t="str">
        <f aca="false">IF(A45="","",IFERROR(INDEX(Execuções!$E$2:$E$97,MATCH(A45,Execuções!$A$2:$A$97,0)),"ID?"))</f>
        <v/>
      </c>
      <c r="E45" s="11" t="str">
        <f aca="false">IF(A45="","",IFERROR(INDEX(Execuções!$F$2:$F$97,MATCH(A45,Execuções!$A$2:$A$97,0)),"ID?"))</f>
        <v/>
      </c>
      <c r="F45" s="13"/>
      <c r="G45" s="13"/>
    </row>
    <row r="46" customFormat="false" ht="15" hidden="false" customHeight="false" outlineLevel="0" collapsed="false">
      <c r="A46" s="14"/>
      <c r="B46" s="14"/>
      <c r="C46" s="11" t="str">
        <f aca="false">IF(OR(A46="",B46=""),"",A46&amp;"-"&amp;TEXT(B46,"00"))</f>
        <v/>
      </c>
      <c r="D46" s="11" t="str">
        <f aca="false">IF(A46="","",IFERROR(INDEX(Execuções!$E$2:$E$97,MATCH(A46,Execuções!$A$2:$A$97,0)),"ID?"))</f>
        <v/>
      </c>
      <c r="E46" s="11" t="str">
        <f aca="false">IF(A46="","",IFERROR(INDEX(Execuções!$F$2:$F$97,MATCH(A46,Execuções!$A$2:$A$97,0)),"ID?"))</f>
        <v/>
      </c>
      <c r="F46" s="13"/>
      <c r="G46" s="13"/>
    </row>
    <row r="47" customFormat="false" ht="15" hidden="false" customHeight="false" outlineLevel="0" collapsed="false">
      <c r="A47" s="14"/>
      <c r="B47" s="14"/>
      <c r="C47" s="11" t="str">
        <f aca="false">IF(OR(A47="",B47=""),"",A47&amp;"-"&amp;TEXT(B47,"00"))</f>
        <v/>
      </c>
      <c r="D47" s="11" t="str">
        <f aca="false">IF(A47="","",IFERROR(INDEX(Execuções!$E$2:$E$97,MATCH(A47,Execuções!$A$2:$A$97,0)),"ID?"))</f>
        <v/>
      </c>
      <c r="E47" s="11" t="str">
        <f aca="false">IF(A47="","",IFERROR(INDEX(Execuções!$F$2:$F$97,MATCH(A47,Execuções!$A$2:$A$97,0)),"ID?"))</f>
        <v/>
      </c>
      <c r="F47" s="13"/>
      <c r="G47" s="13"/>
    </row>
    <row r="48" customFormat="false" ht="15" hidden="false" customHeight="false" outlineLevel="0" collapsed="false">
      <c r="A48" s="14"/>
      <c r="B48" s="14"/>
      <c r="C48" s="11" t="str">
        <f aca="false">IF(OR(A48="",B48=""),"",A48&amp;"-"&amp;TEXT(B48,"00"))</f>
        <v/>
      </c>
      <c r="D48" s="11" t="str">
        <f aca="false">IF(A48="","",IFERROR(INDEX(Execuções!$E$2:$E$97,MATCH(A48,Execuções!$A$2:$A$97,0)),"ID?"))</f>
        <v/>
      </c>
      <c r="E48" s="11" t="str">
        <f aca="false">IF(A48="","",IFERROR(INDEX(Execuções!$F$2:$F$97,MATCH(A48,Execuções!$A$2:$A$97,0)),"ID?"))</f>
        <v/>
      </c>
      <c r="F48" s="13"/>
      <c r="G48" s="13"/>
    </row>
    <row r="49" customFormat="false" ht="15" hidden="false" customHeight="false" outlineLevel="0" collapsed="false">
      <c r="A49" s="14"/>
      <c r="B49" s="14"/>
      <c r="C49" s="11" t="str">
        <f aca="false">IF(OR(A49="",B49=""),"",A49&amp;"-"&amp;TEXT(B49,"00"))</f>
        <v/>
      </c>
      <c r="D49" s="11" t="str">
        <f aca="false">IF(A49="","",IFERROR(INDEX(Execuções!$E$2:$E$97,MATCH(A49,Execuções!$A$2:$A$97,0)),"ID?"))</f>
        <v/>
      </c>
      <c r="E49" s="11" t="str">
        <f aca="false">IF(A49="","",IFERROR(INDEX(Execuções!$F$2:$F$97,MATCH(A49,Execuções!$A$2:$A$97,0)),"ID?"))</f>
        <v/>
      </c>
      <c r="F49" s="13"/>
      <c r="G49" s="13"/>
    </row>
    <row r="50" customFormat="false" ht="15" hidden="false" customHeight="false" outlineLevel="0" collapsed="false">
      <c r="A50" s="14"/>
      <c r="B50" s="14"/>
      <c r="C50" s="11" t="str">
        <f aca="false">IF(OR(A50="",B50=""),"",A50&amp;"-"&amp;TEXT(B50,"00"))</f>
        <v/>
      </c>
      <c r="D50" s="11" t="str">
        <f aca="false">IF(A50="","",IFERROR(INDEX(Execuções!$E$2:$E$97,MATCH(A50,Execuções!$A$2:$A$97,0)),"ID?"))</f>
        <v/>
      </c>
      <c r="E50" s="11" t="str">
        <f aca="false">IF(A50="","",IFERROR(INDEX(Execuções!$F$2:$F$97,MATCH(A50,Execuções!$A$2:$A$97,0)),"ID?"))</f>
        <v/>
      </c>
      <c r="F50" s="13"/>
      <c r="G50" s="13"/>
    </row>
    <row r="51" customFormat="false" ht="15" hidden="false" customHeight="false" outlineLevel="0" collapsed="false">
      <c r="A51" s="14"/>
      <c r="B51" s="14"/>
      <c r="C51" s="11" t="str">
        <f aca="false">IF(OR(A51="",B51=""),"",A51&amp;"-"&amp;TEXT(B51,"00"))</f>
        <v/>
      </c>
      <c r="D51" s="11" t="str">
        <f aca="false">IF(A51="","",IFERROR(INDEX(Execuções!$E$2:$E$97,MATCH(A51,Execuções!$A$2:$A$97,0)),"ID?"))</f>
        <v/>
      </c>
      <c r="E51" s="11" t="str">
        <f aca="false">IF(A51="","",IFERROR(INDEX(Execuções!$F$2:$F$97,MATCH(A51,Execuções!$A$2:$A$97,0)),"ID?"))</f>
        <v/>
      </c>
      <c r="F51" s="13"/>
      <c r="G51" s="13"/>
    </row>
    <row r="52" customFormat="false" ht="15" hidden="false" customHeight="false" outlineLevel="0" collapsed="false">
      <c r="A52" s="14"/>
      <c r="B52" s="14"/>
      <c r="C52" s="11" t="str">
        <f aca="false">IF(OR(A52="",B52=""),"",A52&amp;"-"&amp;TEXT(B52,"00"))</f>
        <v/>
      </c>
      <c r="D52" s="11" t="str">
        <f aca="false">IF(A52="","",IFERROR(INDEX(Execuções!$E$2:$E$97,MATCH(A52,Execuções!$A$2:$A$97,0)),"ID?"))</f>
        <v/>
      </c>
      <c r="E52" s="11" t="str">
        <f aca="false">IF(A52="","",IFERROR(INDEX(Execuções!$F$2:$F$97,MATCH(A52,Execuções!$A$2:$A$97,0)),"ID?"))</f>
        <v/>
      </c>
      <c r="F52" s="13"/>
      <c r="G52" s="13"/>
    </row>
    <row r="53" customFormat="false" ht="15" hidden="false" customHeight="false" outlineLevel="0" collapsed="false">
      <c r="A53" s="14"/>
      <c r="B53" s="14"/>
      <c r="C53" s="11" t="str">
        <f aca="false">IF(OR(A53="",B53=""),"",A53&amp;"-"&amp;TEXT(B53,"00"))</f>
        <v/>
      </c>
      <c r="D53" s="11" t="str">
        <f aca="false">IF(A53="","",IFERROR(INDEX(Execuções!$E$2:$E$97,MATCH(A53,Execuções!$A$2:$A$97,0)),"ID?"))</f>
        <v/>
      </c>
      <c r="E53" s="11" t="str">
        <f aca="false">IF(A53="","",IFERROR(INDEX(Execuções!$F$2:$F$97,MATCH(A53,Execuções!$A$2:$A$97,0)),"ID?"))</f>
        <v/>
      </c>
      <c r="F53" s="13"/>
      <c r="G53" s="13"/>
    </row>
    <row r="54" customFormat="false" ht="15" hidden="false" customHeight="false" outlineLevel="0" collapsed="false">
      <c r="A54" s="14"/>
      <c r="B54" s="14"/>
      <c r="C54" s="11" t="str">
        <f aca="false">IF(OR(A54="",B54=""),"",A54&amp;"-"&amp;TEXT(B54,"00"))</f>
        <v/>
      </c>
      <c r="D54" s="11" t="str">
        <f aca="false">IF(A54="","",IFERROR(INDEX(Execuções!$E$2:$E$97,MATCH(A54,Execuções!$A$2:$A$97,0)),"ID?"))</f>
        <v/>
      </c>
      <c r="E54" s="11" t="str">
        <f aca="false">IF(A54="","",IFERROR(INDEX(Execuções!$F$2:$F$97,MATCH(A54,Execuções!$A$2:$A$97,0)),"ID?"))</f>
        <v/>
      </c>
      <c r="F54" s="13"/>
      <c r="G54" s="13"/>
    </row>
    <row r="55" customFormat="false" ht="15" hidden="false" customHeight="false" outlineLevel="0" collapsed="false">
      <c r="A55" s="14"/>
      <c r="B55" s="14"/>
      <c r="C55" s="11" t="str">
        <f aca="false">IF(OR(A55="",B55=""),"",A55&amp;"-"&amp;TEXT(B55,"00"))</f>
        <v/>
      </c>
      <c r="D55" s="11" t="str">
        <f aca="false">IF(A55="","",IFERROR(INDEX(Execuções!$E$2:$E$97,MATCH(A55,Execuções!$A$2:$A$97,0)),"ID?"))</f>
        <v/>
      </c>
      <c r="E55" s="11" t="str">
        <f aca="false">IF(A55="","",IFERROR(INDEX(Execuções!$F$2:$F$97,MATCH(A55,Execuções!$A$2:$A$97,0)),"ID?"))</f>
        <v/>
      </c>
      <c r="F55" s="13"/>
      <c r="G55" s="13"/>
    </row>
    <row r="56" customFormat="false" ht="15" hidden="false" customHeight="false" outlineLevel="0" collapsed="false">
      <c r="A56" s="14"/>
      <c r="B56" s="14"/>
      <c r="C56" s="11" t="str">
        <f aca="false">IF(OR(A56="",B56=""),"",A56&amp;"-"&amp;TEXT(B56,"00"))</f>
        <v/>
      </c>
      <c r="D56" s="11" t="str">
        <f aca="false">IF(A56="","",IFERROR(INDEX(Execuções!$E$2:$E$97,MATCH(A56,Execuções!$A$2:$A$97,0)),"ID?"))</f>
        <v/>
      </c>
      <c r="E56" s="11" t="str">
        <f aca="false">IF(A56="","",IFERROR(INDEX(Execuções!$F$2:$F$97,MATCH(A56,Execuções!$A$2:$A$97,0)),"ID?"))</f>
        <v/>
      </c>
      <c r="F56" s="13"/>
      <c r="G56" s="13"/>
    </row>
    <row r="57" customFormat="false" ht="15" hidden="false" customHeight="false" outlineLevel="0" collapsed="false">
      <c r="A57" s="14"/>
      <c r="B57" s="14"/>
      <c r="C57" s="11" t="str">
        <f aca="false">IF(OR(A57="",B57=""),"",A57&amp;"-"&amp;TEXT(B57,"00"))</f>
        <v/>
      </c>
      <c r="D57" s="11" t="str">
        <f aca="false">IF(A57="","",IFERROR(INDEX(Execuções!$E$2:$E$97,MATCH(A57,Execuções!$A$2:$A$97,0)),"ID?"))</f>
        <v/>
      </c>
      <c r="E57" s="11" t="str">
        <f aca="false">IF(A57="","",IFERROR(INDEX(Execuções!$F$2:$F$97,MATCH(A57,Execuções!$A$2:$A$97,0)),"ID?"))</f>
        <v/>
      </c>
      <c r="F57" s="13"/>
      <c r="G57" s="13"/>
    </row>
    <row r="58" customFormat="false" ht="15" hidden="false" customHeight="false" outlineLevel="0" collapsed="false">
      <c r="A58" s="14"/>
      <c r="B58" s="14"/>
      <c r="C58" s="11" t="str">
        <f aca="false">IF(OR(A58="",B58=""),"",A58&amp;"-"&amp;TEXT(B58,"00"))</f>
        <v/>
      </c>
      <c r="D58" s="11" t="str">
        <f aca="false">IF(A58="","",IFERROR(INDEX(Execuções!$E$2:$E$97,MATCH(A58,Execuções!$A$2:$A$97,0)),"ID?"))</f>
        <v/>
      </c>
      <c r="E58" s="11" t="str">
        <f aca="false">IF(A58="","",IFERROR(INDEX(Execuções!$F$2:$F$97,MATCH(A58,Execuções!$A$2:$A$97,0)),"ID?"))</f>
        <v/>
      </c>
      <c r="F58" s="13"/>
      <c r="G58" s="13"/>
    </row>
    <row r="59" customFormat="false" ht="15" hidden="false" customHeight="false" outlineLevel="0" collapsed="false">
      <c r="A59" s="14"/>
      <c r="B59" s="14"/>
      <c r="C59" s="11" t="str">
        <f aca="false">IF(OR(A59="",B59=""),"",A59&amp;"-"&amp;TEXT(B59,"00"))</f>
        <v/>
      </c>
      <c r="D59" s="11" t="str">
        <f aca="false">IF(A59="","",IFERROR(INDEX(Execuções!$E$2:$E$97,MATCH(A59,Execuções!$A$2:$A$97,0)),"ID?"))</f>
        <v/>
      </c>
      <c r="E59" s="11" t="str">
        <f aca="false">IF(A59="","",IFERROR(INDEX(Execuções!$F$2:$F$97,MATCH(A59,Execuções!$A$2:$A$97,0)),"ID?"))</f>
        <v/>
      </c>
      <c r="F59" s="13"/>
      <c r="G59" s="13"/>
    </row>
    <row r="60" customFormat="false" ht="15" hidden="false" customHeight="false" outlineLevel="0" collapsed="false">
      <c r="A60" s="14"/>
      <c r="B60" s="14"/>
      <c r="C60" s="11" t="str">
        <f aca="false">IF(OR(A60="",B60=""),"",A60&amp;"-"&amp;TEXT(B60,"00"))</f>
        <v/>
      </c>
      <c r="D60" s="11" t="str">
        <f aca="false">IF(A60="","",IFERROR(INDEX(Execuções!$E$2:$E$97,MATCH(A60,Execuções!$A$2:$A$97,0)),"ID?"))</f>
        <v/>
      </c>
      <c r="E60" s="11" t="str">
        <f aca="false">IF(A60="","",IFERROR(INDEX(Execuções!$F$2:$F$97,MATCH(A60,Execuções!$A$2:$A$97,0)),"ID?"))</f>
        <v/>
      </c>
      <c r="F60" s="13"/>
      <c r="G60" s="13"/>
    </row>
    <row r="61" customFormat="false" ht="15" hidden="false" customHeight="false" outlineLevel="0" collapsed="false">
      <c r="A61" s="14"/>
      <c r="B61" s="14"/>
      <c r="C61" s="11" t="str">
        <f aca="false">IF(OR(A61="",B61=""),"",A61&amp;"-"&amp;TEXT(B61,"00"))</f>
        <v/>
      </c>
      <c r="D61" s="11" t="str">
        <f aca="false">IF(A61="","",IFERROR(INDEX(Execuções!$E$2:$E$97,MATCH(A61,Execuções!$A$2:$A$97,0)),"ID?"))</f>
        <v/>
      </c>
      <c r="E61" s="11" t="str">
        <f aca="false">IF(A61="","",IFERROR(INDEX(Execuções!$F$2:$F$97,MATCH(A61,Execuções!$A$2:$A$97,0)),"ID?"))</f>
        <v/>
      </c>
      <c r="F61" s="13"/>
      <c r="G61" s="13"/>
    </row>
    <row r="62" customFormat="false" ht="15" hidden="false" customHeight="false" outlineLevel="0" collapsed="false">
      <c r="A62" s="14"/>
      <c r="B62" s="14"/>
      <c r="C62" s="11" t="str">
        <f aca="false">IF(OR(A62="",B62=""),"",A62&amp;"-"&amp;TEXT(B62,"00"))</f>
        <v/>
      </c>
      <c r="D62" s="11" t="str">
        <f aca="false">IF(A62="","",IFERROR(INDEX(Execuções!$E$2:$E$97,MATCH(A62,Execuções!$A$2:$A$97,0)),"ID?"))</f>
        <v/>
      </c>
      <c r="E62" s="11" t="str">
        <f aca="false">IF(A62="","",IFERROR(INDEX(Execuções!$F$2:$F$97,MATCH(A62,Execuções!$A$2:$A$97,0)),"ID?"))</f>
        <v/>
      </c>
      <c r="F62" s="13"/>
      <c r="G62" s="13"/>
    </row>
    <row r="63" customFormat="false" ht="15" hidden="false" customHeight="false" outlineLevel="0" collapsed="false">
      <c r="A63" s="14"/>
      <c r="B63" s="14"/>
      <c r="C63" s="11" t="str">
        <f aca="false">IF(OR(A63="",B63=""),"",A63&amp;"-"&amp;TEXT(B63,"00"))</f>
        <v/>
      </c>
      <c r="D63" s="11" t="str">
        <f aca="false">IF(A63="","",IFERROR(INDEX(Execuções!$E$2:$E$97,MATCH(A63,Execuções!$A$2:$A$97,0)),"ID?"))</f>
        <v/>
      </c>
      <c r="E63" s="11" t="str">
        <f aca="false">IF(A63="","",IFERROR(INDEX(Execuções!$F$2:$F$97,MATCH(A63,Execuções!$A$2:$A$97,0)),"ID?"))</f>
        <v/>
      </c>
      <c r="F63" s="13"/>
      <c r="G63" s="13"/>
    </row>
    <row r="64" customFormat="false" ht="15" hidden="false" customHeight="false" outlineLevel="0" collapsed="false">
      <c r="A64" s="14"/>
      <c r="B64" s="14"/>
      <c r="C64" s="11" t="str">
        <f aca="false">IF(OR(A64="",B64=""),"",A64&amp;"-"&amp;TEXT(B64,"00"))</f>
        <v/>
      </c>
      <c r="D64" s="11" t="str">
        <f aca="false">IF(A64="","",IFERROR(INDEX(Execuções!$E$2:$E$97,MATCH(A64,Execuções!$A$2:$A$97,0)),"ID?"))</f>
        <v/>
      </c>
      <c r="E64" s="11" t="str">
        <f aca="false">IF(A64="","",IFERROR(INDEX(Execuções!$F$2:$F$97,MATCH(A64,Execuções!$A$2:$A$97,0)),"ID?"))</f>
        <v/>
      </c>
      <c r="F64" s="13"/>
      <c r="G64" s="13"/>
    </row>
    <row r="65" customFormat="false" ht="15" hidden="false" customHeight="false" outlineLevel="0" collapsed="false">
      <c r="A65" s="14"/>
      <c r="B65" s="14"/>
      <c r="C65" s="11" t="str">
        <f aca="false">IF(OR(A65="",B65=""),"",A65&amp;"-"&amp;TEXT(B65,"00"))</f>
        <v/>
      </c>
      <c r="D65" s="11" t="str">
        <f aca="false">IF(A65="","",IFERROR(INDEX(Execuções!$E$2:$E$97,MATCH(A65,Execuções!$A$2:$A$97,0)),"ID?"))</f>
        <v/>
      </c>
      <c r="E65" s="11" t="str">
        <f aca="false">IF(A65="","",IFERROR(INDEX(Execuções!$F$2:$F$97,MATCH(A65,Execuções!$A$2:$A$97,0)),"ID?"))</f>
        <v/>
      </c>
      <c r="F65" s="13"/>
      <c r="G65" s="13"/>
    </row>
    <row r="66" customFormat="false" ht="15" hidden="false" customHeight="false" outlineLevel="0" collapsed="false">
      <c r="A66" s="14"/>
      <c r="B66" s="14"/>
      <c r="C66" s="11" t="str">
        <f aca="false">IF(OR(A66="",B66=""),"",A66&amp;"-"&amp;TEXT(B66,"00"))</f>
        <v/>
      </c>
      <c r="D66" s="11" t="str">
        <f aca="false">IF(A66="","",IFERROR(INDEX(Execuções!$E$2:$E$97,MATCH(A66,Execuções!$A$2:$A$97,0)),"ID?"))</f>
        <v/>
      </c>
      <c r="E66" s="11" t="str">
        <f aca="false">IF(A66="","",IFERROR(INDEX(Execuções!$F$2:$F$97,MATCH(A66,Execuções!$A$2:$A$97,0)),"ID?"))</f>
        <v/>
      </c>
      <c r="F66" s="13"/>
      <c r="G66" s="13"/>
    </row>
    <row r="67" customFormat="false" ht="15" hidden="false" customHeight="false" outlineLevel="0" collapsed="false">
      <c r="A67" s="14"/>
      <c r="B67" s="14"/>
      <c r="C67" s="11" t="str">
        <f aca="false">IF(OR(A67="",B67=""),"",A67&amp;"-"&amp;TEXT(B67,"00"))</f>
        <v/>
      </c>
      <c r="D67" s="11" t="str">
        <f aca="false">IF(A67="","",IFERROR(INDEX(Execuções!$E$2:$E$97,MATCH(A67,Execuções!$A$2:$A$97,0)),"ID?"))</f>
        <v/>
      </c>
      <c r="E67" s="11" t="str">
        <f aca="false">IF(A67="","",IFERROR(INDEX(Execuções!$F$2:$F$97,MATCH(A67,Execuções!$A$2:$A$97,0)),"ID?"))</f>
        <v/>
      </c>
      <c r="F67" s="13"/>
      <c r="G67" s="13"/>
    </row>
    <row r="68" customFormat="false" ht="15" hidden="false" customHeight="false" outlineLevel="0" collapsed="false">
      <c r="A68" s="14"/>
      <c r="B68" s="14"/>
      <c r="C68" s="11" t="str">
        <f aca="false">IF(OR(A68="",B68=""),"",A68&amp;"-"&amp;TEXT(B68,"00"))</f>
        <v/>
      </c>
      <c r="D68" s="11" t="str">
        <f aca="false">IF(A68="","",IFERROR(INDEX(Execuções!$E$2:$E$97,MATCH(A68,Execuções!$A$2:$A$97,0)),"ID?"))</f>
        <v/>
      </c>
      <c r="E68" s="11" t="str">
        <f aca="false">IF(A68="","",IFERROR(INDEX(Execuções!$F$2:$F$97,MATCH(A68,Execuções!$A$2:$A$97,0)),"ID?"))</f>
        <v/>
      </c>
      <c r="F68" s="13"/>
      <c r="G68" s="13"/>
    </row>
    <row r="69" customFormat="false" ht="15" hidden="false" customHeight="false" outlineLevel="0" collapsed="false">
      <c r="A69" s="14"/>
      <c r="B69" s="14"/>
      <c r="C69" s="11" t="str">
        <f aca="false">IF(OR(A69="",B69=""),"",A69&amp;"-"&amp;TEXT(B69,"00"))</f>
        <v/>
      </c>
      <c r="D69" s="11" t="str">
        <f aca="false">IF(A69="","",IFERROR(INDEX(Execuções!$E$2:$E$97,MATCH(A69,Execuções!$A$2:$A$97,0)),"ID?"))</f>
        <v/>
      </c>
      <c r="E69" s="11" t="str">
        <f aca="false">IF(A69="","",IFERROR(INDEX(Execuções!$F$2:$F$97,MATCH(A69,Execuções!$A$2:$A$97,0)),"ID?"))</f>
        <v/>
      </c>
      <c r="F69" s="13"/>
      <c r="G69" s="13"/>
    </row>
    <row r="70" customFormat="false" ht="15" hidden="false" customHeight="false" outlineLevel="0" collapsed="false">
      <c r="A70" s="14"/>
      <c r="B70" s="14"/>
      <c r="C70" s="11" t="str">
        <f aca="false">IF(OR(A70="",B70=""),"",A70&amp;"-"&amp;TEXT(B70,"00"))</f>
        <v/>
      </c>
      <c r="D70" s="11" t="str">
        <f aca="false">IF(A70="","",IFERROR(INDEX(Execuções!$E$2:$E$97,MATCH(A70,Execuções!$A$2:$A$97,0)),"ID?"))</f>
        <v/>
      </c>
      <c r="E70" s="11" t="str">
        <f aca="false">IF(A70="","",IFERROR(INDEX(Execuções!$F$2:$F$97,MATCH(A70,Execuções!$A$2:$A$97,0)),"ID?"))</f>
        <v/>
      </c>
      <c r="F70" s="13"/>
      <c r="G70" s="13"/>
    </row>
    <row r="71" customFormat="false" ht="15" hidden="false" customHeight="false" outlineLevel="0" collapsed="false">
      <c r="A71" s="14"/>
      <c r="B71" s="14"/>
      <c r="C71" s="11" t="str">
        <f aca="false">IF(OR(A71="",B71=""),"",A71&amp;"-"&amp;TEXT(B71,"00"))</f>
        <v/>
      </c>
      <c r="D71" s="11" t="str">
        <f aca="false">IF(A71="","",IFERROR(INDEX(Execuções!$E$2:$E$97,MATCH(A71,Execuções!$A$2:$A$97,0)),"ID?"))</f>
        <v/>
      </c>
      <c r="E71" s="11" t="str">
        <f aca="false">IF(A71="","",IFERROR(INDEX(Execuções!$F$2:$F$97,MATCH(A71,Execuções!$A$2:$A$97,0)),"ID?"))</f>
        <v/>
      </c>
      <c r="F71" s="13"/>
      <c r="G71" s="13"/>
    </row>
    <row r="72" customFormat="false" ht="15" hidden="false" customHeight="false" outlineLevel="0" collapsed="false">
      <c r="A72" s="14"/>
      <c r="B72" s="14"/>
      <c r="C72" s="11" t="str">
        <f aca="false">IF(OR(A72="",B72=""),"",A72&amp;"-"&amp;TEXT(B72,"00"))</f>
        <v/>
      </c>
      <c r="D72" s="11" t="str">
        <f aca="false">IF(A72="","",IFERROR(INDEX(Execuções!$E$2:$E$97,MATCH(A72,Execuções!$A$2:$A$97,0)),"ID?"))</f>
        <v/>
      </c>
      <c r="E72" s="11" t="str">
        <f aca="false">IF(A72="","",IFERROR(INDEX(Execuções!$F$2:$F$97,MATCH(A72,Execuções!$A$2:$A$97,0)),"ID?"))</f>
        <v/>
      </c>
      <c r="F72" s="13"/>
      <c r="G72" s="13"/>
    </row>
    <row r="73" customFormat="false" ht="15" hidden="false" customHeight="false" outlineLevel="0" collapsed="false">
      <c r="A73" s="14"/>
      <c r="B73" s="14"/>
      <c r="C73" s="11" t="str">
        <f aca="false">IF(OR(A73="",B73=""),"",A73&amp;"-"&amp;TEXT(B73,"00"))</f>
        <v/>
      </c>
      <c r="D73" s="11" t="str">
        <f aca="false">IF(A73="","",IFERROR(INDEX(Execuções!$E$2:$E$97,MATCH(A73,Execuções!$A$2:$A$97,0)),"ID?"))</f>
        <v/>
      </c>
      <c r="E73" s="11" t="str">
        <f aca="false">IF(A73="","",IFERROR(INDEX(Execuções!$F$2:$F$97,MATCH(A73,Execuções!$A$2:$A$97,0)),"ID?"))</f>
        <v/>
      </c>
      <c r="F73" s="13"/>
      <c r="G73" s="13"/>
    </row>
    <row r="74" customFormat="false" ht="15" hidden="false" customHeight="false" outlineLevel="0" collapsed="false">
      <c r="A74" s="14"/>
      <c r="B74" s="14"/>
      <c r="C74" s="11" t="str">
        <f aca="false">IF(OR(A74="",B74=""),"",A74&amp;"-"&amp;TEXT(B74,"00"))</f>
        <v/>
      </c>
      <c r="D74" s="11" t="str">
        <f aca="false">IF(A74="","",IFERROR(INDEX(Execuções!$E$2:$E$97,MATCH(A74,Execuções!$A$2:$A$97,0)),"ID?"))</f>
        <v/>
      </c>
      <c r="E74" s="11" t="str">
        <f aca="false">IF(A74="","",IFERROR(INDEX(Execuções!$F$2:$F$97,MATCH(A74,Execuções!$A$2:$A$97,0)),"ID?"))</f>
        <v/>
      </c>
      <c r="F74" s="13"/>
      <c r="G74" s="13"/>
    </row>
    <row r="75" customFormat="false" ht="15" hidden="false" customHeight="false" outlineLevel="0" collapsed="false">
      <c r="A75" s="14"/>
      <c r="B75" s="14"/>
      <c r="C75" s="11" t="str">
        <f aca="false">IF(OR(A75="",B75=""),"",A75&amp;"-"&amp;TEXT(B75,"00"))</f>
        <v/>
      </c>
      <c r="D75" s="11" t="str">
        <f aca="false">IF(A75="","",IFERROR(INDEX(Execuções!$E$2:$E$97,MATCH(A75,Execuções!$A$2:$A$97,0)),"ID?"))</f>
        <v/>
      </c>
      <c r="E75" s="11" t="str">
        <f aca="false">IF(A75="","",IFERROR(INDEX(Execuções!$F$2:$F$97,MATCH(A75,Execuções!$A$2:$A$97,0)),"ID?"))</f>
        <v/>
      </c>
      <c r="F75" s="13"/>
      <c r="G75" s="13"/>
    </row>
    <row r="76" customFormat="false" ht="15" hidden="false" customHeight="false" outlineLevel="0" collapsed="false">
      <c r="A76" s="14"/>
      <c r="B76" s="14"/>
      <c r="C76" s="11" t="str">
        <f aca="false">IF(OR(A76="",B76=""),"",A76&amp;"-"&amp;TEXT(B76,"00"))</f>
        <v/>
      </c>
      <c r="D76" s="11" t="str">
        <f aca="false">IF(A76="","",IFERROR(INDEX(Execuções!$E$2:$E$97,MATCH(A76,Execuções!$A$2:$A$97,0)),"ID?"))</f>
        <v/>
      </c>
      <c r="E76" s="11" t="str">
        <f aca="false">IF(A76="","",IFERROR(INDEX(Execuções!$F$2:$F$97,MATCH(A76,Execuções!$A$2:$A$97,0)),"ID?"))</f>
        <v/>
      </c>
      <c r="F76" s="13"/>
      <c r="G76" s="13"/>
    </row>
    <row r="77" customFormat="false" ht="15" hidden="false" customHeight="false" outlineLevel="0" collapsed="false">
      <c r="A77" s="14"/>
      <c r="B77" s="14"/>
      <c r="C77" s="11" t="str">
        <f aca="false">IF(OR(A77="",B77=""),"",A77&amp;"-"&amp;TEXT(B77,"00"))</f>
        <v/>
      </c>
      <c r="D77" s="11" t="str">
        <f aca="false">IF(A77="","",IFERROR(INDEX(Execuções!$E$2:$E$97,MATCH(A77,Execuções!$A$2:$A$97,0)),"ID?"))</f>
        <v/>
      </c>
      <c r="E77" s="11" t="str">
        <f aca="false">IF(A77="","",IFERROR(INDEX(Execuções!$F$2:$F$97,MATCH(A77,Execuções!$A$2:$A$97,0)),"ID?"))</f>
        <v/>
      </c>
      <c r="F77" s="13"/>
      <c r="G77" s="13"/>
    </row>
    <row r="78" customFormat="false" ht="15" hidden="false" customHeight="false" outlineLevel="0" collapsed="false">
      <c r="A78" s="14"/>
      <c r="B78" s="14"/>
      <c r="C78" s="11" t="str">
        <f aca="false">IF(OR(A78="",B78=""),"",A78&amp;"-"&amp;TEXT(B78,"00"))</f>
        <v/>
      </c>
      <c r="D78" s="11" t="str">
        <f aca="false">IF(A78="","",IFERROR(INDEX(Execuções!$E$2:$E$97,MATCH(A78,Execuções!$A$2:$A$97,0)),"ID?"))</f>
        <v/>
      </c>
      <c r="E78" s="11" t="str">
        <f aca="false">IF(A78="","",IFERROR(INDEX(Execuções!$F$2:$F$97,MATCH(A78,Execuções!$A$2:$A$97,0)),"ID?"))</f>
        <v/>
      </c>
      <c r="F78" s="13"/>
      <c r="G78" s="13"/>
    </row>
    <row r="79" customFormat="false" ht="15" hidden="false" customHeight="false" outlineLevel="0" collapsed="false">
      <c r="A79" s="14"/>
      <c r="B79" s="14"/>
      <c r="C79" s="11" t="str">
        <f aca="false">IF(OR(A79="",B79=""),"",A79&amp;"-"&amp;TEXT(B79,"00"))</f>
        <v/>
      </c>
      <c r="D79" s="11" t="str">
        <f aca="false">IF(A79="","",IFERROR(INDEX(Execuções!$E$2:$E$97,MATCH(A79,Execuções!$A$2:$A$97,0)),"ID?"))</f>
        <v/>
      </c>
      <c r="E79" s="11" t="str">
        <f aca="false">IF(A79="","",IFERROR(INDEX(Execuções!$F$2:$F$97,MATCH(A79,Execuções!$A$2:$A$97,0)),"ID?"))</f>
        <v/>
      </c>
      <c r="F79" s="13"/>
      <c r="G79" s="13"/>
    </row>
    <row r="80" customFormat="false" ht="15" hidden="false" customHeight="false" outlineLevel="0" collapsed="false">
      <c r="A80" s="14"/>
      <c r="B80" s="14"/>
      <c r="C80" s="11" t="str">
        <f aca="false">IF(OR(A80="",B80=""),"",A80&amp;"-"&amp;TEXT(B80,"00"))</f>
        <v/>
      </c>
      <c r="D80" s="11" t="str">
        <f aca="false">IF(A80="","",IFERROR(INDEX(Execuções!$E$2:$E$97,MATCH(A80,Execuções!$A$2:$A$97,0)),"ID?"))</f>
        <v/>
      </c>
      <c r="E80" s="11" t="str">
        <f aca="false">IF(A80="","",IFERROR(INDEX(Execuções!$F$2:$F$97,MATCH(A80,Execuções!$A$2:$A$97,0)),"ID?"))</f>
        <v/>
      </c>
      <c r="F80" s="13"/>
      <c r="G80" s="13"/>
    </row>
    <row r="81" customFormat="false" ht="15" hidden="false" customHeight="false" outlineLevel="0" collapsed="false">
      <c r="A81" s="14"/>
      <c r="B81" s="14"/>
      <c r="C81" s="11" t="str">
        <f aca="false">IF(OR(A81="",B81=""),"",A81&amp;"-"&amp;TEXT(B81,"00"))</f>
        <v/>
      </c>
      <c r="D81" s="11" t="str">
        <f aca="false">IF(A81="","",IFERROR(INDEX(Execuções!$E$2:$E$97,MATCH(A81,Execuções!$A$2:$A$97,0)),"ID?"))</f>
        <v/>
      </c>
      <c r="E81" s="11" t="str">
        <f aca="false">IF(A81="","",IFERROR(INDEX(Execuções!$F$2:$F$97,MATCH(A81,Execuções!$A$2:$A$97,0)),"ID?"))</f>
        <v/>
      </c>
      <c r="F81" s="13"/>
      <c r="G81" s="13"/>
    </row>
    <row r="82" customFormat="false" ht="15" hidden="false" customHeight="false" outlineLevel="0" collapsed="false">
      <c r="A82" s="14"/>
      <c r="B82" s="14"/>
      <c r="C82" s="11" t="str">
        <f aca="false">IF(OR(A82="",B82=""),"",A82&amp;"-"&amp;TEXT(B82,"00"))</f>
        <v/>
      </c>
      <c r="D82" s="11" t="str">
        <f aca="false">IF(A82="","",IFERROR(INDEX(Execuções!$E$2:$E$97,MATCH(A82,Execuções!$A$2:$A$97,0)),"ID?"))</f>
        <v/>
      </c>
      <c r="E82" s="11" t="str">
        <f aca="false">IF(A82="","",IFERROR(INDEX(Execuções!$F$2:$F$97,MATCH(A82,Execuções!$A$2:$A$97,0)),"ID?"))</f>
        <v/>
      </c>
      <c r="F82" s="13"/>
      <c r="G82" s="13"/>
    </row>
    <row r="83" customFormat="false" ht="15" hidden="false" customHeight="false" outlineLevel="0" collapsed="false">
      <c r="A83" s="14"/>
      <c r="B83" s="14"/>
      <c r="C83" s="11" t="str">
        <f aca="false">IF(OR(A83="",B83=""),"",A83&amp;"-"&amp;TEXT(B83,"00"))</f>
        <v/>
      </c>
      <c r="D83" s="11" t="str">
        <f aca="false">IF(A83="","",IFERROR(INDEX(Execuções!$E$2:$E$97,MATCH(A83,Execuções!$A$2:$A$97,0)),"ID?"))</f>
        <v/>
      </c>
      <c r="E83" s="11" t="str">
        <f aca="false">IF(A83="","",IFERROR(INDEX(Execuções!$F$2:$F$97,MATCH(A83,Execuções!$A$2:$A$97,0)),"ID?"))</f>
        <v/>
      </c>
      <c r="F83" s="13"/>
      <c r="G83" s="13"/>
    </row>
    <row r="84" customFormat="false" ht="15" hidden="false" customHeight="false" outlineLevel="0" collapsed="false">
      <c r="A84" s="14"/>
      <c r="B84" s="14"/>
      <c r="C84" s="11" t="str">
        <f aca="false">IF(OR(A84="",B84=""),"",A84&amp;"-"&amp;TEXT(B84,"00"))</f>
        <v/>
      </c>
      <c r="D84" s="11" t="str">
        <f aca="false">IF(A84="","",IFERROR(INDEX(Execuções!$E$2:$E$97,MATCH(A84,Execuções!$A$2:$A$97,0)),"ID?"))</f>
        <v/>
      </c>
      <c r="E84" s="11" t="str">
        <f aca="false">IF(A84="","",IFERROR(INDEX(Execuções!$F$2:$F$97,MATCH(A84,Execuções!$A$2:$A$97,0)),"ID?"))</f>
        <v/>
      </c>
      <c r="F84" s="13"/>
      <c r="G84" s="13"/>
    </row>
    <row r="85" customFormat="false" ht="15" hidden="false" customHeight="false" outlineLevel="0" collapsed="false">
      <c r="A85" s="14"/>
      <c r="B85" s="14"/>
      <c r="C85" s="11" t="str">
        <f aca="false">IF(OR(A85="",B85=""),"",A85&amp;"-"&amp;TEXT(B85,"00"))</f>
        <v/>
      </c>
      <c r="D85" s="11" t="str">
        <f aca="false">IF(A85="","",IFERROR(INDEX(Execuções!$E$2:$E$97,MATCH(A85,Execuções!$A$2:$A$97,0)),"ID?"))</f>
        <v/>
      </c>
      <c r="E85" s="11" t="str">
        <f aca="false">IF(A85="","",IFERROR(INDEX(Execuções!$F$2:$F$97,MATCH(A85,Execuções!$A$2:$A$97,0)),"ID?"))</f>
        <v/>
      </c>
      <c r="F85" s="13"/>
      <c r="G85" s="13"/>
    </row>
    <row r="86" customFormat="false" ht="15" hidden="false" customHeight="false" outlineLevel="0" collapsed="false">
      <c r="A86" s="14"/>
      <c r="B86" s="14"/>
      <c r="C86" s="11" t="str">
        <f aca="false">IF(OR(A86="",B86=""),"",A86&amp;"-"&amp;TEXT(B86,"00"))</f>
        <v/>
      </c>
      <c r="D86" s="11" t="str">
        <f aca="false">IF(A86="","",IFERROR(INDEX(Execuções!$E$2:$E$97,MATCH(A86,Execuções!$A$2:$A$97,0)),"ID?"))</f>
        <v/>
      </c>
      <c r="E86" s="11" t="str">
        <f aca="false">IF(A86="","",IFERROR(INDEX(Execuções!$F$2:$F$97,MATCH(A86,Execuções!$A$2:$A$97,0)),"ID?"))</f>
        <v/>
      </c>
      <c r="F86" s="13"/>
      <c r="G86" s="13"/>
    </row>
    <row r="87" customFormat="false" ht="15" hidden="false" customHeight="false" outlineLevel="0" collapsed="false">
      <c r="A87" s="14"/>
      <c r="B87" s="14"/>
      <c r="C87" s="11" t="str">
        <f aca="false">IF(OR(A87="",B87=""),"",A87&amp;"-"&amp;TEXT(B87,"00"))</f>
        <v/>
      </c>
      <c r="D87" s="11" t="str">
        <f aca="false">IF(A87="","",IFERROR(INDEX(Execuções!$E$2:$E$97,MATCH(A87,Execuções!$A$2:$A$97,0)),"ID?"))</f>
        <v/>
      </c>
      <c r="E87" s="11" t="str">
        <f aca="false">IF(A87="","",IFERROR(INDEX(Execuções!$F$2:$F$97,MATCH(A87,Execuções!$A$2:$A$97,0)),"ID?"))</f>
        <v/>
      </c>
      <c r="F87" s="13"/>
      <c r="G87" s="13"/>
    </row>
    <row r="88" customFormat="false" ht="15" hidden="false" customHeight="false" outlineLevel="0" collapsed="false">
      <c r="A88" s="14"/>
      <c r="B88" s="14"/>
      <c r="C88" s="11" t="str">
        <f aca="false">IF(OR(A88="",B88=""),"",A88&amp;"-"&amp;TEXT(B88,"00"))</f>
        <v/>
      </c>
      <c r="D88" s="11" t="str">
        <f aca="false">IF(A88="","",IFERROR(INDEX(Execuções!$E$2:$E$97,MATCH(A88,Execuções!$A$2:$A$97,0)),"ID?"))</f>
        <v/>
      </c>
      <c r="E88" s="11" t="str">
        <f aca="false">IF(A88="","",IFERROR(INDEX(Execuções!$F$2:$F$97,MATCH(A88,Execuções!$A$2:$A$97,0)),"ID?"))</f>
        <v/>
      </c>
      <c r="F88" s="13"/>
      <c r="G88" s="13"/>
    </row>
    <row r="89" customFormat="false" ht="15" hidden="false" customHeight="false" outlineLevel="0" collapsed="false">
      <c r="A89" s="14"/>
      <c r="B89" s="14"/>
      <c r="C89" s="11" t="str">
        <f aca="false">IF(OR(A89="",B89=""),"",A89&amp;"-"&amp;TEXT(B89,"00"))</f>
        <v/>
      </c>
      <c r="D89" s="11" t="str">
        <f aca="false">IF(A89="","",IFERROR(INDEX(Execuções!$E$2:$E$97,MATCH(A89,Execuções!$A$2:$A$97,0)),"ID?"))</f>
        <v/>
      </c>
      <c r="E89" s="11" t="str">
        <f aca="false">IF(A89="","",IFERROR(INDEX(Execuções!$F$2:$F$97,MATCH(A89,Execuções!$A$2:$A$97,0)),"ID?"))</f>
        <v/>
      </c>
      <c r="F89" s="13"/>
      <c r="G89" s="13"/>
    </row>
    <row r="90" customFormat="false" ht="15" hidden="false" customHeight="false" outlineLevel="0" collapsed="false">
      <c r="A90" s="14"/>
      <c r="B90" s="14"/>
      <c r="C90" s="11" t="str">
        <f aca="false">IF(OR(A90="",B90=""),"",A90&amp;"-"&amp;TEXT(B90,"00"))</f>
        <v/>
      </c>
      <c r="D90" s="11" t="str">
        <f aca="false">IF(A90="","",IFERROR(INDEX(Execuções!$E$2:$E$97,MATCH(A90,Execuções!$A$2:$A$97,0)),"ID?"))</f>
        <v/>
      </c>
      <c r="E90" s="11" t="str">
        <f aca="false">IF(A90="","",IFERROR(INDEX(Execuções!$F$2:$F$97,MATCH(A90,Execuções!$A$2:$A$97,0)),"ID?"))</f>
        <v/>
      </c>
      <c r="F90" s="13"/>
      <c r="G90" s="13"/>
    </row>
    <row r="91" customFormat="false" ht="15" hidden="false" customHeight="false" outlineLevel="0" collapsed="false">
      <c r="A91" s="14"/>
      <c r="B91" s="14"/>
      <c r="C91" s="11" t="str">
        <f aca="false">IF(OR(A91="",B91=""),"",A91&amp;"-"&amp;TEXT(B91,"00"))</f>
        <v/>
      </c>
      <c r="D91" s="11" t="str">
        <f aca="false">IF(A91="","",IFERROR(INDEX(Execuções!$E$2:$E$97,MATCH(A91,Execuções!$A$2:$A$97,0)),"ID?"))</f>
        <v/>
      </c>
      <c r="E91" s="11" t="str">
        <f aca="false">IF(A91="","",IFERROR(INDEX(Execuções!$F$2:$F$97,MATCH(A91,Execuções!$A$2:$A$97,0)),"ID?"))</f>
        <v/>
      </c>
      <c r="F91" s="13"/>
      <c r="G91" s="13"/>
    </row>
    <row r="92" customFormat="false" ht="15" hidden="false" customHeight="false" outlineLevel="0" collapsed="false">
      <c r="A92" s="14"/>
      <c r="B92" s="14"/>
      <c r="C92" s="11" t="str">
        <f aca="false">IF(OR(A92="",B92=""),"",A92&amp;"-"&amp;TEXT(B92,"00"))</f>
        <v/>
      </c>
      <c r="D92" s="11" t="str">
        <f aca="false">IF(A92="","",IFERROR(INDEX(Execuções!$E$2:$E$97,MATCH(A92,Execuções!$A$2:$A$97,0)),"ID?"))</f>
        <v/>
      </c>
      <c r="E92" s="11" t="str">
        <f aca="false">IF(A92="","",IFERROR(INDEX(Execuções!$F$2:$F$97,MATCH(A92,Execuções!$A$2:$A$97,0)),"ID?"))</f>
        <v/>
      </c>
      <c r="F92" s="13"/>
      <c r="G92" s="13"/>
    </row>
    <row r="93" customFormat="false" ht="15" hidden="false" customHeight="false" outlineLevel="0" collapsed="false">
      <c r="A93" s="14"/>
      <c r="B93" s="14"/>
      <c r="C93" s="11" t="str">
        <f aca="false">IF(OR(A93="",B93=""),"",A93&amp;"-"&amp;TEXT(B93,"00"))</f>
        <v/>
      </c>
      <c r="D93" s="11" t="str">
        <f aca="false">IF(A93="","",IFERROR(INDEX(Execuções!$E$2:$E$97,MATCH(A93,Execuções!$A$2:$A$97,0)),"ID?"))</f>
        <v/>
      </c>
      <c r="E93" s="11" t="str">
        <f aca="false">IF(A93="","",IFERROR(INDEX(Execuções!$F$2:$F$97,MATCH(A93,Execuções!$A$2:$A$97,0)),"ID?"))</f>
        <v/>
      </c>
      <c r="F93" s="13"/>
      <c r="G93" s="13"/>
    </row>
    <row r="94" customFormat="false" ht="15" hidden="false" customHeight="false" outlineLevel="0" collapsed="false">
      <c r="A94" s="14"/>
      <c r="B94" s="14"/>
      <c r="C94" s="11" t="str">
        <f aca="false">IF(OR(A94="",B94=""),"",A94&amp;"-"&amp;TEXT(B94,"00"))</f>
        <v/>
      </c>
      <c r="D94" s="11" t="str">
        <f aca="false">IF(A94="","",IFERROR(INDEX(Execuções!$E$2:$E$97,MATCH(A94,Execuções!$A$2:$A$97,0)),"ID?"))</f>
        <v/>
      </c>
      <c r="E94" s="11" t="str">
        <f aca="false">IF(A94="","",IFERROR(INDEX(Execuções!$F$2:$F$97,MATCH(A94,Execuções!$A$2:$A$97,0)),"ID?"))</f>
        <v/>
      </c>
      <c r="F94" s="13"/>
      <c r="G94" s="13"/>
    </row>
    <row r="95" customFormat="false" ht="15" hidden="false" customHeight="false" outlineLevel="0" collapsed="false">
      <c r="A95" s="14"/>
      <c r="B95" s="14"/>
      <c r="C95" s="11" t="str">
        <f aca="false">IF(OR(A95="",B95=""),"",A95&amp;"-"&amp;TEXT(B95,"00"))</f>
        <v/>
      </c>
      <c r="D95" s="11" t="str">
        <f aca="false">IF(A95="","",IFERROR(INDEX(Execuções!$E$2:$E$97,MATCH(A95,Execuções!$A$2:$A$97,0)),"ID?"))</f>
        <v/>
      </c>
      <c r="E95" s="11" t="str">
        <f aca="false">IF(A95="","",IFERROR(INDEX(Execuções!$F$2:$F$97,MATCH(A95,Execuções!$A$2:$A$97,0)),"ID?"))</f>
        <v/>
      </c>
      <c r="F95" s="13"/>
      <c r="G95" s="13"/>
    </row>
    <row r="96" customFormat="false" ht="15" hidden="false" customHeight="false" outlineLevel="0" collapsed="false">
      <c r="A96" s="14"/>
      <c r="B96" s="14"/>
      <c r="C96" s="11" t="str">
        <f aca="false">IF(OR(A96="",B96=""),"",A96&amp;"-"&amp;TEXT(B96,"00"))</f>
        <v/>
      </c>
      <c r="D96" s="11" t="str">
        <f aca="false">IF(A96="","",IFERROR(INDEX(Execuções!$E$2:$E$97,MATCH(A96,Execuções!$A$2:$A$97,0)),"ID?"))</f>
        <v/>
      </c>
      <c r="E96" s="11" t="str">
        <f aca="false">IF(A96="","",IFERROR(INDEX(Execuções!$F$2:$F$97,MATCH(A96,Execuções!$A$2:$A$97,0)),"ID?"))</f>
        <v/>
      </c>
      <c r="F96" s="13"/>
      <c r="G96" s="13"/>
    </row>
    <row r="97" customFormat="false" ht="15" hidden="false" customHeight="false" outlineLevel="0" collapsed="false">
      <c r="A97" s="14"/>
      <c r="B97" s="14"/>
      <c r="C97" s="11" t="str">
        <f aca="false">IF(OR(A97="",B97=""),"",A97&amp;"-"&amp;TEXT(B97,"00"))</f>
        <v/>
      </c>
      <c r="D97" s="11" t="str">
        <f aca="false">IF(A97="","",IFERROR(INDEX(Execuções!$E$2:$E$97,MATCH(A97,Execuções!$A$2:$A$97,0)),"ID?"))</f>
        <v/>
      </c>
      <c r="E97" s="11" t="str">
        <f aca="false">IF(A97="","",IFERROR(INDEX(Execuções!$F$2:$F$97,MATCH(A97,Execuções!$A$2:$A$97,0)),"ID?"))</f>
        <v/>
      </c>
      <c r="F97" s="13"/>
      <c r="G97" s="13"/>
    </row>
    <row r="98" customFormat="false" ht="15" hidden="false" customHeight="false" outlineLevel="0" collapsed="false">
      <c r="A98" s="14"/>
      <c r="B98" s="14"/>
      <c r="C98" s="11" t="str">
        <f aca="false">IF(OR(A98="",B98=""),"",A98&amp;"-"&amp;TEXT(B98,"00"))</f>
        <v/>
      </c>
      <c r="D98" s="11" t="str">
        <f aca="false">IF(A98="","",IFERROR(INDEX(Execuções!$E$2:$E$97,MATCH(A98,Execuções!$A$2:$A$97,0)),"ID?"))</f>
        <v/>
      </c>
      <c r="E98" s="11" t="str">
        <f aca="false">IF(A98="","",IFERROR(INDEX(Execuções!$F$2:$F$97,MATCH(A98,Execuções!$A$2:$A$97,0)),"ID?"))</f>
        <v/>
      </c>
      <c r="F98" s="13"/>
      <c r="G98" s="13"/>
    </row>
    <row r="99" customFormat="false" ht="15" hidden="false" customHeight="false" outlineLevel="0" collapsed="false">
      <c r="A99" s="14"/>
      <c r="B99" s="14"/>
      <c r="C99" s="11" t="str">
        <f aca="false">IF(OR(A99="",B99=""),"",A99&amp;"-"&amp;TEXT(B99,"00"))</f>
        <v/>
      </c>
      <c r="D99" s="11" t="str">
        <f aca="false">IF(A99="","",IFERROR(INDEX(Execuções!$E$2:$E$97,MATCH(A99,Execuções!$A$2:$A$97,0)),"ID?"))</f>
        <v/>
      </c>
      <c r="E99" s="11" t="str">
        <f aca="false">IF(A99="","",IFERROR(INDEX(Execuções!$F$2:$F$97,MATCH(A99,Execuções!$A$2:$A$97,0)),"ID?"))</f>
        <v/>
      </c>
      <c r="F99" s="13"/>
      <c r="G99" s="13"/>
    </row>
    <row r="100" customFormat="false" ht="15" hidden="false" customHeight="false" outlineLevel="0" collapsed="false">
      <c r="A100" s="14"/>
      <c r="B100" s="14"/>
      <c r="C100" s="11" t="str">
        <f aca="false">IF(OR(A100="",B100=""),"",A100&amp;"-"&amp;TEXT(B100,"00"))</f>
        <v/>
      </c>
      <c r="D100" s="11" t="str">
        <f aca="false">IF(A100="","",IFERROR(INDEX(Execuções!$E$2:$E$97,MATCH(A100,Execuções!$A$2:$A$97,0)),"ID?"))</f>
        <v/>
      </c>
      <c r="E100" s="11" t="str">
        <f aca="false">IF(A100="","",IFERROR(INDEX(Execuções!$F$2:$F$97,MATCH(A100,Execuções!$A$2:$A$97,0)),"ID?"))</f>
        <v/>
      </c>
      <c r="F100" s="13"/>
      <c r="G100" s="13"/>
    </row>
    <row r="101" customFormat="false" ht="15" hidden="false" customHeight="false" outlineLevel="0" collapsed="false">
      <c r="A101" s="14"/>
      <c r="B101" s="14"/>
      <c r="C101" s="11" t="str">
        <f aca="false">IF(OR(A101="",B101=""),"",A101&amp;"-"&amp;TEXT(B101,"00"))</f>
        <v/>
      </c>
      <c r="D101" s="11" t="str">
        <f aca="false">IF(A101="","",IFERROR(INDEX(Execuções!$E$2:$E$97,MATCH(A101,Execuções!$A$2:$A$97,0)),"ID?"))</f>
        <v/>
      </c>
      <c r="E101" s="11" t="str">
        <f aca="false">IF(A101="","",IFERROR(INDEX(Execuções!$F$2:$F$97,MATCH(A101,Execuções!$A$2:$A$97,0)),"ID?"))</f>
        <v/>
      </c>
      <c r="F101" s="13"/>
      <c r="G101" s="13"/>
    </row>
    <row r="102" customFormat="false" ht="15" hidden="false" customHeight="false" outlineLevel="0" collapsed="false">
      <c r="A102" s="14"/>
      <c r="B102" s="14"/>
      <c r="C102" s="11" t="str">
        <f aca="false">IF(OR(A102="",B102=""),"",A102&amp;"-"&amp;TEXT(B102,"00"))</f>
        <v/>
      </c>
      <c r="D102" s="11" t="str">
        <f aca="false">IF(A102="","",IFERROR(INDEX(Execuções!$E$2:$E$97,MATCH(A102,Execuções!$A$2:$A$97,0)),"ID?"))</f>
        <v/>
      </c>
      <c r="E102" s="11" t="str">
        <f aca="false">IF(A102="","",IFERROR(INDEX(Execuções!$F$2:$F$97,MATCH(A102,Execuções!$A$2:$A$97,0)),"ID?"))</f>
        <v/>
      </c>
      <c r="F102" s="13"/>
      <c r="G102" s="13"/>
    </row>
    <row r="103" customFormat="false" ht="15" hidden="false" customHeight="false" outlineLevel="0" collapsed="false">
      <c r="A103" s="14"/>
      <c r="B103" s="14"/>
      <c r="C103" s="11" t="str">
        <f aca="false">IF(OR(A103="",B103=""),"",A103&amp;"-"&amp;TEXT(B103,"00"))</f>
        <v/>
      </c>
      <c r="D103" s="11" t="str">
        <f aca="false">IF(A103="","",IFERROR(INDEX(Execuções!$E$2:$E$97,MATCH(A103,Execuções!$A$2:$A$97,0)),"ID?"))</f>
        <v/>
      </c>
      <c r="E103" s="11" t="str">
        <f aca="false">IF(A103="","",IFERROR(INDEX(Execuções!$F$2:$F$97,MATCH(A103,Execuções!$A$2:$A$97,0)),"ID?"))</f>
        <v/>
      </c>
      <c r="F103" s="13"/>
      <c r="G103" s="13"/>
    </row>
    <row r="104" customFormat="false" ht="15" hidden="false" customHeight="false" outlineLevel="0" collapsed="false">
      <c r="A104" s="14"/>
      <c r="B104" s="14"/>
      <c r="C104" s="11" t="str">
        <f aca="false">IF(OR(A104="",B104=""),"",A104&amp;"-"&amp;TEXT(B104,"00"))</f>
        <v/>
      </c>
      <c r="D104" s="11" t="str">
        <f aca="false">IF(A104="","",IFERROR(INDEX(Execuções!$E$2:$E$97,MATCH(A104,Execuções!$A$2:$A$97,0)),"ID?"))</f>
        <v/>
      </c>
      <c r="E104" s="11" t="str">
        <f aca="false">IF(A104="","",IFERROR(INDEX(Execuções!$F$2:$F$97,MATCH(A104,Execuções!$A$2:$A$97,0)),"ID?"))</f>
        <v/>
      </c>
      <c r="F104" s="13"/>
      <c r="G104" s="13"/>
    </row>
    <row r="105" customFormat="false" ht="15" hidden="false" customHeight="false" outlineLevel="0" collapsed="false">
      <c r="A105" s="14"/>
      <c r="B105" s="14"/>
      <c r="C105" s="11" t="str">
        <f aca="false">IF(OR(A105="",B105=""),"",A105&amp;"-"&amp;TEXT(B105,"00"))</f>
        <v/>
      </c>
      <c r="D105" s="11" t="str">
        <f aca="false">IF(A105="","",IFERROR(INDEX(Execuções!$E$2:$E$97,MATCH(A105,Execuções!$A$2:$A$97,0)),"ID?"))</f>
        <v/>
      </c>
      <c r="E105" s="11" t="str">
        <f aca="false">IF(A105="","",IFERROR(INDEX(Execuções!$F$2:$F$97,MATCH(A105,Execuções!$A$2:$A$97,0)),"ID?"))</f>
        <v/>
      </c>
      <c r="F105" s="13"/>
      <c r="G105" s="13"/>
    </row>
    <row r="106" customFormat="false" ht="15" hidden="false" customHeight="false" outlineLevel="0" collapsed="false">
      <c r="A106" s="14"/>
      <c r="B106" s="14"/>
      <c r="C106" s="11" t="str">
        <f aca="false">IF(OR(A106="",B106=""),"",A106&amp;"-"&amp;TEXT(B106,"00"))</f>
        <v/>
      </c>
      <c r="D106" s="11" t="str">
        <f aca="false">IF(A106="","",IFERROR(INDEX(Execuções!$E$2:$E$97,MATCH(A106,Execuções!$A$2:$A$97,0)),"ID?"))</f>
        <v/>
      </c>
      <c r="E106" s="11" t="str">
        <f aca="false">IF(A106="","",IFERROR(INDEX(Execuções!$F$2:$F$97,MATCH(A106,Execuções!$A$2:$A$97,0)),"ID?"))</f>
        <v/>
      </c>
      <c r="F106" s="13"/>
      <c r="G106" s="13"/>
    </row>
    <row r="107" customFormat="false" ht="15" hidden="false" customHeight="false" outlineLevel="0" collapsed="false">
      <c r="A107" s="14"/>
      <c r="B107" s="14"/>
      <c r="C107" s="11" t="str">
        <f aca="false">IF(OR(A107="",B107=""),"",A107&amp;"-"&amp;TEXT(B107,"00"))</f>
        <v/>
      </c>
      <c r="D107" s="11" t="str">
        <f aca="false">IF(A107="","",IFERROR(INDEX(Execuções!$E$2:$E$97,MATCH(A107,Execuções!$A$2:$A$97,0)),"ID?"))</f>
        <v/>
      </c>
      <c r="E107" s="11" t="str">
        <f aca="false">IF(A107="","",IFERROR(INDEX(Execuções!$F$2:$F$97,MATCH(A107,Execuções!$A$2:$A$97,0)),"ID?"))</f>
        <v/>
      </c>
      <c r="F107" s="13"/>
      <c r="G107" s="13"/>
    </row>
    <row r="108" customFormat="false" ht="15" hidden="false" customHeight="false" outlineLevel="0" collapsed="false">
      <c r="A108" s="14"/>
      <c r="B108" s="14"/>
      <c r="C108" s="11" t="str">
        <f aca="false">IF(OR(A108="",B108=""),"",A108&amp;"-"&amp;TEXT(B108,"00"))</f>
        <v/>
      </c>
      <c r="D108" s="11" t="str">
        <f aca="false">IF(A108="","",IFERROR(INDEX(Execuções!$E$2:$E$97,MATCH(A108,Execuções!$A$2:$A$97,0)),"ID?"))</f>
        <v/>
      </c>
      <c r="E108" s="11" t="str">
        <f aca="false">IF(A108="","",IFERROR(INDEX(Execuções!$F$2:$F$97,MATCH(A108,Execuções!$A$2:$A$97,0)),"ID?"))</f>
        <v/>
      </c>
      <c r="F108" s="13"/>
      <c r="G108" s="13"/>
    </row>
    <row r="109" customFormat="false" ht="15" hidden="false" customHeight="false" outlineLevel="0" collapsed="false">
      <c r="A109" s="14"/>
      <c r="B109" s="14"/>
      <c r="C109" s="11" t="str">
        <f aca="false">IF(OR(A109="",B109=""),"",A109&amp;"-"&amp;TEXT(B109,"00"))</f>
        <v/>
      </c>
      <c r="D109" s="11" t="str">
        <f aca="false">IF(A109="","",IFERROR(INDEX(Execuções!$E$2:$E$97,MATCH(A109,Execuções!$A$2:$A$97,0)),"ID?"))</f>
        <v/>
      </c>
      <c r="E109" s="11" t="str">
        <f aca="false">IF(A109="","",IFERROR(INDEX(Execuções!$F$2:$F$97,MATCH(A109,Execuções!$A$2:$A$97,0)),"ID?"))</f>
        <v/>
      </c>
      <c r="F109" s="13"/>
      <c r="G109" s="13"/>
    </row>
    <row r="110" customFormat="false" ht="15" hidden="false" customHeight="false" outlineLevel="0" collapsed="false">
      <c r="A110" s="14"/>
      <c r="B110" s="14"/>
      <c r="C110" s="11" t="str">
        <f aca="false">IF(OR(A110="",B110=""),"",A110&amp;"-"&amp;TEXT(B110,"00"))</f>
        <v/>
      </c>
      <c r="D110" s="11" t="str">
        <f aca="false">IF(A110="","",IFERROR(INDEX(Execuções!$E$2:$E$97,MATCH(A110,Execuções!$A$2:$A$97,0)),"ID?"))</f>
        <v/>
      </c>
      <c r="E110" s="11" t="str">
        <f aca="false">IF(A110="","",IFERROR(INDEX(Execuções!$F$2:$F$97,MATCH(A110,Execuções!$A$2:$A$97,0)),"ID?"))</f>
        <v/>
      </c>
      <c r="F110" s="13"/>
      <c r="G110" s="13"/>
    </row>
    <row r="111" customFormat="false" ht="15" hidden="false" customHeight="false" outlineLevel="0" collapsed="false">
      <c r="A111" s="14"/>
      <c r="B111" s="14"/>
      <c r="C111" s="11" t="str">
        <f aca="false">IF(OR(A111="",B111=""),"",A111&amp;"-"&amp;TEXT(B111,"00"))</f>
        <v/>
      </c>
      <c r="D111" s="11" t="str">
        <f aca="false">IF(A111="","",IFERROR(INDEX(Execuções!$E$2:$E$97,MATCH(A111,Execuções!$A$2:$A$97,0)),"ID?"))</f>
        <v/>
      </c>
      <c r="E111" s="11" t="str">
        <f aca="false">IF(A111="","",IFERROR(INDEX(Execuções!$F$2:$F$97,MATCH(A111,Execuções!$A$2:$A$97,0)),"ID?"))</f>
        <v/>
      </c>
      <c r="F111" s="13"/>
      <c r="G111" s="13"/>
    </row>
    <row r="112" customFormat="false" ht="15" hidden="false" customHeight="false" outlineLevel="0" collapsed="false">
      <c r="A112" s="14"/>
      <c r="B112" s="14"/>
      <c r="C112" s="11" t="str">
        <f aca="false">IF(OR(A112="",B112=""),"",A112&amp;"-"&amp;TEXT(B112,"00"))</f>
        <v/>
      </c>
      <c r="D112" s="11" t="str">
        <f aca="false">IF(A112="","",IFERROR(INDEX(Execuções!$E$2:$E$97,MATCH(A112,Execuções!$A$2:$A$97,0)),"ID?"))</f>
        <v/>
      </c>
      <c r="E112" s="11" t="str">
        <f aca="false">IF(A112="","",IFERROR(INDEX(Execuções!$F$2:$F$97,MATCH(A112,Execuções!$A$2:$A$97,0)),"ID?"))</f>
        <v/>
      </c>
      <c r="F112" s="13"/>
      <c r="G112" s="13"/>
    </row>
    <row r="113" customFormat="false" ht="15" hidden="false" customHeight="false" outlineLevel="0" collapsed="false">
      <c r="A113" s="14"/>
      <c r="B113" s="14"/>
      <c r="C113" s="11" t="str">
        <f aca="false">IF(OR(A113="",B113=""),"",A113&amp;"-"&amp;TEXT(B113,"00"))</f>
        <v/>
      </c>
      <c r="D113" s="11" t="str">
        <f aca="false">IF(A113="","",IFERROR(INDEX(Execuções!$E$2:$E$97,MATCH(A113,Execuções!$A$2:$A$97,0)),"ID?"))</f>
        <v/>
      </c>
      <c r="E113" s="11" t="str">
        <f aca="false">IF(A113="","",IFERROR(INDEX(Execuções!$F$2:$F$97,MATCH(A113,Execuções!$A$2:$A$97,0)),"ID?"))</f>
        <v/>
      </c>
      <c r="F113" s="13"/>
      <c r="G113" s="13"/>
    </row>
    <row r="114" customFormat="false" ht="15" hidden="false" customHeight="false" outlineLevel="0" collapsed="false">
      <c r="A114" s="14"/>
      <c r="B114" s="14"/>
      <c r="C114" s="11" t="str">
        <f aca="false">IF(OR(A114="",B114=""),"",A114&amp;"-"&amp;TEXT(B114,"00"))</f>
        <v/>
      </c>
      <c r="D114" s="11" t="str">
        <f aca="false">IF(A114="","",IFERROR(INDEX(Execuções!$E$2:$E$97,MATCH(A114,Execuções!$A$2:$A$97,0)),"ID?"))</f>
        <v/>
      </c>
      <c r="E114" s="11" t="str">
        <f aca="false">IF(A114="","",IFERROR(INDEX(Execuções!$F$2:$F$97,MATCH(A114,Execuções!$A$2:$A$97,0)),"ID?"))</f>
        <v/>
      </c>
      <c r="F114" s="13"/>
      <c r="G114" s="13"/>
    </row>
    <row r="115" customFormat="false" ht="15" hidden="false" customHeight="false" outlineLevel="0" collapsed="false">
      <c r="A115" s="14"/>
      <c r="B115" s="14"/>
      <c r="C115" s="11" t="str">
        <f aca="false">IF(OR(A115="",B115=""),"",A115&amp;"-"&amp;TEXT(B115,"00"))</f>
        <v/>
      </c>
      <c r="D115" s="11" t="str">
        <f aca="false">IF(A115="","",IFERROR(INDEX(Execuções!$E$2:$E$97,MATCH(A115,Execuções!$A$2:$A$97,0)),"ID?"))</f>
        <v/>
      </c>
      <c r="E115" s="11" t="str">
        <f aca="false">IF(A115="","",IFERROR(INDEX(Execuções!$F$2:$F$97,MATCH(A115,Execuções!$A$2:$A$97,0)),"ID?"))</f>
        <v/>
      </c>
      <c r="F115" s="13"/>
      <c r="G115" s="13"/>
    </row>
    <row r="116" customFormat="false" ht="15" hidden="false" customHeight="false" outlineLevel="0" collapsed="false">
      <c r="A116" s="14"/>
      <c r="B116" s="14"/>
      <c r="C116" s="11" t="str">
        <f aca="false">IF(OR(A116="",B116=""),"",A116&amp;"-"&amp;TEXT(B116,"00"))</f>
        <v/>
      </c>
      <c r="D116" s="11" t="str">
        <f aca="false">IF(A116="","",IFERROR(INDEX(Execuções!$E$2:$E$97,MATCH(A116,Execuções!$A$2:$A$97,0)),"ID?"))</f>
        <v/>
      </c>
      <c r="E116" s="11" t="str">
        <f aca="false">IF(A116="","",IFERROR(INDEX(Execuções!$F$2:$F$97,MATCH(A116,Execuções!$A$2:$A$97,0)),"ID?"))</f>
        <v/>
      </c>
      <c r="F116" s="13"/>
      <c r="G116" s="13"/>
    </row>
    <row r="117" customFormat="false" ht="15" hidden="false" customHeight="false" outlineLevel="0" collapsed="false">
      <c r="A117" s="14"/>
      <c r="B117" s="14"/>
      <c r="C117" s="11" t="str">
        <f aca="false">IF(OR(A117="",B117=""),"",A117&amp;"-"&amp;TEXT(B117,"00"))</f>
        <v/>
      </c>
      <c r="D117" s="11" t="str">
        <f aca="false">IF(A117="","",IFERROR(INDEX(Execuções!$E$2:$E$97,MATCH(A117,Execuções!$A$2:$A$97,0)),"ID?"))</f>
        <v/>
      </c>
      <c r="E117" s="11" t="str">
        <f aca="false">IF(A117="","",IFERROR(INDEX(Execuções!$F$2:$F$97,MATCH(A117,Execuções!$A$2:$A$97,0)),"ID?"))</f>
        <v/>
      </c>
      <c r="F117" s="13"/>
      <c r="G117" s="13"/>
    </row>
    <row r="118" customFormat="false" ht="15" hidden="false" customHeight="false" outlineLevel="0" collapsed="false">
      <c r="A118" s="14"/>
      <c r="B118" s="14"/>
      <c r="C118" s="11" t="str">
        <f aca="false">IF(OR(A118="",B118=""),"",A118&amp;"-"&amp;TEXT(B118,"00"))</f>
        <v/>
      </c>
      <c r="D118" s="11" t="str">
        <f aca="false">IF(A118="","",IFERROR(INDEX(Execuções!$E$2:$E$97,MATCH(A118,Execuções!$A$2:$A$97,0)),"ID?"))</f>
        <v/>
      </c>
      <c r="E118" s="11" t="str">
        <f aca="false">IF(A118="","",IFERROR(INDEX(Execuções!$F$2:$F$97,MATCH(A118,Execuções!$A$2:$A$97,0)),"ID?"))</f>
        <v/>
      </c>
      <c r="F118" s="13"/>
      <c r="G118" s="13"/>
    </row>
    <row r="119" customFormat="false" ht="15" hidden="false" customHeight="false" outlineLevel="0" collapsed="false">
      <c r="A119" s="14"/>
      <c r="B119" s="14"/>
      <c r="C119" s="11" t="str">
        <f aca="false">IF(OR(A119="",B119=""),"",A119&amp;"-"&amp;TEXT(B119,"00"))</f>
        <v/>
      </c>
      <c r="D119" s="11" t="str">
        <f aca="false">IF(A119="","",IFERROR(INDEX(Execuções!$E$2:$E$97,MATCH(A119,Execuções!$A$2:$A$97,0)),"ID?"))</f>
        <v/>
      </c>
      <c r="E119" s="11" t="str">
        <f aca="false">IF(A119="","",IFERROR(INDEX(Execuções!$F$2:$F$97,MATCH(A119,Execuções!$A$2:$A$97,0)),"ID?"))</f>
        <v/>
      </c>
      <c r="F119" s="13"/>
      <c r="G119" s="13"/>
    </row>
    <row r="120" customFormat="false" ht="15" hidden="false" customHeight="false" outlineLevel="0" collapsed="false">
      <c r="A120" s="14"/>
      <c r="B120" s="14"/>
      <c r="C120" s="11" t="str">
        <f aca="false">IF(OR(A120="",B120=""),"",A120&amp;"-"&amp;TEXT(B120,"00"))</f>
        <v/>
      </c>
      <c r="D120" s="11" t="str">
        <f aca="false">IF(A120="","",IFERROR(INDEX(Execuções!$E$2:$E$97,MATCH(A120,Execuções!$A$2:$A$97,0)),"ID?"))</f>
        <v/>
      </c>
      <c r="E120" s="11" t="str">
        <f aca="false">IF(A120="","",IFERROR(INDEX(Execuções!$F$2:$F$97,MATCH(A120,Execuções!$A$2:$A$97,0)),"ID?"))</f>
        <v/>
      </c>
      <c r="F120" s="13"/>
      <c r="G120" s="13"/>
    </row>
    <row r="121" customFormat="false" ht="15" hidden="false" customHeight="false" outlineLevel="0" collapsed="false">
      <c r="A121" s="14"/>
      <c r="B121" s="14"/>
      <c r="C121" s="11" t="str">
        <f aca="false">IF(OR(A121="",B121=""),"",A121&amp;"-"&amp;TEXT(B121,"00"))</f>
        <v/>
      </c>
      <c r="D121" s="11" t="str">
        <f aca="false">IF(A121="","",IFERROR(INDEX(Execuções!$E$2:$E$97,MATCH(A121,Execuções!$A$2:$A$97,0)),"ID?"))</f>
        <v/>
      </c>
      <c r="E121" s="11" t="str">
        <f aca="false">IF(A121="","",IFERROR(INDEX(Execuções!$F$2:$F$97,MATCH(A121,Execuções!$A$2:$A$97,0)),"ID?"))</f>
        <v/>
      </c>
      <c r="F121" s="13"/>
      <c r="G121" s="13"/>
    </row>
    <row r="122" customFormat="false" ht="15" hidden="false" customHeight="false" outlineLevel="0" collapsed="false">
      <c r="A122" s="14"/>
      <c r="B122" s="14"/>
      <c r="C122" s="11" t="str">
        <f aca="false">IF(OR(A122="",B122=""),"",A122&amp;"-"&amp;TEXT(B122,"00"))</f>
        <v/>
      </c>
      <c r="D122" s="11" t="str">
        <f aca="false">IF(A122="","",IFERROR(INDEX(Execuções!$E$2:$E$97,MATCH(A122,Execuções!$A$2:$A$97,0)),"ID?"))</f>
        <v/>
      </c>
      <c r="E122" s="11" t="str">
        <f aca="false">IF(A122="","",IFERROR(INDEX(Execuções!$F$2:$F$97,MATCH(A122,Execuções!$A$2:$A$97,0)),"ID?"))</f>
        <v/>
      </c>
      <c r="F122" s="13"/>
      <c r="G122" s="13"/>
    </row>
    <row r="123" customFormat="false" ht="15" hidden="false" customHeight="false" outlineLevel="0" collapsed="false">
      <c r="A123" s="14"/>
      <c r="B123" s="14"/>
      <c r="C123" s="11" t="str">
        <f aca="false">IF(OR(A123="",B123=""),"",A123&amp;"-"&amp;TEXT(B123,"00"))</f>
        <v/>
      </c>
      <c r="D123" s="11" t="str">
        <f aca="false">IF(A123="","",IFERROR(INDEX(Execuções!$E$2:$E$97,MATCH(A123,Execuções!$A$2:$A$97,0)),"ID?"))</f>
        <v/>
      </c>
      <c r="E123" s="11" t="str">
        <f aca="false">IF(A123="","",IFERROR(INDEX(Execuções!$F$2:$F$97,MATCH(A123,Execuções!$A$2:$A$97,0)),"ID?"))</f>
        <v/>
      </c>
      <c r="F123" s="13"/>
      <c r="G123" s="13"/>
    </row>
    <row r="124" customFormat="false" ht="15" hidden="false" customHeight="false" outlineLevel="0" collapsed="false">
      <c r="A124" s="14"/>
      <c r="B124" s="14"/>
      <c r="C124" s="11" t="str">
        <f aca="false">IF(OR(A124="",B124=""),"",A124&amp;"-"&amp;TEXT(B124,"00"))</f>
        <v/>
      </c>
      <c r="D124" s="11" t="str">
        <f aca="false">IF(A124="","",IFERROR(INDEX(Execuções!$E$2:$E$97,MATCH(A124,Execuções!$A$2:$A$97,0)),"ID?"))</f>
        <v/>
      </c>
      <c r="E124" s="11" t="str">
        <f aca="false">IF(A124="","",IFERROR(INDEX(Execuções!$F$2:$F$97,MATCH(A124,Execuções!$A$2:$A$97,0)),"ID?"))</f>
        <v/>
      </c>
      <c r="F124" s="13"/>
      <c r="G124" s="13"/>
    </row>
    <row r="125" customFormat="false" ht="15" hidden="false" customHeight="false" outlineLevel="0" collapsed="false">
      <c r="A125" s="14"/>
      <c r="B125" s="14"/>
      <c r="C125" s="11" t="str">
        <f aca="false">IF(OR(A125="",B125=""),"",A125&amp;"-"&amp;TEXT(B125,"00"))</f>
        <v/>
      </c>
      <c r="D125" s="11" t="str">
        <f aca="false">IF(A125="","",IFERROR(INDEX(Execuções!$E$2:$E$97,MATCH(A125,Execuções!$A$2:$A$97,0)),"ID?"))</f>
        <v/>
      </c>
      <c r="E125" s="11" t="str">
        <f aca="false">IF(A125="","",IFERROR(INDEX(Execuções!$F$2:$F$97,MATCH(A125,Execuções!$A$2:$A$97,0)),"ID?"))</f>
        <v/>
      </c>
      <c r="F125" s="13"/>
      <c r="G125" s="13"/>
    </row>
    <row r="126" customFormat="false" ht="15" hidden="false" customHeight="false" outlineLevel="0" collapsed="false">
      <c r="A126" s="14"/>
      <c r="B126" s="14"/>
      <c r="C126" s="11" t="str">
        <f aca="false">IF(OR(A126="",B126=""),"",A126&amp;"-"&amp;TEXT(B126,"00"))</f>
        <v/>
      </c>
      <c r="D126" s="11" t="str">
        <f aca="false">IF(A126="","",IFERROR(INDEX(Execuções!$E$2:$E$97,MATCH(A126,Execuções!$A$2:$A$97,0)),"ID?"))</f>
        <v/>
      </c>
      <c r="E126" s="11" t="str">
        <f aca="false">IF(A126="","",IFERROR(INDEX(Execuções!$F$2:$F$97,MATCH(A126,Execuções!$A$2:$A$97,0)),"ID?"))</f>
        <v/>
      </c>
      <c r="F126" s="13"/>
      <c r="G126" s="13"/>
    </row>
    <row r="127" customFormat="false" ht="15" hidden="false" customHeight="false" outlineLevel="0" collapsed="false">
      <c r="A127" s="14"/>
      <c r="B127" s="14"/>
      <c r="C127" s="11" t="str">
        <f aca="false">IF(OR(A127="",B127=""),"",A127&amp;"-"&amp;TEXT(B127,"00"))</f>
        <v/>
      </c>
      <c r="D127" s="11" t="str">
        <f aca="false">IF(A127="","",IFERROR(INDEX(Execuções!$E$2:$E$97,MATCH(A127,Execuções!$A$2:$A$97,0)),"ID?"))</f>
        <v/>
      </c>
      <c r="E127" s="11" t="str">
        <f aca="false">IF(A127="","",IFERROR(INDEX(Execuções!$F$2:$F$97,MATCH(A127,Execuções!$A$2:$A$97,0)),"ID?"))</f>
        <v/>
      </c>
      <c r="F127" s="13"/>
      <c r="G127" s="13"/>
    </row>
    <row r="128" customFormat="false" ht="15" hidden="false" customHeight="false" outlineLevel="0" collapsed="false">
      <c r="A128" s="14"/>
      <c r="B128" s="14"/>
      <c r="C128" s="11" t="str">
        <f aca="false">IF(OR(A128="",B128=""),"",A128&amp;"-"&amp;TEXT(B128,"00"))</f>
        <v/>
      </c>
      <c r="D128" s="11" t="str">
        <f aca="false">IF(A128="","",IFERROR(INDEX(Execuções!$E$2:$E$97,MATCH(A128,Execuções!$A$2:$A$97,0)),"ID?"))</f>
        <v/>
      </c>
      <c r="E128" s="11" t="str">
        <f aca="false">IF(A128="","",IFERROR(INDEX(Execuções!$F$2:$F$97,MATCH(A128,Execuções!$A$2:$A$97,0)),"ID?"))</f>
        <v/>
      </c>
      <c r="F128" s="13"/>
      <c r="G128" s="13"/>
    </row>
    <row r="129" customFormat="false" ht="15" hidden="false" customHeight="false" outlineLevel="0" collapsed="false">
      <c r="A129" s="14"/>
      <c r="B129" s="14"/>
      <c r="C129" s="11" t="str">
        <f aca="false">IF(OR(A129="",B129=""),"",A129&amp;"-"&amp;TEXT(B129,"00"))</f>
        <v/>
      </c>
      <c r="D129" s="11" t="str">
        <f aca="false">IF(A129="","",IFERROR(INDEX(Execuções!$E$2:$E$97,MATCH(A129,Execuções!$A$2:$A$97,0)),"ID?"))</f>
        <v/>
      </c>
      <c r="E129" s="11" t="str">
        <f aca="false">IF(A129="","",IFERROR(INDEX(Execuções!$F$2:$F$97,MATCH(A129,Execuções!$A$2:$A$97,0)),"ID?"))</f>
        <v/>
      </c>
      <c r="F129" s="13"/>
      <c r="G129" s="13"/>
    </row>
    <row r="130" customFormat="false" ht="15" hidden="false" customHeight="false" outlineLevel="0" collapsed="false">
      <c r="A130" s="14"/>
      <c r="B130" s="14"/>
      <c r="C130" s="11" t="str">
        <f aca="false">IF(OR(A130="",B130=""),"",A130&amp;"-"&amp;TEXT(B130,"00"))</f>
        <v/>
      </c>
      <c r="D130" s="11" t="str">
        <f aca="false">IF(A130="","",IFERROR(INDEX(Execuções!$E$2:$E$97,MATCH(A130,Execuções!$A$2:$A$97,0)),"ID?"))</f>
        <v/>
      </c>
      <c r="E130" s="11" t="str">
        <f aca="false">IF(A130="","",IFERROR(INDEX(Execuções!$F$2:$F$97,MATCH(A130,Execuções!$A$2:$A$97,0)),"ID?"))</f>
        <v/>
      </c>
      <c r="F130" s="13"/>
      <c r="G130" s="13"/>
    </row>
    <row r="131" customFormat="false" ht="15" hidden="false" customHeight="false" outlineLevel="0" collapsed="false">
      <c r="A131" s="14"/>
      <c r="B131" s="14"/>
      <c r="C131" s="11" t="str">
        <f aca="false">IF(OR(A131="",B131=""),"",A131&amp;"-"&amp;TEXT(B131,"00"))</f>
        <v/>
      </c>
      <c r="D131" s="11" t="str">
        <f aca="false">IF(A131="","",IFERROR(INDEX(Execuções!$E$2:$E$97,MATCH(A131,Execuções!$A$2:$A$97,0)),"ID?"))</f>
        <v/>
      </c>
      <c r="E131" s="11" t="str">
        <f aca="false">IF(A131="","",IFERROR(INDEX(Execuções!$F$2:$F$97,MATCH(A131,Execuções!$A$2:$A$97,0)),"ID?"))</f>
        <v/>
      </c>
      <c r="F131" s="13"/>
      <c r="G131" s="13"/>
    </row>
    <row r="132" customFormat="false" ht="15" hidden="false" customHeight="false" outlineLevel="0" collapsed="false">
      <c r="A132" s="14"/>
      <c r="B132" s="14"/>
      <c r="C132" s="11" t="str">
        <f aca="false">IF(OR(A132="",B132=""),"",A132&amp;"-"&amp;TEXT(B132,"00"))</f>
        <v/>
      </c>
      <c r="D132" s="11" t="str">
        <f aca="false">IF(A132="","",IFERROR(INDEX(Execuções!$E$2:$E$97,MATCH(A132,Execuções!$A$2:$A$97,0)),"ID?"))</f>
        <v/>
      </c>
      <c r="E132" s="11" t="str">
        <f aca="false">IF(A132="","",IFERROR(INDEX(Execuções!$F$2:$F$97,MATCH(A132,Execuções!$A$2:$A$97,0)),"ID?"))</f>
        <v/>
      </c>
      <c r="F132" s="13"/>
      <c r="G132" s="13"/>
    </row>
    <row r="133" customFormat="false" ht="15" hidden="false" customHeight="false" outlineLevel="0" collapsed="false">
      <c r="A133" s="14"/>
      <c r="B133" s="14"/>
      <c r="C133" s="11" t="str">
        <f aca="false">IF(OR(A133="",B133=""),"",A133&amp;"-"&amp;TEXT(B133,"00"))</f>
        <v/>
      </c>
      <c r="D133" s="11" t="str">
        <f aca="false">IF(A133="","",IFERROR(INDEX(Execuções!$E$2:$E$97,MATCH(A133,Execuções!$A$2:$A$97,0)),"ID?"))</f>
        <v/>
      </c>
      <c r="E133" s="11" t="str">
        <f aca="false">IF(A133="","",IFERROR(INDEX(Execuções!$F$2:$F$97,MATCH(A133,Execuções!$A$2:$A$97,0)),"ID?"))</f>
        <v/>
      </c>
      <c r="F133" s="13"/>
      <c r="G133" s="13"/>
    </row>
    <row r="134" customFormat="false" ht="15" hidden="false" customHeight="false" outlineLevel="0" collapsed="false">
      <c r="A134" s="14"/>
      <c r="B134" s="14"/>
      <c r="C134" s="11" t="str">
        <f aca="false">IF(OR(A134="",B134=""),"",A134&amp;"-"&amp;TEXT(B134,"00"))</f>
        <v/>
      </c>
      <c r="D134" s="11" t="str">
        <f aca="false">IF(A134="","",IFERROR(INDEX(Execuções!$E$2:$E$97,MATCH(A134,Execuções!$A$2:$A$97,0)),"ID?"))</f>
        <v/>
      </c>
      <c r="E134" s="11" t="str">
        <f aca="false">IF(A134="","",IFERROR(INDEX(Execuções!$F$2:$F$97,MATCH(A134,Execuções!$A$2:$A$97,0)),"ID?"))</f>
        <v/>
      </c>
      <c r="F134" s="13"/>
      <c r="G134" s="13"/>
    </row>
    <row r="135" customFormat="false" ht="15" hidden="false" customHeight="false" outlineLevel="0" collapsed="false">
      <c r="A135" s="14"/>
      <c r="B135" s="14"/>
      <c r="C135" s="11" t="str">
        <f aca="false">IF(OR(A135="",B135=""),"",A135&amp;"-"&amp;TEXT(B135,"00"))</f>
        <v/>
      </c>
      <c r="D135" s="11" t="str">
        <f aca="false">IF(A135="","",IFERROR(INDEX(Execuções!$E$2:$E$97,MATCH(A135,Execuções!$A$2:$A$97,0)),"ID?"))</f>
        <v/>
      </c>
      <c r="E135" s="11" t="str">
        <f aca="false">IF(A135="","",IFERROR(INDEX(Execuções!$F$2:$F$97,MATCH(A135,Execuções!$A$2:$A$97,0)),"ID?"))</f>
        <v/>
      </c>
      <c r="F135" s="13"/>
      <c r="G135" s="13"/>
    </row>
    <row r="136" customFormat="false" ht="15" hidden="false" customHeight="false" outlineLevel="0" collapsed="false">
      <c r="A136" s="14"/>
      <c r="B136" s="14"/>
      <c r="C136" s="11" t="str">
        <f aca="false">IF(OR(A136="",B136=""),"",A136&amp;"-"&amp;TEXT(B136,"00"))</f>
        <v/>
      </c>
      <c r="D136" s="11" t="str">
        <f aca="false">IF(A136="","",IFERROR(INDEX(Execuções!$E$2:$E$97,MATCH(A136,Execuções!$A$2:$A$97,0)),"ID?"))</f>
        <v/>
      </c>
      <c r="E136" s="11" t="str">
        <f aca="false">IF(A136="","",IFERROR(INDEX(Execuções!$F$2:$F$97,MATCH(A136,Execuções!$A$2:$A$97,0)),"ID?"))</f>
        <v/>
      </c>
      <c r="F136" s="13"/>
      <c r="G136" s="13"/>
    </row>
    <row r="137" customFormat="false" ht="15" hidden="false" customHeight="false" outlineLevel="0" collapsed="false">
      <c r="A137" s="14"/>
      <c r="B137" s="14"/>
      <c r="C137" s="11" t="str">
        <f aca="false">IF(OR(A137="",B137=""),"",A137&amp;"-"&amp;TEXT(B137,"00"))</f>
        <v/>
      </c>
      <c r="D137" s="11" t="str">
        <f aca="false">IF(A137="","",IFERROR(INDEX(Execuções!$E$2:$E$97,MATCH(A137,Execuções!$A$2:$A$97,0)),"ID?"))</f>
        <v/>
      </c>
      <c r="E137" s="11" t="str">
        <f aca="false">IF(A137="","",IFERROR(INDEX(Execuções!$F$2:$F$97,MATCH(A137,Execuções!$A$2:$A$97,0)),"ID?"))</f>
        <v/>
      </c>
      <c r="F137" s="13"/>
      <c r="G137" s="13"/>
    </row>
    <row r="138" customFormat="false" ht="15" hidden="false" customHeight="false" outlineLevel="0" collapsed="false">
      <c r="A138" s="14"/>
      <c r="B138" s="14"/>
      <c r="C138" s="11" t="str">
        <f aca="false">IF(OR(A138="",B138=""),"",A138&amp;"-"&amp;TEXT(B138,"00"))</f>
        <v/>
      </c>
      <c r="D138" s="11" t="str">
        <f aca="false">IF(A138="","",IFERROR(INDEX(Execuções!$E$2:$E$97,MATCH(A138,Execuções!$A$2:$A$97,0)),"ID?"))</f>
        <v/>
      </c>
      <c r="E138" s="11" t="str">
        <f aca="false">IF(A138="","",IFERROR(INDEX(Execuções!$F$2:$F$97,MATCH(A138,Execuções!$A$2:$A$97,0)),"ID?"))</f>
        <v/>
      </c>
      <c r="F138" s="13"/>
      <c r="G138" s="13"/>
    </row>
    <row r="139" customFormat="false" ht="15" hidden="false" customHeight="false" outlineLevel="0" collapsed="false">
      <c r="A139" s="14"/>
      <c r="B139" s="14"/>
      <c r="C139" s="11" t="str">
        <f aca="false">IF(OR(A139="",B139=""),"",A139&amp;"-"&amp;TEXT(B139,"00"))</f>
        <v/>
      </c>
      <c r="D139" s="11" t="str">
        <f aca="false">IF(A139="","",IFERROR(INDEX(Execuções!$E$2:$E$97,MATCH(A139,Execuções!$A$2:$A$97,0)),"ID?"))</f>
        <v/>
      </c>
      <c r="E139" s="11" t="str">
        <f aca="false">IF(A139="","",IFERROR(INDEX(Execuções!$F$2:$F$97,MATCH(A139,Execuções!$A$2:$A$97,0)),"ID?"))</f>
        <v/>
      </c>
      <c r="F139" s="13"/>
      <c r="G139" s="13"/>
    </row>
    <row r="140" customFormat="false" ht="15" hidden="false" customHeight="false" outlineLevel="0" collapsed="false">
      <c r="A140" s="14"/>
      <c r="B140" s="14"/>
      <c r="C140" s="11" t="str">
        <f aca="false">IF(OR(A140="",B140=""),"",A140&amp;"-"&amp;TEXT(B140,"00"))</f>
        <v/>
      </c>
      <c r="D140" s="11" t="str">
        <f aca="false">IF(A140="","",IFERROR(INDEX(Execuções!$E$2:$E$97,MATCH(A140,Execuções!$A$2:$A$97,0)),"ID?"))</f>
        <v/>
      </c>
      <c r="E140" s="11" t="str">
        <f aca="false">IF(A140="","",IFERROR(INDEX(Execuções!$F$2:$F$97,MATCH(A140,Execuções!$A$2:$A$97,0)),"ID?"))</f>
        <v/>
      </c>
      <c r="F140" s="13"/>
      <c r="G140" s="13"/>
    </row>
    <row r="141" customFormat="false" ht="15" hidden="false" customHeight="false" outlineLevel="0" collapsed="false">
      <c r="A141" s="14"/>
      <c r="B141" s="14"/>
      <c r="C141" s="11" t="str">
        <f aca="false">IF(OR(A141="",B141=""),"",A141&amp;"-"&amp;TEXT(B141,"00"))</f>
        <v/>
      </c>
      <c r="D141" s="11" t="str">
        <f aca="false">IF(A141="","",IFERROR(INDEX(Execuções!$E$2:$E$97,MATCH(A141,Execuções!$A$2:$A$97,0)),"ID?"))</f>
        <v/>
      </c>
      <c r="E141" s="11" t="str">
        <f aca="false">IF(A141="","",IFERROR(INDEX(Execuções!$F$2:$F$97,MATCH(A141,Execuções!$A$2:$A$97,0)),"ID?"))</f>
        <v/>
      </c>
      <c r="F141" s="13"/>
      <c r="G141" s="13"/>
    </row>
    <row r="142" customFormat="false" ht="15" hidden="false" customHeight="false" outlineLevel="0" collapsed="false">
      <c r="A142" s="14"/>
      <c r="B142" s="14"/>
      <c r="C142" s="11" t="str">
        <f aca="false">IF(OR(A142="",B142=""),"",A142&amp;"-"&amp;TEXT(B142,"00"))</f>
        <v/>
      </c>
      <c r="D142" s="11" t="str">
        <f aca="false">IF(A142="","",IFERROR(INDEX(Execuções!$E$2:$E$97,MATCH(A142,Execuções!$A$2:$A$97,0)),"ID?"))</f>
        <v/>
      </c>
      <c r="E142" s="11" t="str">
        <f aca="false">IF(A142="","",IFERROR(INDEX(Execuções!$F$2:$F$97,MATCH(A142,Execuções!$A$2:$A$97,0)),"ID?"))</f>
        <v/>
      </c>
      <c r="F142" s="13"/>
      <c r="G142" s="13"/>
    </row>
    <row r="143" customFormat="false" ht="15" hidden="false" customHeight="false" outlineLevel="0" collapsed="false">
      <c r="A143" s="14"/>
      <c r="B143" s="14"/>
      <c r="C143" s="11" t="str">
        <f aca="false">IF(OR(A143="",B143=""),"",A143&amp;"-"&amp;TEXT(B143,"00"))</f>
        <v/>
      </c>
      <c r="D143" s="11" t="str">
        <f aca="false">IF(A143="","",IFERROR(INDEX(Execuções!$E$2:$E$97,MATCH(A143,Execuções!$A$2:$A$97,0)),"ID?"))</f>
        <v/>
      </c>
      <c r="E143" s="11" t="str">
        <f aca="false">IF(A143="","",IFERROR(INDEX(Execuções!$F$2:$F$97,MATCH(A143,Execuções!$A$2:$A$97,0)),"ID?"))</f>
        <v/>
      </c>
      <c r="F143" s="13"/>
      <c r="G143" s="13"/>
    </row>
    <row r="144" customFormat="false" ht="15" hidden="false" customHeight="false" outlineLevel="0" collapsed="false">
      <c r="A144" s="14"/>
      <c r="B144" s="14"/>
      <c r="C144" s="11" t="str">
        <f aca="false">IF(OR(A144="",B144=""),"",A144&amp;"-"&amp;TEXT(B144,"00"))</f>
        <v/>
      </c>
      <c r="D144" s="11" t="str">
        <f aca="false">IF(A144="","",IFERROR(INDEX(Execuções!$E$2:$E$97,MATCH(A144,Execuções!$A$2:$A$97,0)),"ID?"))</f>
        <v/>
      </c>
      <c r="E144" s="11" t="str">
        <f aca="false">IF(A144="","",IFERROR(INDEX(Execuções!$F$2:$F$97,MATCH(A144,Execuções!$A$2:$A$97,0)),"ID?"))</f>
        <v/>
      </c>
      <c r="F144" s="13"/>
      <c r="G144" s="13"/>
    </row>
    <row r="145" customFormat="false" ht="15" hidden="false" customHeight="false" outlineLevel="0" collapsed="false">
      <c r="A145" s="14"/>
      <c r="B145" s="14"/>
      <c r="C145" s="11" t="str">
        <f aca="false">IF(OR(A145="",B145=""),"",A145&amp;"-"&amp;TEXT(B145,"00"))</f>
        <v/>
      </c>
      <c r="D145" s="11" t="str">
        <f aca="false">IF(A145="","",IFERROR(INDEX(Execuções!$E$2:$E$97,MATCH(A145,Execuções!$A$2:$A$97,0)),"ID?"))</f>
        <v/>
      </c>
      <c r="E145" s="11" t="str">
        <f aca="false">IF(A145="","",IFERROR(INDEX(Execuções!$F$2:$F$97,MATCH(A145,Execuções!$A$2:$A$97,0)),"ID?"))</f>
        <v/>
      </c>
      <c r="F145" s="13"/>
      <c r="G145" s="13"/>
    </row>
    <row r="146" customFormat="false" ht="15" hidden="false" customHeight="false" outlineLevel="0" collapsed="false">
      <c r="A146" s="14"/>
      <c r="B146" s="14"/>
      <c r="C146" s="11" t="str">
        <f aca="false">IF(OR(A146="",B146=""),"",A146&amp;"-"&amp;TEXT(B146,"00"))</f>
        <v/>
      </c>
      <c r="D146" s="11" t="str">
        <f aca="false">IF(A146="","",IFERROR(INDEX(Execuções!$E$2:$E$97,MATCH(A146,Execuções!$A$2:$A$97,0)),"ID?"))</f>
        <v/>
      </c>
      <c r="E146" s="11" t="str">
        <f aca="false">IF(A146="","",IFERROR(INDEX(Execuções!$F$2:$F$97,MATCH(A146,Execuções!$A$2:$A$97,0)),"ID?"))</f>
        <v/>
      </c>
      <c r="F146" s="13"/>
      <c r="G146" s="13"/>
    </row>
    <row r="147" customFormat="false" ht="15" hidden="false" customHeight="false" outlineLevel="0" collapsed="false">
      <c r="A147" s="14"/>
      <c r="B147" s="14"/>
      <c r="C147" s="11" t="str">
        <f aca="false">IF(OR(A147="",B147=""),"",A147&amp;"-"&amp;TEXT(B147,"00"))</f>
        <v/>
      </c>
      <c r="D147" s="11" t="str">
        <f aca="false">IF(A147="","",IFERROR(INDEX(Execuções!$E$2:$E$97,MATCH(A147,Execuções!$A$2:$A$97,0)),"ID?"))</f>
        <v/>
      </c>
      <c r="E147" s="11" t="str">
        <f aca="false">IF(A147="","",IFERROR(INDEX(Execuções!$F$2:$F$97,MATCH(A147,Execuções!$A$2:$A$97,0)),"ID?"))</f>
        <v/>
      </c>
      <c r="F147" s="13"/>
      <c r="G147" s="13"/>
    </row>
    <row r="148" customFormat="false" ht="15" hidden="false" customHeight="false" outlineLevel="0" collapsed="false">
      <c r="A148" s="14"/>
      <c r="B148" s="14"/>
      <c r="C148" s="11" t="str">
        <f aca="false">IF(OR(A148="",B148=""),"",A148&amp;"-"&amp;TEXT(B148,"00"))</f>
        <v/>
      </c>
      <c r="D148" s="11" t="str">
        <f aca="false">IF(A148="","",IFERROR(INDEX(Execuções!$E$2:$E$97,MATCH(A148,Execuções!$A$2:$A$97,0)),"ID?"))</f>
        <v/>
      </c>
      <c r="E148" s="11" t="str">
        <f aca="false">IF(A148="","",IFERROR(INDEX(Execuções!$F$2:$F$97,MATCH(A148,Execuções!$A$2:$A$97,0)),"ID?"))</f>
        <v/>
      </c>
      <c r="F148" s="13"/>
      <c r="G148" s="13"/>
    </row>
    <row r="149" customFormat="false" ht="15" hidden="false" customHeight="false" outlineLevel="0" collapsed="false">
      <c r="A149" s="14"/>
      <c r="B149" s="14"/>
      <c r="C149" s="11" t="str">
        <f aca="false">IF(OR(A149="",B149=""),"",A149&amp;"-"&amp;TEXT(B149,"00"))</f>
        <v/>
      </c>
      <c r="D149" s="11" t="str">
        <f aca="false">IF(A149="","",IFERROR(INDEX(Execuções!$E$2:$E$97,MATCH(A149,Execuções!$A$2:$A$97,0)),"ID?"))</f>
        <v/>
      </c>
      <c r="E149" s="11" t="str">
        <f aca="false">IF(A149="","",IFERROR(INDEX(Execuções!$F$2:$F$97,MATCH(A149,Execuções!$A$2:$A$97,0)),"ID?"))</f>
        <v/>
      </c>
      <c r="F149" s="13"/>
      <c r="G149" s="13"/>
    </row>
    <row r="150" customFormat="false" ht="15" hidden="false" customHeight="false" outlineLevel="0" collapsed="false">
      <c r="A150" s="14"/>
      <c r="B150" s="14"/>
      <c r="C150" s="11" t="str">
        <f aca="false">IF(OR(A150="",B150=""),"",A150&amp;"-"&amp;TEXT(B150,"00"))</f>
        <v/>
      </c>
      <c r="D150" s="11" t="str">
        <f aca="false">IF(A150="","",IFERROR(INDEX(Execuções!$E$2:$E$97,MATCH(A150,Execuções!$A$2:$A$97,0)),"ID?"))</f>
        <v/>
      </c>
      <c r="E150" s="11" t="str">
        <f aca="false">IF(A150="","",IFERROR(INDEX(Execuções!$F$2:$F$97,MATCH(A150,Execuções!$A$2:$A$97,0)),"ID?"))</f>
        <v/>
      </c>
      <c r="F150" s="13"/>
      <c r="G150" s="13"/>
    </row>
    <row r="151" customFormat="false" ht="15" hidden="false" customHeight="false" outlineLevel="0" collapsed="false">
      <c r="A151" s="14"/>
      <c r="B151" s="14"/>
      <c r="C151" s="11" t="str">
        <f aca="false">IF(OR(A151="",B151=""),"",A151&amp;"-"&amp;TEXT(B151,"00"))</f>
        <v/>
      </c>
      <c r="D151" s="11" t="str">
        <f aca="false">IF(A151="","",IFERROR(INDEX(Execuções!$E$2:$E$97,MATCH(A151,Execuções!$A$2:$A$97,0)),"ID?"))</f>
        <v/>
      </c>
      <c r="E151" s="11" t="str">
        <f aca="false">IF(A151="","",IFERROR(INDEX(Execuções!$F$2:$F$97,MATCH(A151,Execuções!$A$2:$A$97,0)),"ID?"))</f>
        <v/>
      </c>
      <c r="F151" s="13"/>
      <c r="G151" s="13"/>
    </row>
    <row r="152" customFormat="false" ht="15" hidden="false" customHeight="false" outlineLevel="0" collapsed="false">
      <c r="A152" s="14"/>
      <c r="B152" s="14"/>
      <c r="C152" s="11" t="str">
        <f aca="false">IF(OR(A152="",B152=""),"",A152&amp;"-"&amp;TEXT(B152,"00"))</f>
        <v/>
      </c>
      <c r="D152" s="11" t="str">
        <f aca="false">IF(A152="","",IFERROR(INDEX(Execuções!$E$2:$E$97,MATCH(A152,Execuções!$A$2:$A$97,0)),"ID?"))</f>
        <v/>
      </c>
      <c r="E152" s="11" t="str">
        <f aca="false">IF(A152="","",IFERROR(INDEX(Execuções!$F$2:$F$97,MATCH(A152,Execuções!$A$2:$A$97,0)),"ID?"))</f>
        <v/>
      </c>
      <c r="F152" s="13"/>
      <c r="G152" s="13"/>
    </row>
    <row r="153" customFormat="false" ht="15" hidden="false" customHeight="false" outlineLevel="0" collapsed="false">
      <c r="A153" s="14"/>
      <c r="B153" s="14"/>
      <c r="C153" s="11" t="str">
        <f aca="false">IF(OR(A153="",B153=""),"",A153&amp;"-"&amp;TEXT(B153,"00"))</f>
        <v/>
      </c>
      <c r="D153" s="11" t="str">
        <f aca="false">IF(A153="","",IFERROR(INDEX(Execuções!$E$2:$E$97,MATCH(A153,Execuções!$A$2:$A$97,0)),"ID?"))</f>
        <v/>
      </c>
      <c r="E153" s="11" t="str">
        <f aca="false">IF(A153="","",IFERROR(INDEX(Execuções!$F$2:$F$97,MATCH(A153,Execuções!$A$2:$A$97,0)),"ID?"))</f>
        <v/>
      </c>
      <c r="F153" s="13"/>
      <c r="G153" s="13"/>
    </row>
    <row r="154" customFormat="false" ht="15" hidden="false" customHeight="false" outlineLevel="0" collapsed="false">
      <c r="A154" s="14"/>
      <c r="B154" s="14"/>
      <c r="C154" s="11" t="str">
        <f aca="false">IF(OR(A154="",B154=""),"",A154&amp;"-"&amp;TEXT(B154,"00"))</f>
        <v/>
      </c>
      <c r="D154" s="11" t="str">
        <f aca="false">IF(A154="","",IFERROR(INDEX(Execuções!$E$2:$E$97,MATCH(A154,Execuções!$A$2:$A$97,0)),"ID?"))</f>
        <v/>
      </c>
      <c r="E154" s="11" t="str">
        <f aca="false">IF(A154="","",IFERROR(INDEX(Execuções!$F$2:$F$97,MATCH(A154,Execuções!$A$2:$A$97,0)),"ID?"))</f>
        <v/>
      </c>
      <c r="F154" s="13"/>
      <c r="G154" s="13"/>
    </row>
    <row r="155" customFormat="false" ht="15" hidden="false" customHeight="false" outlineLevel="0" collapsed="false">
      <c r="A155" s="14"/>
      <c r="B155" s="14"/>
      <c r="C155" s="11" t="str">
        <f aca="false">IF(OR(A155="",B155=""),"",A155&amp;"-"&amp;TEXT(B155,"00"))</f>
        <v/>
      </c>
      <c r="D155" s="11" t="str">
        <f aca="false">IF(A155="","",IFERROR(INDEX(Execuções!$E$2:$E$97,MATCH(A155,Execuções!$A$2:$A$97,0)),"ID?"))</f>
        <v/>
      </c>
      <c r="E155" s="11" t="str">
        <f aca="false">IF(A155="","",IFERROR(INDEX(Execuções!$F$2:$F$97,MATCH(A155,Execuções!$A$2:$A$97,0)),"ID?"))</f>
        <v/>
      </c>
      <c r="F155" s="13"/>
      <c r="G155" s="13"/>
    </row>
    <row r="156" customFormat="false" ht="15" hidden="false" customHeight="false" outlineLevel="0" collapsed="false">
      <c r="A156" s="14"/>
      <c r="B156" s="14"/>
      <c r="C156" s="11" t="str">
        <f aca="false">IF(OR(A156="",B156=""),"",A156&amp;"-"&amp;TEXT(B156,"00"))</f>
        <v/>
      </c>
      <c r="D156" s="11" t="str">
        <f aca="false">IF(A156="","",IFERROR(INDEX(Execuções!$E$2:$E$97,MATCH(A156,Execuções!$A$2:$A$97,0)),"ID?"))</f>
        <v/>
      </c>
      <c r="E156" s="11" t="str">
        <f aca="false">IF(A156="","",IFERROR(INDEX(Execuções!$F$2:$F$97,MATCH(A156,Execuções!$A$2:$A$97,0)),"ID?"))</f>
        <v/>
      </c>
      <c r="F156" s="13"/>
      <c r="G156" s="13"/>
    </row>
    <row r="157" customFormat="false" ht="15" hidden="false" customHeight="false" outlineLevel="0" collapsed="false">
      <c r="A157" s="14"/>
      <c r="B157" s="14"/>
      <c r="C157" s="11" t="str">
        <f aca="false">IF(OR(A157="",B157=""),"",A157&amp;"-"&amp;TEXT(B157,"00"))</f>
        <v/>
      </c>
      <c r="D157" s="11" t="str">
        <f aca="false">IF(A157="","",IFERROR(INDEX(Execuções!$E$2:$E$97,MATCH(A157,Execuções!$A$2:$A$97,0)),"ID?"))</f>
        <v/>
      </c>
      <c r="E157" s="11" t="str">
        <f aca="false">IF(A157="","",IFERROR(INDEX(Execuções!$F$2:$F$97,MATCH(A157,Execuções!$A$2:$A$97,0)),"ID?"))</f>
        <v/>
      </c>
      <c r="F157" s="13"/>
      <c r="G157" s="13"/>
    </row>
    <row r="158" customFormat="false" ht="15" hidden="false" customHeight="false" outlineLevel="0" collapsed="false">
      <c r="A158" s="14"/>
      <c r="B158" s="14"/>
      <c r="C158" s="11" t="str">
        <f aca="false">IF(OR(A158="",B158=""),"",A158&amp;"-"&amp;TEXT(B158,"00"))</f>
        <v/>
      </c>
      <c r="D158" s="11" t="str">
        <f aca="false">IF(A158="","",IFERROR(INDEX(Execuções!$E$2:$E$97,MATCH(A158,Execuções!$A$2:$A$97,0)),"ID?"))</f>
        <v/>
      </c>
      <c r="E158" s="11" t="str">
        <f aca="false">IF(A158="","",IFERROR(INDEX(Execuções!$F$2:$F$97,MATCH(A158,Execuções!$A$2:$A$97,0)),"ID?"))</f>
        <v/>
      </c>
      <c r="F158" s="13"/>
      <c r="G158" s="13"/>
    </row>
    <row r="159" customFormat="false" ht="15" hidden="false" customHeight="false" outlineLevel="0" collapsed="false">
      <c r="A159" s="14"/>
      <c r="B159" s="14"/>
      <c r="C159" s="11" t="str">
        <f aca="false">IF(OR(A159="",B159=""),"",A159&amp;"-"&amp;TEXT(B159,"00"))</f>
        <v/>
      </c>
      <c r="D159" s="11" t="str">
        <f aca="false">IF(A159="","",IFERROR(INDEX(Execuções!$E$2:$E$97,MATCH(A159,Execuções!$A$2:$A$97,0)),"ID?"))</f>
        <v/>
      </c>
      <c r="E159" s="11" t="str">
        <f aca="false">IF(A159="","",IFERROR(INDEX(Execuções!$F$2:$F$97,MATCH(A159,Execuções!$A$2:$A$97,0)),"ID?"))</f>
        <v/>
      </c>
      <c r="F159" s="13"/>
      <c r="G159" s="13"/>
    </row>
    <row r="160" customFormat="false" ht="15" hidden="false" customHeight="false" outlineLevel="0" collapsed="false">
      <c r="A160" s="14"/>
      <c r="B160" s="14"/>
      <c r="C160" s="11" t="str">
        <f aca="false">IF(OR(A160="",B160=""),"",A160&amp;"-"&amp;TEXT(B160,"00"))</f>
        <v/>
      </c>
      <c r="D160" s="11" t="str">
        <f aca="false">IF(A160="","",IFERROR(INDEX(Execuções!$E$2:$E$97,MATCH(A160,Execuções!$A$2:$A$97,0)),"ID?"))</f>
        <v/>
      </c>
      <c r="E160" s="11" t="str">
        <f aca="false">IF(A160="","",IFERROR(INDEX(Execuções!$F$2:$F$97,MATCH(A160,Execuções!$A$2:$A$97,0)),"ID?"))</f>
        <v/>
      </c>
      <c r="F160" s="13"/>
      <c r="G160" s="13"/>
    </row>
    <row r="161" customFormat="false" ht="15" hidden="false" customHeight="false" outlineLevel="0" collapsed="false">
      <c r="A161" s="14"/>
      <c r="B161" s="14"/>
      <c r="C161" s="11" t="str">
        <f aca="false">IF(OR(A161="",B161=""),"",A161&amp;"-"&amp;TEXT(B161,"00"))</f>
        <v/>
      </c>
      <c r="D161" s="11" t="str">
        <f aca="false">IF(A161="","",IFERROR(INDEX(Execuções!$E$2:$E$97,MATCH(A161,Execuções!$A$2:$A$97,0)),"ID?"))</f>
        <v/>
      </c>
      <c r="E161" s="11" t="str">
        <f aca="false">IF(A161="","",IFERROR(INDEX(Execuções!$F$2:$F$97,MATCH(A161,Execuções!$A$2:$A$97,0)),"ID?"))</f>
        <v/>
      </c>
      <c r="F161" s="13"/>
      <c r="G161" s="13"/>
    </row>
    <row r="162" customFormat="false" ht="15" hidden="false" customHeight="false" outlineLevel="0" collapsed="false">
      <c r="A162" s="14"/>
      <c r="B162" s="14"/>
      <c r="C162" s="11" t="str">
        <f aca="false">IF(OR(A162="",B162=""),"",A162&amp;"-"&amp;TEXT(B162,"00"))</f>
        <v/>
      </c>
      <c r="D162" s="11" t="str">
        <f aca="false">IF(A162="","",IFERROR(INDEX(Execuções!$E$2:$E$97,MATCH(A162,Execuções!$A$2:$A$97,0)),"ID?"))</f>
        <v/>
      </c>
      <c r="E162" s="11" t="str">
        <f aca="false">IF(A162="","",IFERROR(INDEX(Execuções!$F$2:$F$97,MATCH(A162,Execuções!$A$2:$A$97,0)),"ID?"))</f>
        <v/>
      </c>
      <c r="F162" s="13"/>
      <c r="G162" s="13"/>
    </row>
    <row r="163" customFormat="false" ht="15" hidden="false" customHeight="false" outlineLevel="0" collapsed="false">
      <c r="A163" s="14"/>
      <c r="B163" s="14"/>
      <c r="C163" s="11" t="str">
        <f aca="false">IF(OR(A163="",B163=""),"",A163&amp;"-"&amp;TEXT(B163,"00"))</f>
        <v/>
      </c>
      <c r="D163" s="11" t="str">
        <f aca="false">IF(A163="","",IFERROR(INDEX(Execuções!$E$2:$E$97,MATCH(A163,Execuções!$A$2:$A$97,0)),"ID?"))</f>
        <v/>
      </c>
      <c r="E163" s="11" t="str">
        <f aca="false">IF(A163="","",IFERROR(INDEX(Execuções!$F$2:$F$97,MATCH(A163,Execuções!$A$2:$A$97,0)),"ID?"))</f>
        <v/>
      </c>
      <c r="F163" s="13"/>
      <c r="G163" s="13"/>
    </row>
    <row r="164" customFormat="false" ht="15" hidden="false" customHeight="false" outlineLevel="0" collapsed="false">
      <c r="A164" s="14"/>
      <c r="B164" s="14"/>
      <c r="C164" s="11" t="str">
        <f aca="false">IF(OR(A164="",B164=""),"",A164&amp;"-"&amp;TEXT(B164,"00"))</f>
        <v/>
      </c>
      <c r="D164" s="11" t="str">
        <f aca="false">IF(A164="","",IFERROR(INDEX(Execuções!$E$2:$E$97,MATCH(A164,Execuções!$A$2:$A$97,0)),"ID?"))</f>
        <v/>
      </c>
      <c r="E164" s="11" t="str">
        <f aca="false">IF(A164="","",IFERROR(INDEX(Execuções!$F$2:$F$97,MATCH(A164,Execuções!$A$2:$A$97,0)),"ID?"))</f>
        <v/>
      </c>
      <c r="F164" s="13"/>
      <c r="G164" s="13"/>
    </row>
    <row r="165" customFormat="false" ht="15" hidden="false" customHeight="false" outlineLevel="0" collapsed="false">
      <c r="A165" s="14"/>
      <c r="B165" s="14"/>
      <c r="C165" s="11" t="str">
        <f aca="false">IF(OR(A165="",B165=""),"",A165&amp;"-"&amp;TEXT(B165,"00"))</f>
        <v/>
      </c>
      <c r="D165" s="11" t="str">
        <f aca="false">IF(A165="","",IFERROR(INDEX(Execuções!$E$2:$E$97,MATCH(A165,Execuções!$A$2:$A$97,0)),"ID?"))</f>
        <v/>
      </c>
      <c r="E165" s="11" t="str">
        <f aca="false">IF(A165="","",IFERROR(INDEX(Execuções!$F$2:$F$97,MATCH(A165,Execuções!$A$2:$A$97,0)),"ID?"))</f>
        <v/>
      </c>
      <c r="F165" s="13"/>
      <c r="G165" s="13"/>
    </row>
    <row r="166" customFormat="false" ht="15" hidden="false" customHeight="false" outlineLevel="0" collapsed="false">
      <c r="A166" s="14"/>
      <c r="B166" s="14"/>
      <c r="C166" s="11" t="str">
        <f aca="false">IF(OR(A166="",B166=""),"",A166&amp;"-"&amp;TEXT(B166,"00"))</f>
        <v/>
      </c>
      <c r="D166" s="11" t="str">
        <f aca="false">IF(A166="","",IFERROR(INDEX(Execuções!$E$2:$E$97,MATCH(A166,Execuções!$A$2:$A$97,0)),"ID?"))</f>
        <v/>
      </c>
      <c r="E166" s="11" t="str">
        <f aca="false">IF(A166="","",IFERROR(INDEX(Execuções!$F$2:$F$97,MATCH(A166,Execuções!$A$2:$A$97,0)),"ID?"))</f>
        <v/>
      </c>
      <c r="F166" s="13"/>
      <c r="G166" s="13"/>
    </row>
    <row r="167" customFormat="false" ht="15" hidden="false" customHeight="false" outlineLevel="0" collapsed="false">
      <c r="A167" s="14"/>
      <c r="B167" s="14"/>
      <c r="C167" s="11" t="str">
        <f aca="false">IF(OR(A167="",B167=""),"",A167&amp;"-"&amp;TEXT(B167,"00"))</f>
        <v/>
      </c>
      <c r="D167" s="11" t="str">
        <f aca="false">IF(A167="","",IFERROR(INDEX(Execuções!$E$2:$E$97,MATCH(A167,Execuções!$A$2:$A$97,0)),"ID?"))</f>
        <v/>
      </c>
      <c r="E167" s="11" t="str">
        <f aca="false">IF(A167="","",IFERROR(INDEX(Execuções!$F$2:$F$97,MATCH(A167,Execuções!$A$2:$A$97,0)),"ID?"))</f>
        <v/>
      </c>
      <c r="F167" s="13"/>
      <c r="G167" s="13"/>
    </row>
    <row r="168" customFormat="false" ht="15" hidden="false" customHeight="false" outlineLevel="0" collapsed="false">
      <c r="A168" s="14"/>
      <c r="B168" s="14"/>
      <c r="C168" s="11" t="str">
        <f aca="false">IF(OR(A168="",B168=""),"",A168&amp;"-"&amp;TEXT(B168,"00"))</f>
        <v/>
      </c>
      <c r="D168" s="11" t="str">
        <f aca="false">IF(A168="","",IFERROR(INDEX(Execuções!$E$2:$E$97,MATCH(A168,Execuções!$A$2:$A$97,0)),"ID?"))</f>
        <v/>
      </c>
      <c r="E168" s="11" t="str">
        <f aca="false">IF(A168="","",IFERROR(INDEX(Execuções!$F$2:$F$97,MATCH(A168,Execuções!$A$2:$A$97,0)),"ID?"))</f>
        <v/>
      </c>
      <c r="F168" s="13"/>
      <c r="G168" s="13"/>
    </row>
    <row r="169" customFormat="false" ht="15" hidden="false" customHeight="false" outlineLevel="0" collapsed="false">
      <c r="A169" s="14"/>
      <c r="B169" s="14"/>
      <c r="C169" s="11" t="str">
        <f aca="false">IF(OR(A169="",B169=""),"",A169&amp;"-"&amp;TEXT(B169,"00"))</f>
        <v/>
      </c>
      <c r="D169" s="11" t="str">
        <f aca="false">IF(A169="","",IFERROR(INDEX(Execuções!$E$2:$E$97,MATCH(A169,Execuções!$A$2:$A$97,0)),"ID?"))</f>
        <v/>
      </c>
      <c r="E169" s="11" t="str">
        <f aca="false">IF(A169="","",IFERROR(INDEX(Execuções!$F$2:$F$97,MATCH(A169,Execuções!$A$2:$A$97,0)),"ID?"))</f>
        <v/>
      </c>
      <c r="F169" s="13"/>
      <c r="G169" s="13"/>
    </row>
    <row r="170" customFormat="false" ht="15" hidden="false" customHeight="false" outlineLevel="0" collapsed="false">
      <c r="A170" s="14"/>
      <c r="B170" s="14"/>
      <c r="C170" s="11" t="str">
        <f aca="false">IF(OR(A170="",B170=""),"",A170&amp;"-"&amp;TEXT(B170,"00"))</f>
        <v/>
      </c>
      <c r="D170" s="11" t="str">
        <f aca="false">IF(A170="","",IFERROR(INDEX(Execuções!$E$2:$E$97,MATCH(A170,Execuções!$A$2:$A$97,0)),"ID?"))</f>
        <v/>
      </c>
      <c r="E170" s="11" t="str">
        <f aca="false">IF(A170="","",IFERROR(INDEX(Execuções!$F$2:$F$97,MATCH(A170,Execuções!$A$2:$A$97,0)),"ID?"))</f>
        <v/>
      </c>
      <c r="F170" s="13"/>
      <c r="G170" s="13"/>
    </row>
    <row r="171" customFormat="false" ht="15" hidden="false" customHeight="false" outlineLevel="0" collapsed="false">
      <c r="A171" s="14"/>
      <c r="B171" s="14"/>
      <c r="C171" s="11" t="str">
        <f aca="false">IF(OR(A171="",B171=""),"",A171&amp;"-"&amp;TEXT(B171,"00"))</f>
        <v/>
      </c>
      <c r="D171" s="11" t="str">
        <f aca="false">IF(A171="","",IFERROR(INDEX(Execuções!$E$2:$E$97,MATCH(A171,Execuções!$A$2:$A$97,0)),"ID?"))</f>
        <v/>
      </c>
      <c r="E171" s="11" t="str">
        <f aca="false">IF(A171="","",IFERROR(INDEX(Execuções!$F$2:$F$97,MATCH(A171,Execuções!$A$2:$A$97,0)),"ID?"))</f>
        <v/>
      </c>
      <c r="F171" s="13"/>
      <c r="G171" s="13"/>
    </row>
    <row r="172" customFormat="false" ht="15" hidden="false" customHeight="false" outlineLevel="0" collapsed="false">
      <c r="A172" s="14"/>
      <c r="B172" s="14"/>
      <c r="C172" s="11" t="str">
        <f aca="false">IF(OR(A172="",B172=""),"",A172&amp;"-"&amp;TEXT(B172,"00"))</f>
        <v/>
      </c>
      <c r="D172" s="11" t="str">
        <f aca="false">IF(A172="","",IFERROR(INDEX(Execuções!$E$2:$E$97,MATCH(A172,Execuções!$A$2:$A$97,0)),"ID?"))</f>
        <v/>
      </c>
      <c r="E172" s="11" t="str">
        <f aca="false">IF(A172="","",IFERROR(INDEX(Execuções!$F$2:$F$97,MATCH(A172,Execuções!$A$2:$A$97,0)),"ID?"))</f>
        <v/>
      </c>
      <c r="F172" s="13"/>
      <c r="G172" s="13"/>
    </row>
    <row r="173" customFormat="false" ht="15" hidden="false" customHeight="false" outlineLevel="0" collapsed="false">
      <c r="A173" s="14"/>
      <c r="B173" s="14"/>
      <c r="C173" s="11" t="str">
        <f aca="false">IF(OR(A173="",B173=""),"",A173&amp;"-"&amp;TEXT(B173,"00"))</f>
        <v/>
      </c>
      <c r="D173" s="11" t="str">
        <f aca="false">IF(A173="","",IFERROR(INDEX(Execuções!$E$2:$E$97,MATCH(A173,Execuções!$A$2:$A$97,0)),"ID?"))</f>
        <v/>
      </c>
      <c r="E173" s="11" t="str">
        <f aca="false">IF(A173="","",IFERROR(INDEX(Execuções!$F$2:$F$97,MATCH(A173,Execuções!$A$2:$A$97,0)),"ID?"))</f>
        <v/>
      </c>
      <c r="F173" s="13"/>
      <c r="G173" s="13"/>
    </row>
    <row r="174" customFormat="false" ht="15" hidden="false" customHeight="false" outlineLevel="0" collapsed="false">
      <c r="A174" s="14"/>
      <c r="B174" s="14"/>
      <c r="C174" s="11" t="str">
        <f aca="false">IF(OR(A174="",B174=""),"",A174&amp;"-"&amp;TEXT(B174,"00"))</f>
        <v/>
      </c>
      <c r="D174" s="11" t="str">
        <f aca="false">IF(A174="","",IFERROR(INDEX(Execuções!$E$2:$E$97,MATCH(A174,Execuções!$A$2:$A$97,0)),"ID?"))</f>
        <v/>
      </c>
      <c r="E174" s="11" t="str">
        <f aca="false">IF(A174="","",IFERROR(INDEX(Execuções!$F$2:$F$97,MATCH(A174,Execuções!$A$2:$A$97,0)),"ID?"))</f>
        <v/>
      </c>
      <c r="F174" s="13"/>
      <c r="G174" s="13"/>
    </row>
    <row r="175" customFormat="false" ht="15" hidden="false" customHeight="false" outlineLevel="0" collapsed="false">
      <c r="A175" s="14"/>
      <c r="B175" s="14"/>
      <c r="C175" s="11" t="str">
        <f aca="false">IF(OR(A175="",B175=""),"",A175&amp;"-"&amp;TEXT(B175,"00"))</f>
        <v/>
      </c>
      <c r="D175" s="11" t="str">
        <f aca="false">IF(A175="","",IFERROR(INDEX(Execuções!$E$2:$E$97,MATCH(A175,Execuções!$A$2:$A$97,0)),"ID?"))</f>
        <v/>
      </c>
      <c r="E175" s="11" t="str">
        <f aca="false">IF(A175="","",IFERROR(INDEX(Execuções!$F$2:$F$97,MATCH(A175,Execuções!$A$2:$A$97,0)),"ID?"))</f>
        <v/>
      </c>
      <c r="F175" s="13"/>
      <c r="G175" s="13"/>
    </row>
    <row r="176" customFormat="false" ht="15" hidden="false" customHeight="false" outlineLevel="0" collapsed="false">
      <c r="A176" s="14"/>
      <c r="B176" s="14"/>
      <c r="C176" s="11" t="str">
        <f aca="false">IF(OR(A176="",B176=""),"",A176&amp;"-"&amp;TEXT(B176,"00"))</f>
        <v/>
      </c>
      <c r="D176" s="11" t="str">
        <f aca="false">IF(A176="","",IFERROR(INDEX(Execuções!$E$2:$E$97,MATCH(A176,Execuções!$A$2:$A$97,0)),"ID?"))</f>
        <v/>
      </c>
      <c r="E176" s="11" t="str">
        <f aca="false">IF(A176="","",IFERROR(INDEX(Execuções!$F$2:$F$97,MATCH(A176,Execuções!$A$2:$A$97,0)),"ID?"))</f>
        <v/>
      </c>
      <c r="F176" s="13"/>
      <c r="G176" s="13"/>
    </row>
    <row r="177" customFormat="false" ht="15" hidden="false" customHeight="false" outlineLevel="0" collapsed="false">
      <c r="A177" s="14"/>
      <c r="B177" s="14"/>
      <c r="C177" s="11" t="str">
        <f aca="false">IF(OR(A177="",B177=""),"",A177&amp;"-"&amp;TEXT(B177,"00"))</f>
        <v/>
      </c>
      <c r="D177" s="11" t="str">
        <f aca="false">IF(A177="","",IFERROR(INDEX(Execuções!$E$2:$E$97,MATCH(A177,Execuções!$A$2:$A$97,0)),"ID?"))</f>
        <v/>
      </c>
      <c r="E177" s="11" t="str">
        <f aca="false">IF(A177="","",IFERROR(INDEX(Execuções!$F$2:$F$97,MATCH(A177,Execuções!$A$2:$A$97,0)),"ID?"))</f>
        <v/>
      </c>
      <c r="F177" s="13"/>
      <c r="G177" s="13"/>
    </row>
    <row r="178" customFormat="false" ht="15" hidden="false" customHeight="false" outlineLevel="0" collapsed="false">
      <c r="A178" s="14"/>
      <c r="B178" s="14"/>
      <c r="C178" s="11" t="str">
        <f aca="false">IF(OR(A178="",B178=""),"",A178&amp;"-"&amp;TEXT(B178,"00"))</f>
        <v/>
      </c>
      <c r="D178" s="11" t="str">
        <f aca="false">IF(A178="","",IFERROR(INDEX(Execuções!$E$2:$E$97,MATCH(A178,Execuções!$A$2:$A$97,0)),"ID?"))</f>
        <v/>
      </c>
      <c r="E178" s="11" t="str">
        <f aca="false">IF(A178="","",IFERROR(INDEX(Execuções!$F$2:$F$97,MATCH(A178,Execuções!$A$2:$A$97,0)),"ID?"))</f>
        <v/>
      </c>
      <c r="F178" s="13"/>
      <c r="G178" s="13"/>
    </row>
    <row r="179" customFormat="false" ht="15" hidden="false" customHeight="false" outlineLevel="0" collapsed="false">
      <c r="A179" s="14"/>
      <c r="B179" s="14"/>
      <c r="C179" s="11" t="str">
        <f aca="false">IF(OR(A179="",B179=""),"",A179&amp;"-"&amp;TEXT(B179,"00"))</f>
        <v/>
      </c>
      <c r="D179" s="11" t="str">
        <f aca="false">IF(A179="","",IFERROR(INDEX(Execuções!$E$2:$E$97,MATCH(A179,Execuções!$A$2:$A$97,0)),"ID?"))</f>
        <v/>
      </c>
      <c r="E179" s="11" t="str">
        <f aca="false">IF(A179="","",IFERROR(INDEX(Execuções!$F$2:$F$97,MATCH(A179,Execuções!$A$2:$A$97,0)),"ID?"))</f>
        <v/>
      </c>
      <c r="F179" s="13"/>
      <c r="G179" s="13"/>
    </row>
    <row r="180" customFormat="false" ht="15" hidden="false" customHeight="false" outlineLevel="0" collapsed="false">
      <c r="A180" s="14"/>
      <c r="B180" s="14"/>
      <c r="C180" s="11" t="str">
        <f aca="false">IF(OR(A180="",B180=""),"",A180&amp;"-"&amp;TEXT(B180,"00"))</f>
        <v/>
      </c>
      <c r="D180" s="11" t="str">
        <f aca="false">IF(A180="","",IFERROR(INDEX(Execuções!$E$2:$E$97,MATCH(A180,Execuções!$A$2:$A$97,0)),"ID?"))</f>
        <v/>
      </c>
      <c r="E180" s="11" t="str">
        <f aca="false">IF(A180="","",IFERROR(INDEX(Execuções!$F$2:$F$97,MATCH(A180,Execuções!$A$2:$A$97,0)),"ID?"))</f>
        <v/>
      </c>
      <c r="F180" s="13"/>
      <c r="G180" s="13"/>
    </row>
    <row r="181" customFormat="false" ht="15" hidden="false" customHeight="false" outlineLevel="0" collapsed="false">
      <c r="A181" s="14"/>
      <c r="B181" s="14"/>
      <c r="C181" s="11" t="str">
        <f aca="false">IF(OR(A181="",B181=""),"",A181&amp;"-"&amp;TEXT(B181,"00"))</f>
        <v/>
      </c>
      <c r="D181" s="11" t="str">
        <f aca="false">IF(A181="","",IFERROR(INDEX(Execuções!$E$2:$E$97,MATCH(A181,Execuções!$A$2:$A$97,0)),"ID?"))</f>
        <v/>
      </c>
      <c r="E181" s="11" t="str">
        <f aca="false">IF(A181="","",IFERROR(INDEX(Execuções!$F$2:$F$97,MATCH(A181,Execuções!$A$2:$A$97,0)),"ID?"))</f>
        <v/>
      </c>
      <c r="F181" s="13"/>
      <c r="G181" s="13"/>
    </row>
    <row r="182" customFormat="false" ht="15" hidden="false" customHeight="false" outlineLevel="0" collapsed="false">
      <c r="A182" s="14"/>
      <c r="B182" s="14"/>
      <c r="C182" s="11" t="str">
        <f aca="false">IF(OR(A182="",B182=""),"",A182&amp;"-"&amp;TEXT(B182,"00"))</f>
        <v/>
      </c>
      <c r="D182" s="11" t="str">
        <f aca="false">IF(A182="","",IFERROR(INDEX(Execuções!$E$2:$E$97,MATCH(A182,Execuções!$A$2:$A$97,0)),"ID?"))</f>
        <v/>
      </c>
      <c r="E182" s="11" t="str">
        <f aca="false">IF(A182="","",IFERROR(INDEX(Execuções!$F$2:$F$97,MATCH(A182,Execuções!$A$2:$A$97,0)),"ID?"))</f>
        <v/>
      </c>
      <c r="F182" s="13"/>
      <c r="G182" s="13"/>
    </row>
    <row r="183" customFormat="false" ht="15" hidden="false" customHeight="false" outlineLevel="0" collapsed="false">
      <c r="A183" s="14"/>
      <c r="B183" s="14"/>
      <c r="C183" s="11" t="str">
        <f aca="false">IF(OR(A183="",B183=""),"",A183&amp;"-"&amp;TEXT(B183,"00"))</f>
        <v/>
      </c>
      <c r="D183" s="11" t="str">
        <f aca="false">IF(A183="","",IFERROR(INDEX(Execuções!$E$2:$E$97,MATCH(A183,Execuções!$A$2:$A$97,0)),"ID?"))</f>
        <v/>
      </c>
      <c r="E183" s="11" t="str">
        <f aca="false">IF(A183="","",IFERROR(INDEX(Execuções!$F$2:$F$97,MATCH(A183,Execuções!$A$2:$A$97,0)),"ID?"))</f>
        <v/>
      </c>
      <c r="F183" s="13"/>
      <c r="G183" s="13"/>
    </row>
    <row r="184" customFormat="false" ht="15" hidden="false" customHeight="false" outlineLevel="0" collapsed="false">
      <c r="A184" s="14"/>
      <c r="B184" s="14"/>
      <c r="C184" s="11" t="str">
        <f aca="false">IF(OR(A184="",B184=""),"",A184&amp;"-"&amp;TEXT(B184,"00"))</f>
        <v/>
      </c>
      <c r="D184" s="11" t="str">
        <f aca="false">IF(A184="","",IFERROR(INDEX(Execuções!$E$2:$E$97,MATCH(A184,Execuções!$A$2:$A$97,0)),"ID?"))</f>
        <v/>
      </c>
      <c r="E184" s="11" t="str">
        <f aca="false">IF(A184="","",IFERROR(INDEX(Execuções!$F$2:$F$97,MATCH(A184,Execuções!$A$2:$A$97,0)),"ID?"))</f>
        <v/>
      </c>
      <c r="F184" s="13"/>
      <c r="G184" s="13"/>
    </row>
    <row r="185" customFormat="false" ht="15" hidden="false" customHeight="false" outlineLevel="0" collapsed="false">
      <c r="A185" s="14"/>
      <c r="B185" s="14"/>
      <c r="C185" s="11" t="str">
        <f aca="false">IF(OR(A185="",B185=""),"",A185&amp;"-"&amp;TEXT(B185,"00"))</f>
        <v/>
      </c>
      <c r="D185" s="11" t="str">
        <f aca="false">IF(A185="","",IFERROR(INDEX(Execuções!$E$2:$E$97,MATCH(A185,Execuções!$A$2:$A$97,0)),"ID?"))</f>
        <v/>
      </c>
      <c r="E185" s="11" t="str">
        <f aca="false">IF(A185="","",IFERROR(INDEX(Execuções!$F$2:$F$97,MATCH(A185,Execuções!$A$2:$A$97,0)),"ID?"))</f>
        <v/>
      </c>
      <c r="F185" s="13"/>
      <c r="G185" s="13"/>
    </row>
    <row r="186" customFormat="false" ht="15" hidden="false" customHeight="false" outlineLevel="0" collapsed="false">
      <c r="A186" s="14"/>
      <c r="B186" s="14"/>
      <c r="C186" s="11" t="str">
        <f aca="false">IF(OR(A186="",B186=""),"",A186&amp;"-"&amp;TEXT(B186,"00"))</f>
        <v/>
      </c>
      <c r="D186" s="11" t="str">
        <f aca="false">IF(A186="","",IFERROR(INDEX(Execuções!$E$2:$E$97,MATCH(A186,Execuções!$A$2:$A$97,0)),"ID?"))</f>
        <v/>
      </c>
      <c r="E186" s="11" t="str">
        <f aca="false">IF(A186="","",IFERROR(INDEX(Execuções!$F$2:$F$97,MATCH(A186,Execuções!$A$2:$A$97,0)),"ID?"))</f>
        <v/>
      </c>
      <c r="F186" s="13"/>
      <c r="G186" s="13"/>
    </row>
    <row r="187" customFormat="false" ht="15" hidden="false" customHeight="false" outlineLevel="0" collapsed="false">
      <c r="A187" s="14"/>
      <c r="B187" s="14"/>
      <c r="C187" s="11" t="str">
        <f aca="false">IF(OR(A187="",B187=""),"",A187&amp;"-"&amp;TEXT(B187,"00"))</f>
        <v/>
      </c>
      <c r="D187" s="11" t="str">
        <f aca="false">IF(A187="","",IFERROR(INDEX(Execuções!$E$2:$E$97,MATCH(A187,Execuções!$A$2:$A$97,0)),"ID?"))</f>
        <v/>
      </c>
      <c r="E187" s="11" t="str">
        <f aca="false">IF(A187="","",IFERROR(INDEX(Execuções!$F$2:$F$97,MATCH(A187,Execuções!$A$2:$A$97,0)),"ID?"))</f>
        <v/>
      </c>
      <c r="F187" s="13"/>
      <c r="G187" s="13"/>
    </row>
    <row r="188" customFormat="false" ht="15" hidden="false" customHeight="false" outlineLevel="0" collapsed="false">
      <c r="A188" s="14"/>
      <c r="B188" s="14"/>
      <c r="C188" s="11" t="str">
        <f aca="false">IF(OR(A188="",B188=""),"",A188&amp;"-"&amp;TEXT(B188,"00"))</f>
        <v/>
      </c>
      <c r="D188" s="11" t="str">
        <f aca="false">IF(A188="","",IFERROR(INDEX(Execuções!$E$2:$E$97,MATCH(A188,Execuções!$A$2:$A$97,0)),"ID?"))</f>
        <v/>
      </c>
      <c r="E188" s="11" t="str">
        <f aca="false">IF(A188="","",IFERROR(INDEX(Execuções!$F$2:$F$97,MATCH(A188,Execuções!$A$2:$A$97,0)),"ID?"))</f>
        <v/>
      </c>
      <c r="F188" s="13"/>
      <c r="G188" s="13"/>
    </row>
    <row r="189" customFormat="false" ht="15" hidden="false" customHeight="false" outlineLevel="0" collapsed="false">
      <c r="A189" s="14"/>
      <c r="B189" s="14"/>
      <c r="C189" s="11" t="str">
        <f aca="false">IF(OR(A189="",B189=""),"",A189&amp;"-"&amp;TEXT(B189,"00"))</f>
        <v/>
      </c>
      <c r="D189" s="11" t="str">
        <f aca="false">IF(A189="","",IFERROR(INDEX(Execuções!$E$2:$E$97,MATCH(A189,Execuções!$A$2:$A$97,0)),"ID?"))</f>
        <v/>
      </c>
      <c r="E189" s="11" t="str">
        <f aca="false">IF(A189="","",IFERROR(INDEX(Execuções!$F$2:$F$97,MATCH(A189,Execuções!$A$2:$A$97,0)),"ID?"))</f>
        <v/>
      </c>
      <c r="F189" s="13"/>
      <c r="G189" s="13"/>
    </row>
    <row r="190" customFormat="false" ht="15" hidden="false" customHeight="false" outlineLevel="0" collapsed="false">
      <c r="A190" s="14"/>
      <c r="B190" s="14"/>
      <c r="C190" s="11" t="str">
        <f aca="false">IF(OR(A190="",B190=""),"",A190&amp;"-"&amp;TEXT(B190,"00"))</f>
        <v/>
      </c>
      <c r="D190" s="11" t="str">
        <f aca="false">IF(A190="","",IFERROR(INDEX(Execuções!$E$2:$E$97,MATCH(A190,Execuções!$A$2:$A$97,0)),"ID?"))</f>
        <v/>
      </c>
      <c r="E190" s="11" t="str">
        <f aca="false">IF(A190="","",IFERROR(INDEX(Execuções!$F$2:$F$97,MATCH(A190,Execuções!$A$2:$A$97,0)),"ID?"))</f>
        <v/>
      </c>
      <c r="F190" s="13"/>
      <c r="G190" s="13"/>
    </row>
    <row r="191" customFormat="false" ht="15" hidden="false" customHeight="false" outlineLevel="0" collapsed="false">
      <c r="A191" s="14"/>
      <c r="B191" s="14"/>
      <c r="C191" s="11" t="str">
        <f aca="false">IF(OR(A191="",B191=""),"",A191&amp;"-"&amp;TEXT(B191,"00"))</f>
        <v/>
      </c>
      <c r="D191" s="11" t="str">
        <f aca="false">IF(A191="","",IFERROR(INDEX(Execuções!$E$2:$E$97,MATCH(A191,Execuções!$A$2:$A$97,0)),"ID?"))</f>
        <v/>
      </c>
      <c r="E191" s="11" t="str">
        <f aca="false">IF(A191="","",IFERROR(INDEX(Execuções!$F$2:$F$97,MATCH(A191,Execuções!$A$2:$A$97,0)),"ID?"))</f>
        <v/>
      </c>
      <c r="F191" s="13"/>
      <c r="G191" s="13"/>
    </row>
    <row r="192" customFormat="false" ht="15" hidden="false" customHeight="false" outlineLevel="0" collapsed="false">
      <c r="A192" s="14"/>
      <c r="B192" s="14"/>
      <c r="C192" s="11" t="str">
        <f aca="false">IF(OR(A192="",B192=""),"",A192&amp;"-"&amp;TEXT(B192,"00"))</f>
        <v/>
      </c>
      <c r="D192" s="11" t="str">
        <f aca="false">IF(A192="","",IFERROR(INDEX(Execuções!$E$2:$E$97,MATCH(A192,Execuções!$A$2:$A$97,0)),"ID?"))</f>
        <v/>
      </c>
      <c r="E192" s="11" t="str">
        <f aca="false">IF(A192="","",IFERROR(INDEX(Execuções!$F$2:$F$97,MATCH(A192,Execuções!$A$2:$A$97,0)),"ID?"))</f>
        <v/>
      </c>
      <c r="F192" s="13"/>
      <c r="G192" s="13"/>
    </row>
    <row r="193" customFormat="false" ht="15" hidden="false" customHeight="false" outlineLevel="0" collapsed="false">
      <c r="A193" s="14"/>
      <c r="B193" s="14"/>
      <c r="C193" s="11" t="str">
        <f aca="false">IF(OR(A193="",B193=""),"",A193&amp;"-"&amp;TEXT(B193,"00"))</f>
        <v/>
      </c>
      <c r="D193" s="11" t="str">
        <f aca="false">IF(A193="","",IFERROR(INDEX(Execuções!$E$2:$E$97,MATCH(A193,Execuções!$A$2:$A$97,0)),"ID?"))</f>
        <v/>
      </c>
      <c r="E193" s="11" t="str">
        <f aca="false">IF(A193="","",IFERROR(INDEX(Execuções!$F$2:$F$97,MATCH(A193,Execuções!$A$2:$A$97,0)),"ID?"))</f>
        <v/>
      </c>
      <c r="F193" s="13"/>
      <c r="G193" s="13"/>
    </row>
    <row r="194" customFormat="false" ht="15" hidden="false" customHeight="false" outlineLevel="0" collapsed="false">
      <c r="A194" s="14"/>
      <c r="B194" s="14"/>
      <c r="C194" s="11" t="str">
        <f aca="false">IF(OR(A194="",B194=""),"",A194&amp;"-"&amp;TEXT(B194,"00"))</f>
        <v/>
      </c>
      <c r="D194" s="11" t="str">
        <f aca="false">IF(A194="","",IFERROR(INDEX(Execuções!$E$2:$E$97,MATCH(A194,Execuções!$A$2:$A$97,0)),"ID?"))</f>
        <v/>
      </c>
      <c r="E194" s="11" t="str">
        <f aca="false">IF(A194="","",IFERROR(INDEX(Execuções!$F$2:$F$97,MATCH(A194,Execuções!$A$2:$A$97,0)),"ID?"))</f>
        <v/>
      </c>
      <c r="F194" s="13"/>
      <c r="G194" s="13"/>
    </row>
    <row r="195" customFormat="false" ht="15" hidden="false" customHeight="false" outlineLevel="0" collapsed="false">
      <c r="A195" s="14"/>
      <c r="B195" s="14"/>
      <c r="C195" s="11" t="str">
        <f aca="false">IF(OR(A195="",B195=""),"",A195&amp;"-"&amp;TEXT(B195,"00"))</f>
        <v/>
      </c>
      <c r="D195" s="11" t="str">
        <f aca="false">IF(A195="","",IFERROR(INDEX(Execuções!$E$2:$E$97,MATCH(A195,Execuções!$A$2:$A$97,0)),"ID?"))</f>
        <v/>
      </c>
      <c r="E195" s="11" t="str">
        <f aca="false">IF(A195="","",IFERROR(INDEX(Execuções!$F$2:$F$97,MATCH(A195,Execuções!$A$2:$A$97,0)),"ID?"))</f>
        <v/>
      </c>
      <c r="F195" s="13"/>
      <c r="G195" s="13"/>
    </row>
    <row r="196" customFormat="false" ht="15" hidden="false" customHeight="false" outlineLevel="0" collapsed="false">
      <c r="A196" s="14"/>
      <c r="B196" s="14"/>
      <c r="C196" s="11" t="str">
        <f aca="false">IF(OR(A196="",B196=""),"",A196&amp;"-"&amp;TEXT(B196,"00"))</f>
        <v/>
      </c>
      <c r="D196" s="11" t="str">
        <f aca="false">IF(A196="","",IFERROR(INDEX(Execuções!$E$2:$E$97,MATCH(A196,Execuções!$A$2:$A$97,0)),"ID?"))</f>
        <v/>
      </c>
      <c r="E196" s="11" t="str">
        <f aca="false">IF(A196="","",IFERROR(INDEX(Execuções!$F$2:$F$97,MATCH(A196,Execuções!$A$2:$A$97,0)),"ID?"))</f>
        <v/>
      </c>
      <c r="F196" s="13"/>
      <c r="G196" s="13"/>
    </row>
    <row r="197" customFormat="false" ht="15" hidden="false" customHeight="false" outlineLevel="0" collapsed="false">
      <c r="A197" s="14"/>
      <c r="B197" s="14"/>
      <c r="C197" s="11" t="str">
        <f aca="false">IF(OR(A197="",B197=""),"",A197&amp;"-"&amp;TEXT(B197,"00"))</f>
        <v/>
      </c>
      <c r="D197" s="11" t="str">
        <f aca="false">IF(A197="","",IFERROR(INDEX(Execuções!$E$2:$E$97,MATCH(A197,Execuções!$A$2:$A$97,0)),"ID?"))</f>
        <v/>
      </c>
      <c r="E197" s="11" t="str">
        <f aca="false">IF(A197="","",IFERROR(INDEX(Execuções!$F$2:$F$97,MATCH(A197,Execuções!$A$2:$A$97,0)),"ID?"))</f>
        <v/>
      </c>
      <c r="F197" s="13"/>
      <c r="G197" s="13"/>
    </row>
    <row r="198" customFormat="false" ht="15" hidden="false" customHeight="false" outlineLevel="0" collapsed="false">
      <c r="A198" s="14"/>
      <c r="B198" s="14"/>
      <c r="C198" s="11" t="str">
        <f aca="false">IF(OR(A198="",B198=""),"",A198&amp;"-"&amp;TEXT(B198,"00"))</f>
        <v/>
      </c>
      <c r="D198" s="11" t="str">
        <f aca="false">IF(A198="","",IFERROR(INDEX(Execuções!$E$2:$E$97,MATCH(A198,Execuções!$A$2:$A$97,0)),"ID?"))</f>
        <v/>
      </c>
      <c r="E198" s="11" t="str">
        <f aca="false">IF(A198="","",IFERROR(INDEX(Execuções!$F$2:$F$97,MATCH(A198,Execuções!$A$2:$A$97,0)),"ID?"))</f>
        <v/>
      </c>
      <c r="F198" s="13"/>
      <c r="G198" s="13"/>
    </row>
    <row r="199" customFormat="false" ht="15" hidden="false" customHeight="false" outlineLevel="0" collapsed="false">
      <c r="A199" s="14"/>
      <c r="B199" s="14"/>
      <c r="C199" s="11" t="str">
        <f aca="false">IF(OR(A199="",B199=""),"",A199&amp;"-"&amp;TEXT(B199,"00"))</f>
        <v/>
      </c>
      <c r="D199" s="11" t="str">
        <f aca="false">IF(A199="","",IFERROR(INDEX(Execuções!$E$2:$E$97,MATCH(A199,Execuções!$A$2:$A$97,0)),"ID?"))</f>
        <v/>
      </c>
      <c r="E199" s="11" t="str">
        <f aca="false">IF(A199="","",IFERROR(INDEX(Execuções!$F$2:$F$97,MATCH(A199,Execuções!$A$2:$A$97,0)),"ID?"))</f>
        <v/>
      </c>
      <c r="F199" s="13"/>
      <c r="G199" s="13"/>
    </row>
    <row r="200" customFormat="false" ht="15" hidden="false" customHeight="false" outlineLevel="0" collapsed="false">
      <c r="A200" s="14"/>
      <c r="B200" s="14"/>
      <c r="C200" s="11" t="str">
        <f aca="false">IF(OR(A200="",B200=""),"",A200&amp;"-"&amp;TEXT(B200,"00"))</f>
        <v/>
      </c>
      <c r="D200" s="11" t="str">
        <f aca="false">IF(A200="","",IFERROR(INDEX(Execuções!$E$2:$E$97,MATCH(A200,Execuções!$A$2:$A$97,0)),"ID?"))</f>
        <v/>
      </c>
      <c r="E200" s="11" t="str">
        <f aca="false">IF(A200="","",IFERROR(INDEX(Execuções!$F$2:$F$97,MATCH(A200,Execuções!$A$2:$A$97,0)),"ID?"))</f>
        <v/>
      </c>
      <c r="F200" s="13"/>
      <c r="G200" s="13"/>
    </row>
    <row r="201" customFormat="false" ht="15" hidden="false" customHeight="false" outlineLevel="0" collapsed="false">
      <c r="A201" s="14"/>
      <c r="B201" s="14"/>
      <c r="C201" s="11" t="str">
        <f aca="false">IF(OR(A201="",B201=""),"",A201&amp;"-"&amp;TEXT(B201,"00"))</f>
        <v/>
      </c>
      <c r="D201" s="11" t="str">
        <f aca="false">IF(A201="","",IFERROR(INDEX(Execuções!$E$2:$E$97,MATCH(A201,Execuções!$A$2:$A$97,0)),"ID?"))</f>
        <v/>
      </c>
      <c r="E201" s="11" t="str">
        <f aca="false">IF(A201="","",IFERROR(INDEX(Execuções!$F$2:$F$97,MATCH(A201,Execuções!$A$2:$A$97,0)),"ID?"))</f>
        <v/>
      </c>
      <c r="F201" s="13"/>
      <c r="G201" s="13"/>
    </row>
    <row r="202" customFormat="false" ht="15" hidden="false" customHeight="false" outlineLevel="0" collapsed="false">
      <c r="A202" s="14"/>
      <c r="B202" s="14"/>
      <c r="C202" s="11" t="str">
        <f aca="false">IF(OR(A202="",B202=""),"",A202&amp;"-"&amp;TEXT(B202,"00"))</f>
        <v/>
      </c>
      <c r="D202" s="11" t="str">
        <f aca="false">IF(A202="","",IFERROR(INDEX(Execuções!$E$2:$E$97,MATCH(A202,Execuções!$A$2:$A$97,0)),"ID?"))</f>
        <v/>
      </c>
      <c r="E202" s="11" t="str">
        <f aca="false">IF(A202="","",IFERROR(INDEX(Execuções!$F$2:$F$97,MATCH(A202,Execuções!$A$2:$A$97,0)),"ID?"))</f>
        <v/>
      </c>
      <c r="F202" s="13"/>
      <c r="G202" s="13"/>
    </row>
    <row r="203" customFormat="false" ht="15" hidden="false" customHeight="false" outlineLevel="0" collapsed="false">
      <c r="A203" s="14"/>
      <c r="B203" s="14"/>
      <c r="C203" s="11" t="str">
        <f aca="false">IF(OR(A203="",B203=""),"",A203&amp;"-"&amp;TEXT(B203,"00"))</f>
        <v/>
      </c>
      <c r="D203" s="11" t="str">
        <f aca="false">IF(A203="","",IFERROR(INDEX(Execuções!$E$2:$E$97,MATCH(A203,Execuções!$A$2:$A$97,0)),"ID?"))</f>
        <v/>
      </c>
      <c r="E203" s="11" t="str">
        <f aca="false">IF(A203="","",IFERROR(INDEX(Execuções!$F$2:$F$97,MATCH(A203,Execuções!$A$2:$A$97,0)),"ID?"))</f>
        <v/>
      </c>
      <c r="F203" s="13"/>
      <c r="G203" s="13"/>
    </row>
    <row r="204" customFormat="false" ht="15" hidden="false" customHeight="false" outlineLevel="0" collapsed="false">
      <c r="A204" s="14"/>
      <c r="B204" s="14"/>
      <c r="C204" s="11" t="str">
        <f aca="false">IF(OR(A204="",B204=""),"",A204&amp;"-"&amp;TEXT(B204,"00"))</f>
        <v/>
      </c>
      <c r="D204" s="11" t="str">
        <f aca="false">IF(A204="","",IFERROR(INDEX(Execuções!$E$2:$E$97,MATCH(A204,Execuções!$A$2:$A$97,0)),"ID?"))</f>
        <v/>
      </c>
      <c r="E204" s="11" t="str">
        <f aca="false">IF(A204="","",IFERROR(INDEX(Execuções!$F$2:$F$97,MATCH(A204,Execuções!$A$2:$A$97,0)),"ID?"))</f>
        <v/>
      </c>
      <c r="F204" s="13"/>
      <c r="G204" s="13"/>
    </row>
    <row r="205" customFormat="false" ht="15" hidden="false" customHeight="false" outlineLevel="0" collapsed="false">
      <c r="A205" s="14"/>
      <c r="B205" s="14"/>
      <c r="C205" s="11" t="str">
        <f aca="false">IF(OR(A205="",B205=""),"",A205&amp;"-"&amp;TEXT(B205,"00"))</f>
        <v/>
      </c>
      <c r="D205" s="11" t="str">
        <f aca="false">IF(A205="","",IFERROR(INDEX(Execuções!$E$2:$E$97,MATCH(A205,Execuções!$A$2:$A$97,0)),"ID?"))</f>
        <v/>
      </c>
      <c r="E205" s="11" t="str">
        <f aca="false">IF(A205="","",IFERROR(INDEX(Execuções!$F$2:$F$97,MATCH(A205,Execuções!$A$2:$A$97,0)),"ID?"))</f>
        <v/>
      </c>
      <c r="F205" s="13"/>
      <c r="G205" s="13"/>
    </row>
    <row r="206" customFormat="false" ht="15" hidden="false" customHeight="false" outlineLevel="0" collapsed="false">
      <c r="A206" s="14"/>
      <c r="B206" s="14"/>
      <c r="C206" s="11" t="str">
        <f aca="false">IF(OR(A206="",B206=""),"",A206&amp;"-"&amp;TEXT(B206,"00"))</f>
        <v/>
      </c>
      <c r="D206" s="11" t="str">
        <f aca="false">IF(A206="","",IFERROR(INDEX(Execuções!$E$2:$E$97,MATCH(A206,Execuções!$A$2:$A$97,0)),"ID?"))</f>
        <v/>
      </c>
      <c r="E206" s="11" t="str">
        <f aca="false">IF(A206="","",IFERROR(INDEX(Execuções!$F$2:$F$97,MATCH(A206,Execuções!$A$2:$A$97,0)),"ID?"))</f>
        <v/>
      </c>
      <c r="F206" s="13"/>
      <c r="G206" s="13"/>
    </row>
    <row r="207" customFormat="false" ht="15" hidden="false" customHeight="false" outlineLevel="0" collapsed="false">
      <c r="A207" s="14"/>
      <c r="B207" s="14"/>
      <c r="C207" s="11" t="str">
        <f aca="false">IF(OR(A207="",B207=""),"",A207&amp;"-"&amp;TEXT(B207,"00"))</f>
        <v/>
      </c>
      <c r="D207" s="11" t="str">
        <f aca="false">IF(A207="","",IFERROR(INDEX(Execuções!$E$2:$E$97,MATCH(A207,Execuções!$A$2:$A$97,0)),"ID?"))</f>
        <v/>
      </c>
      <c r="E207" s="11" t="str">
        <f aca="false">IF(A207="","",IFERROR(INDEX(Execuções!$F$2:$F$97,MATCH(A207,Execuções!$A$2:$A$97,0)),"ID?"))</f>
        <v/>
      </c>
      <c r="F207" s="13"/>
      <c r="G207" s="13"/>
    </row>
    <row r="208" customFormat="false" ht="15" hidden="false" customHeight="false" outlineLevel="0" collapsed="false">
      <c r="A208" s="14"/>
      <c r="B208" s="14"/>
      <c r="C208" s="11" t="str">
        <f aca="false">IF(OR(A208="",B208=""),"",A208&amp;"-"&amp;TEXT(B208,"00"))</f>
        <v/>
      </c>
      <c r="D208" s="11" t="str">
        <f aca="false">IF(A208="","",IFERROR(INDEX(Execuções!$E$2:$E$97,MATCH(A208,Execuções!$A$2:$A$97,0)),"ID?"))</f>
        <v/>
      </c>
      <c r="E208" s="11" t="str">
        <f aca="false">IF(A208="","",IFERROR(INDEX(Execuções!$F$2:$F$97,MATCH(A208,Execuções!$A$2:$A$97,0)),"ID?"))</f>
        <v/>
      </c>
      <c r="F208" s="13"/>
      <c r="G208" s="13"/>
    </row>
    <row r="209" customFormat="false" ht="15" hidden="false" customHeight="false" outlineLevel="0" collapsed="false">
      <c r="A209" s="14"/>
      <c r="B209" s="14"/>
      <c r="C209" s="11" t="str">
        <f aca="false">IF(OR(A209="",B209=""),"",A209&amp;"-"&amp;TEXT(B209,"00"))</f>
        <v/>
      </c>
      <c r="D209" s="11" t="str">
        <f aca="false">IF(A209="","",IFERROR(INDEX(Execuções!$E$2:$E$97,MATCH(A209,Execuções!$A$2:$A$97,0)),"ID?"))</f>
        <v/>
      </c>
      <c r="E209" s="11" t="str">
        <f aca="false">IF(A209="","",IFERROR(INDEX(Execuções!$F$2:$F$97,MATCH(A209,Execuções!$A$2:$A$97,0)),"ID?"))</f>
        <v/>
      </c>
      <c r="F209" s="13"/>
      <c r="G209" s="13"/>
    </row>
    <row r="210" customFormat="false" ht="15" hidden="false" customHeight="false" outlineLevel="0" collapsed="false">
      <c r="A210" s="14"/>
      <c r="B210" s="14"/>
      <c r="C210" s="11" t="str">
        <f aca="false">IF(OR(A210="",B210=""),"",A210&amp;"-"&amp;TEXT(B210,"00"))</f>
        <v/>
      </c>
      <c r="D210" s="11" t="str">
        <f aca="false">IF(A210="","",IFERROR(INDEX(Execuções!$E$2:$E$97,MATCH(A210,Execuções!$A$2:$A$97,0)),"ID?"))</f>
        <v/>
      </c>
      <c r="E210" s="11" t="str">
        <f aca="false">IF(A210="","",IFERROR(INDEX(Execuções!$F$2:$F$97,MATCH(A210,Execuções!$A$2:$A$97,0)),"ID?"))</f>
        <v/>
      </c>
      <c r="F210" s="13"/>
      <c r="G210" s="13"/>
    </row>
    <row r="211" customFormat="false" ht="15" hidden="false" customHeight="false" outlineLevel="0" collapsed="false">
      <c r="A211" s="14"/>
      <c r="B211" s="14"/>
      <c r="C211" s="11" t="str">
        <f aca="false">IF(OR(A211="",B211=""),"",A211&amp;"-"&amp;TEXT(B211,"00"))</f>
        <v/>
      </c>
      <c r="D211" s="11" t="str">
        <f aca="false">IF(A211="","",IFERROR(INDEX(Execuções!$E$2:$E$97,MATCH(A211,Execuções!$A$2:$A$97,0)),"ID?"))</f>
        <v/>
      </c>
      <c r="E211" s="11" t="str">
        <f aca="false">IF(A211="","",IFERROR(INDEX(Execuções!$F$2:$F$97,MATCH(A211,Execuções!$A$2:$A$97,0)),"ID?"))</f>
        <v/>
      </c>
      <c r="F211" s="13"/>
      <c r="G211" s="13"/>
    </row>
    <row r="212" customFormat="false" ht="15" hidden="false" customHeight="false" outlineLevel="0" collapsed="false">
      <c r="A212" s="14"/>
      <c r="B212" s="14"/>
      <c r="C212" s="11" t="str">
        <f aca="false">IF(OR(A212="",B212=""),"",A212&amp;"-"&amp;TEXT(B212,"00"))</f>
        <v/>
      </c>
      <c r="D212" s="11" t="str">
        <f aca="false">IF(A212="","",IFERROR(INDEX(Execuções!$E$2:$E$97,MATCH(A212,Execuções!$A$2:$A$97,0)),"ID?"))</f>
        <v/>
      </c>
      <c r="E212" s="11" t="str">
        <f aca="false">IF(A212="","",IFERROR(INDEX(Execuções!$F$2:$F$97,MATCH(A212,Execuções!$A$2:$A$97,0)),"ID?"))</f>
        <v/>
      </c>
      <c r="F212" s="13"/>
      <c r="G212" s="13"/>
    </row>
    <row r="213" customFormat="false" ht="15" hidden="false" customHeight="false" outlineLevel="0" collapsed="false">
      <c r="A213" s="14"/>
      <c r="B213" s="14"/>
      <c r="C213" s="11" t="str">
        <f aca="false">IF(OR(A213="",B213=""),"",A213&amp;"-"&amp;TEXT(B213,"00"))</f>
        <v/>
      </c>
      <c r="D213" s="11" t="str">
        <f aca="false">IF(A213="","",IFERROR(INDEX(Execuções!$E$2:$E$97,MATCH(A213,Execuções!$A$2:$A$97,0)),"ID?"))</f>
        <v/>
      </c>
      <c r="E213" s="11" t="str">
        <f aca="false">IF(A213="","",IFERROR(INDEX(Execuções!$F$2:$F$97,MATCH(A213,Execuções!$A$2:$A$97,0)),"ID?"))</f>
        <v/>
      </c>
      <c r="F213" s="13"/>
      <c r="G213" s="13"/>
    </row>
    <row r="214" customFormat="false" ht="15" hidden="false" customHeight="false" outlineLevel="0" collapsed="false">
      <c r="A214" s="14"/>
      <c r="B214" s="14"/>
      <c r="C214" s="11" t="str">
        <f aca="false">IF(OR(A214="",B214=""),"",A214&amp;"-"&amp;TEXT(B214,"00"))</f>
        <v/>
      </c>
      <c r="D214" s="11" t="str">
        <f aca="false">IF(A214="","",IFERROR(INDEX(Execuções!$E$2:$E$97,MATCH(A214,Execuções!$A$2:$A$97,0)),"ID?"))</f>
        <v/>
      </c>
      <c r="E214" s="11" t="str">
        <f aca="false">IF(A214="","",IFERROR(INDEX(Execuções!$F$2:$F$97,MATCH(A214,Execuções!$A$2:$A$97,0)),"ID?"))</f>
        <v/>
      </c>
      <c r="F214" s="13"/>
      <c r="G214" s="13"/>
    </row>
    <row r="215" customFormat="false" ht="15" hidden="false" customHeight="false" outlineLevel="0" collapsed="false">
      <c r="A215" s="14"/>
      <c r="B215" s="14"/>
      <c r="C215" s="11" t="str">
        <f aca="false">IF(OR(A215="",B215=""),"",A215&amp;"-"&amp;TEXT(B215,"00"))</f>
        <v/>
      </c>
      <c r="D215" s="11" t="str">
        <f aca="false">IF(A215="","",IFERROR(INDEX(Execuções!$E$2:$E$97,MATCH(A215,Execuções!$A$2:$A$97,0)),"ID?"))</f>
        <v/>
      </c>
      <c r="E215" s="11" t="str">
        <f aca="false">IF(A215="","",IFERROR(INDEX(Execuções!$F$2:$F$97,MATCH(A215,Execuções!$A$2:$A$97,0)),"ID?"))</f>
        <v/>
      </c>
      <c r="F215" s="13"/>
      <c r="G215" s="13"/>
    </row>
    <row r="216" customFormat="false" ht="15" hidden="false" customHeight="false" outlineLevel="0" collapsed="false">
      <c r="A216" s="14"/>
      <c r="B216" s="14"/>
      <c r="C216" s="11" t="str">
        <f aca="false">IF(OR(A216="",B216=""),"",A216&amp;"-"&amp;TEXT(B216,"00"))</f>
        <v/>
      </c>
      <c r="D216" s="11" t="str">
        <f aca="false">IF(A216="","",IFERROR(INDEX(Execuções!$E$2:$E$97,MATCH(A216,Execuções!$A$2:$A$97,0)),"ID?"))</f>
        <v/>
      </c>
      <c r="E216" s="11" t="str">
        <f aca="false">IF(A216="","",IFERROR(INDEX(Execuções!$F$2:$F$97,MATCH(A216,Execuções!$A$2:$A$97,0)),"ID?"))</f>
        <v/>
      </c>
      <c r="F216" s="13"/>
      <c r="G216" s="13"/>
    </row>
    <row r="217" customFormat="false" ht="15" hidden="false" customHeight="false" outlineLevel="0" collapsed="false">
      <c r="A217" s="14"/>
      <c r="B217" s="14"/>
      <c r="C217" s="11" t="str">
        <f aca="false">IF(OR(A217="",B217=""),"",A217&amp;"-"&amp;TEXT(B217,"00"))</f>
        <v/>
      </c>
      <c r="D217" s="11" t="str">
        <f aca="false">IF(A217="","",IFERROR(INDEX(Execuções!$E$2:$E$97,MATCH(A217,Execuções!$A$2:$A$97,0)),"ID?"))</f>
        <v/>
      </c>
      <c r="E217" s="11" t="str">
        <f aca="false">IF(A217="","",IFERROR(INDEX(Execuções!$F$2:$F$97,MATCH(A217,Execuções!$A$2:$A$97,0)),"ID?"))</f>
        <v/>
      </c>
      <c r="F217" s="13"/>
      <c r="G217" s="13"/>
    </row>
    <row r="218" customFormat="false" ht="15" hidden="false" customHeight="false" outlineLevel="0" collapsed="false">
      <c r="A218" s="14"/>
      <c r="B218" s="14"/>
      <c r="C218" s="11" t="str">
        <f aca="false">IF(OR(A218="",B218=""),"",A218&amp;"-"&amp;TEXT(B218,"00"))</f>
        <v/>
      </c>
      <c r="D218" s="11" t="str">
        <f aca="false">IF(A218="","",IFERROR(INDEX(Execuções!$E$2:$E$97,MATCH(A218,Execuções!$A$2:$A$97,0)),"ID?"))</f>
        <v/>
      </c>
      <c r="E218" s="11" t="str">
        <f aca="false">IF(A218="","",IFERROR(INDEX(Execuções!$F$2:$F$97,MATCH(A218,Execuções!$A$2:$A$97,0)),"ID?"))</f>
        <v/>
      </c>
      <c r="F218" s="13"/>
      <c r="G218" s="13"/>
    </row>
    <row r="219" customFormat="false" ht="15" hidden="false" customHeight="false" outlineLevel="0" collapsed="false">
      <c r="A219" s="14"/>
      <c r="B219" s="14"/>
      <c r="C219" s="11" t="str">
        <f aca="false">IF(OR(A219="",B219=""),"",A219&amp;"-"&amp;TEXT(B219,"00"))</f>
        <v/>
      </c>
      <c r="D219" s="11" t="str">
        <f aca="false">IF(A219="","",IFERROR(INDEX(Execuções!$E$2:$E$97,MATCH(A219,Execuções!$A$2:$A$97,0)),"ID?"))</f>
        <v/>
      </c>
      <c r="E219" s="11" t="str">
        <f aca="false">IF(A219="","",IFERROR(INDEX(Execuções!$F$2:$F$97,MATCH(A219,Execuções!$A$2:$A$97,0)),"ID?"))</f>
        <v/>
      </c>
      <c r="F219" s="13"/>
      <c r="G219" s="13"/>
    </row>
    <row r="220" customFormat="false" ht="15" hidden="false" customHeight="false" outlineLevel="0" collapsed="false">
      <c r="A220" s="14"/>
      <c r="B220" s="14"/>
      <c r="C220" s="11" t="str">
        <f aca="false">IF(OR(A220="",B220=""),"",A220&amp;"-"&amp;TEXT(B220,"00"))</f>
        <v/>
      </c>
      <c r="D220" s="11" t="str">
        <f aca="false">IF(A220="","",IFERROR(INDEX(Execuções!$E$2:$E$97,MATCH(A220,Execuções!$A$2:$A$97,0)),"ID?"))</f>
        <v/>
      </c>
      <c r="E220" s="11" t="str">
        <f aca="false">IF(A220="","",IFERROR(INDEX(Execuções!$F$2:$F$97,MATCH(A220,Execuções!$A$2:$A$97,0)),"ID?"))</f>
        <v/>
      </c>
      <c r="F220" s="13"/>
      <c r="G220" s="13"/>
    </row>
    <row r="221" customFormat="false" ht="15" hidden="false" customHeight="false" outlineLevel="0" collapsed="false">
      <c r="A221" s="14"/>
      <c r="B221" s="14"/>
      <c r="C221" s="11" t="str">
        <f aca="false">IF(OR(A221="",B221=""),"",A221&amp;"-"&amp;TEXT(B221,"00"))</f>
        <v/>
      </c>
      <c r="D221" s="11" t="str">
        <f aca="false">IF(A221="","",IFERROR(INDEX(Execuções!$E$2:$E$97,MATCH(A221,Execuções!$A$2:$A$97,0)),"ID?"))</f>
        <v/>
      </c>
      <c r="E221" s="11" t="str">
        <f aca="false">IF(A221="","",IFERROR(INDEX(Execuções!$F$2:$F$97,MATCH(A221,Execuções!$A$2:$A$97,0)),"ID?"))</f>
        <v/>
      </c>
      <c r="F221" s="13"/>
      <c r="G221" s="13"/>
    </row>
    <row r="222" customFormat="false" ht="15" hidden="false" customHeight="false" outlineLevel="0" collapsed="false">
      <c r="A222" s="14"/>
      <c r="B222" s="14"/>
      <c r="C222" s="11" t="str">
        <f aca="false">IF(OR(A222="",B222=""),"",A222&amp;"-"&amp;TEXT(B222,"00"))</f>
        <v/>
      </c>
      <c r="D222" s="11" t="str">
        <f aca="false">IF(A222="","",IFERROR(INDEX(Execuções!$E$2:$E$97,MATCH(A222,Execuções!$A$2:$A$97,0)),"ID?"))</f>
        <v/>
      </c>
      <c r="E222" s="11" t="str">
        <f aca="false">IF(A222="","",IFERROR(INDEX(Execuções!$F$2:$F$97,MATCH(A222,Execuções!$A$2:$A$97,0)),"ID?"))</f>
        <v/>
      </c>
      <c r="F222" s="13"/>
      <c r="G222" s="13"/>
    </row>
    <row r="223" customFormat="false" ht="15" hidden="false" customHeight="false" outlineLevel="0" collapsed="false">
      <c r="A223" s="14"/>
      <c r="B223" s="14"/>
      <c r="C223" s="11" t="str">
        <f aca="false">IF(OR(A223="",B223=""),"",A223&amp;"-"&amp;TEXT(B223,"00"))</f>
        <v/>
      </c>
      <c r="D223" s="11" t="str">
        <f aca="false">IF(A223="","",IFERROR(INDEX(Execuções!$E$2:$E$97,MATCH(A223,Execuções!$A$2:$A$97,0)),"ID?"))</f>
        <v/>
      </c>
      <c r="E223" s="11" t="str">
        <f aca="false">IF(A223="","",IFERROR(INDEX(Execuções!$F$2:$F$97,MATCH(A223,Execuções!$A$2:$A$97,0)),"ID?"))</f>
        <v/>
      </c>
      <c r="F223" s="13"/>
      <c r="G223" s="13"/>
    </row>
    <row r="224" customFormat="false" ht="15" hidden="false" customHeight="false" outlineLevel="0" collapsed="false">
      <c r="A224" s="14"/>
      <c r="B224" s="14"/>
      <c r="C224" s="11" t="str">
        <f aca="false">IF(OR(A224="",B224=""),"",A224&amp;"-"&amp;TEXT(B224,"00"))</f>
        <v/>
      </c>
      <c r="D224" s="11" t="str">
        <f aca="false">IF(A224="","",IFERROR(INDEX(Execuções!$E$2:$E$97,MATCH(A224,Execuções!$A$2:$A$97,0)),"ID?"))</f>
        <v/>
      </c>
      <c r="E224" s="11" t="str">
        <f aca="false">IF(A224="","",IFERROR(INDEX(Execuções!$F$2:$F$97,MATCH(A224,Execuções!$A$2:$A$97,0)),"ID?"))</f>
        <v/>
      </c>
      <c r="F224" s="13"/>
      <c r="G224" s="13"/>
    </row>
    <row r="225" customFormat="false" ht="15" hidden="false" customHeight="false" outlineLevel="0" collapsed="false">
      <c r="A225" s="14"/>
      <c r="B225" s="14"/>
      <c r="C225" s="11" t="str">
        <f aca="false">IF(OR(A225="",B225=""),"",A225&amp;"-"&amp;TEXT(B225,"00"))</f>
        <v/>
      </c>
      <c r="D225" s="11" t="str">
        <f aca="false">IF(A225="","",IFERROR(INDEX(Execuções!$E$2:$E$97,MATCH(A225,Execuções!$A$2:$A$97,0)),"ID?"))</f>
        <v/>
      </c>
      <c r="E225" s="11" t="str">
        <f aca="false">IF(A225="","",IFERROR(INDEX(Execuções!$F$2:$F$97,MATCH(A225,Execuções!$A$2:$A$97,0)),"ID?"))</f>
        <v/>
      </c>
      <c r="F225" s="13"/>
      <c r="G225" s="13"/>
    </row>
    <row r="226" customFormat="false" ht="15" hidden="false" customHeight="false" outlineLevel="0" collapsed="false">
      <c r="A226" s="14"/>
      <c r="B226" s="14"/>
      <c r="C226" s="11" t="str">
        <f aca="false">IF(OR(A226="",B226=""),"",A226&amp;"-"&amp;TEXT(B226,"00"))</f>
        <v/>
      </c>
      <c r="D226" s="11" t="str">
        <f aca="false">IF(A226="","",IFERROR(INDEX(Execuções!$E$2:$E$97,MATCH(A226,Execuções!$A$2:$A$97,0)),"ID?"))</f>
        <v/>
      </c>
      <c r="E226" s="11" t="str">
        <f aca="false">IF(A226="","",IFERROR(INDEX(Execuções!$F$2:$F$97,MATCH(A226,Execuções!$A$2:$A$97,0)),"ID?"))</f>
        <v/>
      </c>
      <c r="F226" s="13"/>
      <c r="G226" s="13"/>
    </row>
    <row r="227" customFormat="false" ht="15" hidden="false" customHeight="false" outlineLevel="0" collapsed="false">
      <c r="A227" s="14"/>
      <c r="B227" s="14"/>
      <c r="C227" s="11" t="str">
        <f aca="false">IF(OR(A227="",B227=""),"",A227&amp;"-"&amp;TEXT(B227,"00"))</f>
        <v/>
      </c>
      <c r="D227" s="11" t="str">
        <f aca="false">IF(A227="","",IFERROR(INDEX(Execuções!$E$2:$E$97,MATCH(A227,Execuções!$A$2:$A$97,0)),"ID?"))</f>
        <v/>
      </c>
      <c r="E227" s="11" t="str">
        <f aca="false">IF(A227="","",IFERROR(INDEX(Execuções!$F$2:$F$97,MATCH(A227,Execuções!$A$2:$A$97,0)),"ID?"))</f>
        <v/>
      </c>
      <c r="F227" s="13"/>
      <c r="G227" s="13"/>
    </row>
    <row r="228" customFormat="false" ht="15" hidden="false" customHeight="false" outlineLevel="0" collapsed="false">
      <c r="A228" s="14"/>
      <c r="B228" s="14"/>
      <c r="C228" s="11" t="str">
        <f aca="false">IF(OR(A228="",B228=""),"",A228&amp;"-"&amp;TEXT(B228,"00"))</f>
        <v/>
      </c>
      <c r="D228" s="11" t="str">
        <f aca="false">IF(A228="","",IFERROR(INDEX(Execuções!$E$2:$E$97,MATCH(A228,Execuções!$A$2:$A$97,0)),"ID?"))</f>
        <v/>
      </c>
      <c r="E228" s="11" t="str">
        <f aca="false">IF(A228="","",IFERROR(INDEX(Execuções!$F$2:$F$97,MATCH(A228,Execuções!$A$2:$A$97,0)),"ID?"))</f>
        <v/>
      </c>
      <c r="F228" s="13"/>
      <c r="G228" s="13"/>
    </row>
    <row r="229" customFormat="false" ht="15" hidden="false" customHeight="false" outlineLevel="0" collapsed="false">
      <c r="A229" s="14"/>
      <c r="B229" s="14"/>
      <c r="C229" s="11" t="str">
        <f aca="false">IF(OR(A229="",B229=""),"",A229&amp;"-"&amp;TEXT(B229,"00"))</f>
        <v/>
      </c>
      <c r="D229" s="11" t="str">
        <f aca="false">IF(A229="","",IFERROR(INDEX(Execuções!$E$2:$E$97,MATCH(A229,Execuções!$A$2:$A$97,0)),"ID?"))</f>
        <v/>
      </c>
      <c r="E229" s="11" t="str">
        <f aca="false">IF(A229="","",IFERROR(INDEX(Execuções!$F$2:$F$97,MATCH(A229,Execuções!$A$2:$A$97,0)),"ID?"))</f>
        <v/>
      </c>
      <c r="F229" s="13"/>
      <c r="G229" s="13"/>
    </row>
    <row r="230" customFormat="false" ht="15" hidden="false" customHeight="false" outlineLevel="0" collapsed="false">
      <c r="A230" s="14"/>
      <c r="B230" s="14"/>
      <c r="C230" s="11" t="str">
        <f aca="false">IF(OR(A230="",B230=""),"",A230&amp;"-"&amp;TEXT(B230,"00"))</f>
        <v/>
      </c>
      <c r="D230" s="11" t="str">
        <f aca="false">IF(A230="","",IFERROR(INDEX(Execuções!$E$2:$E$97,MATCH(A230,Execuções!$A$2:$A$97,0)),"ID?"))</f>
        <v/>
      </c>
      <c r="E230" s="11" t="str">
        <f aca="false">IF(A230="","",IFERROR(INDEX(Execuções!$F$2:$F$97,MATCH(A230,Execuções!$A$2:$A$97,0)),"ID?"))</f>
        <v/>
      </c>
      <c r="F230" s="13"/>
      <c r="G230" s="13"/>
    </row>
    <row r="231" customFormat="false" ht="15" hidden="false" customHeight="false" outlineLevel="0" collapsed="false">
      <c r="A231" s="14"/>
      <c r="B231" s="14"/>
      <c r="C231" s="11" t="str">
        <f aca="false">IF(OR(A231="",B231=""),"",A231&amp;"-"&amp;TEXT(B231,"00"))</f>
        <v/>
      </c>
      <c r="D231" s="11" t="str">
        <f aca="false">IF(A231="","",IFERROR(INDEX(Execuções!$E$2:$E$97,MATCH(A231,Execuções!$A$2:$A$97,0)),"ID?"))</f>
        <v/>
      </c>
      <c r="E231" s="11" t="str">
        <f aca="false">IF(A231="","",IFERROR(INDEX(Execuções!$F$2:$F$97,MATCH(A231,Execuções!$A$2:$A$97,0)),"ID?"))</f>
        <v/>
      </c>
      <c r="F231" s="13"/>
      <c r="G231" s="13"/>
    </row>
    <row r="232" customFormat="false" ht="15" hidden="false" customHeight="false" outlineLevel="0" collapsed="false">
      <c r="A232" s="14"/>
      <c r="B232" s="14"/>
      <c r="C232" s="11" t="str">
        <f aca="false">IF(OR(A232="",B232=""),"",A232&amp;"-"&amp;TEXT(B232,"00"))</f>
        <v/>
      </c>
      <c r="D232" s="11" t="str">
        <f aca="false">IF(A232="","",IFERROR(INDEX(Execuções!$E$2:$E$97,MATCH(A232,Execuções!$A$2:$A$97,0)),"ID?"))</f>
        <v/>
      </c>
      <c r="E232" s="11" t="str">
        <f aca="false">IF(A232="","",IFERROR(INDEX(Execuções!$F$2:$F$97,MATCH(A232,Execuções!$A$2:$A$97,0)),"ID?"))</f>
        <v/>
      </c>
      <c r="F232" s="13"/>
      <c r="G232" s="13"/>
    </row>
    <row r="233" customFormat="false" ht="15" hidden="false" customHeight="false" outlineLevel="0" collapsed="false">
      <c r="A233" s="14"/>
      <c r="B233" s="14"/>
      <c r="C233" s="11" t="str">
        <f aca="false">IF(OR(A233="",B233=""),"",A233&amp;"-"&amp;TEXT(B233,"00"))</f>
        <v/>
      </c>
      <c r="D233" s="11" t="str">
        <f aca="false">IF(A233="","",IFERROR(INDEX(Execuções!$E$2:$E$97,MATCH(A233,Execuções!$A$2:$A$97,0)),"ID?"))</f>
        <v/>
      </c>
      <c r="E233" s="11" t="str">
        <f aca="false">IF(A233="","",IFERROR(INDEX(Execuções!$F$2:$F$97,MATCH(A233,Execuções!$A$2:$A$97,0)),"ID?"))</f>
        <v/>
      </c>
      <c r="F233" s="13"/>
      <c r="G233" s="13"/>
    </row>
    <row r="234" customFormat="false" ht="15" hidden="false" customHeight="false" outlineLevel="0" collapsed="false">
      <c r="A234" s="14"/>
      <c r="B234" s="14"/>
      <c r="C234" s="11" t="str">
        <f aca="false">IF(OR(A234="",B234=""),"",A234&amp;"-"&amp;TEXT(B234,"00"))</f>
        <v/>
      </c>
      <c r="D234" s="11" t="str">
        <f aca="false">IF(A234="","",IFERROR(INDEX(Execuções!$E$2:$E$97,MATCH(A234,Execuções!$A$2:$A$97,0)),"ID?"))</f>
        <v/>
      </c>
      <c r="E234" s="11" t="str">
        <f aca="false">IF(A234="","",IFERROR(INDEX(Execuções!$F$2:$F$97,MATCH(A234,Execuções!$A$2:$A$97,0)),"ID?"))</f>
        <v/>
      </c>
      <c r="F234" s="13"/>
      <c r="G234" s="13"/>
    </row>
    <row r="235" customFormat="false" ht="15" hidden="false" customHeight="false" outlineLevel="0" collapsed="false">
      <c r="A235" s="14"/>
      <c r="B235" s="14"/>
      <c r="C235" s="11" t="str">
        <f aca="false">IF(OR(A235="",B235=""),"",A235&amp;"-"&amp;TEXT(B235,"00"))</f>
        <v/>
      </c>
      <c r="D235" s="11" t="str">
        <f aca="false">IF(A235="","",IFERROR(INDEX(Execuções!$E$2:$E$97,MATCH(A235,Execuções!$A$2:$A$97,0)),"ID?"))</f>
        <v/>
      </c>
      <c r="E235" s="11" t="str">
        <f aca="false">IF(A235="","",IFERROR(INDEX(Execuções!$F$2:$F$97,MATCH(A235,Execuções!$A$2:$A$97,0)),"ID?"))</f>
        <v/>
      </c>
      <c r="F235" s="13"/>
      <c r="G235" s="13"/>
    </row>
    <row r="236" customFormat="false" ht="15" hidden="false" customHeight="false" outlineLevel="0" collapsed="false">
      <c r="A236" s="14"/>
      <c r="B236" s="14"/>
      <c r="C236" s="11" t="str">
        <f aca="false">IF(OR(A236="",B236=""),"",A236&amp;"-"&amp;TEXT(B236,"00"))</f>
        <v/>
      </c>
      <c r="D236" s="11" t="str">
        <f aca="false">IF(A236="","",IFERROR(INDEX(Execuções!$E$2:$E$97,MATCH(A236,Execuções!$A$2:$A$97,0)),"ID?"))</f>
        <v/>
      </c>
      <c r="E236" s="11" t="str">
        <f aca="false">IF(A236="","",IFERROR(INDEX(Execuções!$F$2:$F$97,MATCH(A236,Execuções!$A$2:$A$97,0)),"ID?"))</f>
        <v/>
      </c>
      <c r="F236" s="13"/>
      <c r="G236" s="13"/>
    </row>
    <row r="237" customFormat="false" ht="15" hidden="false" customHeight="false" outlineLevel="0" collapsed="false">
      <c r="A237" s="14"/>
      <c r="B237" s="14"/>
      <c r="C237" s="11" t="str">
        <f aca="false">IF(OR(A237="",B237=""),"",A237&amp;"-"&amp;TEXT(B237,"00"))</f>
        <v/>
      </c>
      <c r="D237" s="11" t="str">
        <f aca="false">IF(A237="","",IFERROR(INDEX(Execuções!$E$2:$E$97,MATCH(A237,Execuções!$A$2:$A$97,0)),"ID?"))</f>
        <v/>
      </c>
      <c r="E237" s="11" t="str">
        <f aca="false">IF(A237="","",IFERROR(INDEX(Execuções!$F$2:$F$97,MATCH(A237,Execuções!$A$2:$A$97,0)),"ID?"))</f>
        <v/>
      </c>
      <c r="F237" s="13"/>
      <c r="G237" s="13"/>
    </row>
    <row r="238" customFormat="false" ht="15" hidden="false" customHeight="false" outlineLevel="0" collapsed="false">
      <c r="A238" s="14"/>
      <c r="B238" s="14"/>
      <c r="C238" s="11" t="str">
        <f aca="false">IF(OR(A238="",B238=""),"",A238&amp;"-"&amp;TEXT(B238,"00"))</f>
        <v/>
      </c>
      <c r="D238" s="11" t="str">
        <f aca="false">IF(A238="","",IFERROR(INDEX(Execuções!$E$2:$E$97,MATCH(A238,Execuções!$A$2:$A$97,0)),"ID?"))</f>
        <v/>
      </c>
      <c r="E238" s="11" t="str">
        <f aca="false">IF(A238="","",IFERROR(INDEX(Execuções!$F$2:$F$97,MATCH(A238,Execuções!$A$2:$A$97,0)),"ID?"))</f>
        <v/>
      </c>
      <c r="F238" s="13"/>
      <c r="G238" s="13"/>
    </row>
    <row r="239" customFormat="false" ht="15" hidden="false" customHeight="false" outlineLevel="0" collapsed="false">
      <c r="A239" s="14"/>
      <c r="B239" s="14"/>
      <c r="C239" s="11" t="str">
        <f aca="false">IF(OR(A239="",B239=""),"",A239&amp;"-"&amp;TEXT(B239,"00"))</f>
        <v/>
      </c>
      <c r="D239" s="11" t="str">
        <f aca="false">IF(A239="","",IFERROR(INDEX(Execuções!$E$2:$E$97,MATCH(A239,Execuções!$A$2:$A$97,0)),"ID?"))</f>
        <v/>
      </c>
      <c r="E239" s="11" t="str">
        <f aca="false">IF(A239="","",IFERROR(INDEX(Execuções!$F$2:$F$97,MATCH(A239,Execuções!$A$2:$A$97,0)),"ID?"))</f>
        <v/>
      </c>
      <c r="F239" s="13"/>
      <c r="G239" s="13"/>
    </row>
    <row r="240" customFormat="false" ht="15" hidden="false" customHeight="false" outlineLevel="0" collapsed="false">
      <c r="A240" s="14"/>
      <c r="B240" s="14"/>
      <c r="C240" s="11" t="str">
        <f aca="false">IF(OR(A240="",B240=""),"",A240&amp;"-"&amp;TEXT(B240,"00"))</f>
        <v/>
      </c>
      <c r="D240" s="11" t="str">
        <f aca="false">IF(A240="","",IFERROR(INDEX(Execuções!$E$2:$E$97,MATCH(A240,Execuções!$A$2:$A$97,0)),"ID?"))</f>
        <v/>
      </c>
      <c r="E240" s="11" t="str">
        <f aca="false">IF(A240="","",IFERROR(INDEX(Execuções!$F$2:$F$97,MATCH(A240,Execuções!$A$2:$A$97,0)),"ID?"))</f>
        <v/>
      </c>
      <c r="F240" s="13"/>
      <c r="G240" s="13"/>
    </row>
    <row r="241" customFormat="false" ht="15" hidden="false" customHeight="false" outlineLevel="0" collapsed="false">
      <c r="A241" s="14"/>
      <c r="B241" s="14"/>
      <c r="C241" s="11" t="str">
        <f aca="false">IF(OR(A241="",B241=""),"",A241&amp;"-"&amp;TEXT(B241,"00"))</f>
        <v/>
      </c>
      <c r="D241" s="11" t="str">
        <f aca="false">IF(A241="","",IFERROR(INDEX(Execuções!$E$2:$E$97,MATCH(A241,Execuções!$A$2:$A$97,0)),"ID?"))</f>
        <v/>
      </c>
      <c r="E241" s="11" t="str">
        <f aca="false">IF(A241="","",IFERROR(INDEX(Execuções!$F$2:$F$97,MATCH(A241,Execuções!$A$2:$A$97,0)),"ID?"))</f>
        <v/>
      </c>
      <c r="F241" s="13"/>
      <c r="G241" s="13"/>
    </row>
    <row r="242" customFormat="false" ht="15" hidden="false" customHeight="false" outlineLevel="0" collapsed="false">
      <c r="A242" s="14"/>
      <c r="B242" s="14"/>
      <c r="C242" s="11" t="str">
        <f aca="false">IF(OR(A242="",B242=""),"",A242&amp;"-"&amp;TEXT(B242,"00"))</f>
        <v/>
      </c>
      <c r="D242" s="11" t="str">
        <f aca="false">IF(A242="","",IFERROR(INDEX(Execuções!$E$2:$E$97,MATCH(A242,Execuções!$A$2:$A$97,0)),"ID?"))</f>
        <v/>
      </c>
      <c r="E242" s="11" t="str">
        <f aca="false">IF(A242="","",IFERROR(INDEX(Execuções!$F$2:$F$97,MATCH(A242,Execuções!$A$2:$A$97,0)),"ID?"))</f>
        <v/>
      </c>
      <c r="F242" s="13"/>
      <c r="G242" s="13"/>
    </row>
    <row r="243" customFormat="false" ht="15" hidden="false" customHeight="false" outlineLevel="0" collapsed="false">
      <c r="A243" s="14"/>
      <c r="B243" s="14"/>
      <c r="C243" s="11" t="str">
        <f aca="false">IF(OR(A243="",B243=""),"",A243&amp;"-"&amp;TEXT(B243,"00"))</f>
        <v/>
      </c>
      <c r="D243" s="11" t="str">
        <f aca="false">IF(A243="","",IFERROR(INDEX(Execuções!$E$2:$E$97,MATCH(A243,Execuções!$A$2:$A$97,0)),"ID?"))</f>
        <v/>
      </c>
      <c r="E243" s="11" t="str">
        <f aca="false">IF(A243="","",IFERROR(INDEX(Execuções!$F$2:$F$97,MATCH(A243,Execuções!$A$2:$A$97,0)),"ID?"))</f>
        <v/>
      </c>
      <c r="F243" s="13"/>
      <c r="G243" s="13"/>
    </row>
    <row r="244" customFormat="false" ht="15" hidden="false" customHeight="false" outlineLevel="0" collapsed="false">
      <c r="A244" s="14"/>
      <c r="B244" s="14"/>
      <c r="C244" s="11" t="str">
        <f aca="false">IF(OR(A244="",B244=""),"",A244&amp;"-"&amp;TEXT(B244,"00"))</f>
        <v/>
      </c>
      <c r="D244" s="11" t="str">
        <f aca="false">IF(A244="","",IFERROR(INDEX(Execuções!$E$2:$E$97,MATCH(A244,Execuções!$A$2:$A$97,0)),"ID?"))</f>
        <v/>
      </c>
      <c r="E244" s="11" t="str">
        <f aca="false">IF(A244="","",IFERROR(INDEX(Execuções!$F$2:$F$97,MATCH(A244,Execuções!$A$2:$A$97,0)),"ID?"))</f>
        <v/>
      </c>
      <c r="F244" s="13"/>
      <c r="G244" s="13"/>
    </row>
    <row r="245" customFormat="false" ht="15" hidden="false" customHeight="false" outlineLevel="0" collapsed="false">
      <c r="A245" s="14"/>
      <c r="B245" s="14"/>
      <c r="C245" s="11" t="str">
        <f aca="false">IF(OR(A245="",B245=""),"",A245&amp;"-"&amp;TEXT(B245,"00"))</f>
        <v/>
      </c>
      <c r="D245" s="11" t="str">
        <f aca="false">IF(A245="","",IFERROR(INDEX(Execuções!$E$2:$E$97,MATCH(A245,Execuções!$A$2:$A$97,0)),"ID?"))</f>
        <v/>
      </c>
      <c r="E245" s="11" t="str">
        <f aca="false">IF(A245="","",IFERROR(INDEX(Execuções!$F$2:$F$97,MATCH(A245,Execuções!$A$2:$A$97,0)),"ID?"))</f>
        <v/>
      </c>
      <c r="F245" s="13"/>
      <c r="G245" s="13"/>
    </row>
    <row r="246" customFormat="false" ht="15" hidden="false" customHeight="false" outlineLevel="0" collapsed="false">
      <c r="A246" s="14"/>
      <c r="B246" s="14"/>
      <c r="C246" s="11" t="str">
        <f aca="false">IF(OR(A246="",B246=""),"",A246&amp;"-"&amp;TEXT(B246,"00"))</f>
        <v/>
      </c>
      <c r="D246" s="11" t="str">
        <f aca="false">IF(A246="","",IFERROR(INDEX(Execuções!$E$2:$E$97,MATCH(A246,Execuções!$A$2:$A$97,0)),"ID?"))</f>
        <v/>
      </c>
      <c r="E246" s="11" t="str">
        <f aca="false">IF(A246="","",IFERROR(INDEX(Execuções!$F$2:$F$97,MATCH(A246,Execuções!$A$2:$A$97,0)),"ID?"))</f>
        <v/>
      </c>
      <c r="F246" s="13"/>
      <c r="G246" s="13"/>
    </row>
    <row r="247" customFormat="false" ht="15" hidden="false" customHeight="false" outlineLevel="0" collapsed="false">
      <c r="A247" s="14"/>
      <c r="B247" s="14"/>
      <c r="C247" s="11" t="str">
        <f aca="false">IF(OR(A247="",B247=""),"",A247&amp;"-"&amp;TEXT(B247,"00"))</f>
        <v/>
      </c>
      <c r="D247" s="11" t="str">
        <f aca="false">IF(A247="","",IFERROR(INDEX(Execuções!$E$2:$E$97,MATCH(A247,Execuções!$A$2:$A$97,0)),"ID?"))</f>
        <v/>
      </c>
      <c r="E247" s="11" t="str">
        <f aca="false">IF(A247="","",IFERROR(INDEX(Execuções!$F$2:$F$97,MATCH(A247,Execuções!$A$2:$A$97,0)),"ID?"))</f>
        <v/>
      </c>
      <c r="F247" s="13"/>
      <c r="G247" s="13"/>
    </row>
    <row r="248" customFormat="false" ht="15" hidden="false" customHeight="false" outlineLevel="0" collapsed="false">
      <c r="A248" s="14"/>
      <c r="B248" s="14"/>
      <c r="C248" s="11" t="str">
        <f aca="false">IF(OR(A248="",B248=""),"",A248&amp;"-"&amp;TEXT(B248,"00"))</f>
        <v/>
      </c>
      <c r="D248" s="11" t="str">
        <f aca="false">IF(A248="","",IFERROR(INDEX(Execuções!$E$2:$E$97,MATCH(A248,Execuções!$A$2:$A$97,0)),"ID?"))</f>
        <v/>
      </c>
      <c r="E248" s="11" t="str">
        <f aca="false">IF(A248="","",IFERROR(INDEX(Execuções!$F$2:$F$97,MATCH(A248,Execuções!$A$2:$A$97,0)),"ID?"))</f>
        <v/>
      </c>
      <c r="F248" s="13"/>
      <c r="G248" s="13"/>
    </row>
    <row r="249" customFormat="false" ht="15" hidden="false" customHeight="false" outlineLevel="0" collapsed="false">
      <c r="A249" s="14"/>
      <c r="B249" s="14"/>
      <c r="C249" s="11" t="str">
        <f aca="false">IF(OR(A249="",B249=""),"",A249&amp;"-"&amp;TEXT(B249,"00"))</f>
        <v/>
      </c>
      <c r="D249" s="11" t="str">
        <f aca="false">IF(A249="","",IFERROR(INDEX(Execuções!$E$2:$E$97,MATCH(A249,Execuções!$A$2:$A$97,0)),"ID?"))</f>
        <v/>
      </c>
      <c r="E249" s="11" t="str">
        <f aca="false">IF(A249="","",IFERROR(INDEX(Execuções!$F$2:$F$97,MATCH(A249,Execuções!$A$2:$A$97,0)),"ID?"))</f>
        <v/>
      </c>
      <c r="F249" s="13"/>
      <c r="G249" s="13"/>
    </row>
    <row r="250" customFormat="false" ht="15" hidden="false" customHeight="false" outlineLevel="0" collapsed="false">
      <c r="A250" s="14"/>
      <c r="B250" s="14"/>
      <c r="C250" s="11" t="str">
        <f aca="false">IF(OR(A250="",B250=""),"",A250&amp;"-"&amp;TEXT(B250,"00"))</f>
        <v/>
      </c>
      <c r="D250" s="11" t="str">
        <f aca="false">IF(A250="","",IFERROR(INDEX(Execuções!$E$2:$E$97,MATCH(A250,Execuções!$A$2:$A$97,0)),"ID?"))</f>
        <v/>
      </c>
      <c r="E250" s="11" t="str">
        <f aca="false">IF(A250="","",IFERROR(INDEX(Execuções!$F$2:$F$97,MATCH(A250,Execuções!$A$2:$A$97,0)),"ID?"))</f>
        <v/>
      </c>
      <c r="F250" s="13"/>
      <c r="G250" s="13"/>
    </row>
    <row r="251" customFormat="false" ht="15" hidden="false" customHeight="false" outlineLevel="0" collapsed="false">
      <c r="A251" s="14"/>
      <c r="B251" s="14"/>
      <c r="C251" s="11" t="str">
        <f aca="false">IF(OR(A251="",B251=""),"",A251&amp;"-"&amp;TEXT(B251,"00"))</f>
        <v/>
      </c>
      <c r="D251" s="11" t="str">
        <f aca="false">IF(A251="","",IFERROR(INDEX(Execuções!$E$2:$E$97,MATCH(A251,Execuções!$A$2:$A$97,0)),"ID?"))</f>
        <v/>
      </c>
      <c r="E251" s="11" t="str">
        <f aca="false">IF(A251="","",IFERROR(INDEX(Execuções!$F$2:$F$97,MATCH(A251,Execuções!$A$2:$A$97,0)),"ID?"))</f>
        <v/>
      </c>
      <c r="F251" s="13"/>
      <c r="G251" s="13"/>
    </row>
    <row r="252" customFormat="false" ht="15" hidden="false" customHeight="false" outlineLevel="0" collapsed="false">
      <c r="A252" s="14"/>
      <c r="B252" s="14"/>
      <c r="C252" s="11" t="str">
        <f aca="false">IF(OR(A252="",B252=""),"",A252&amp;"-"&amp;TEXT(B252,"00"))</f>
        <v/>
      </c>
      <c r="D252" s="11" t="str">
        <f aca="false">IF(A252="","",IFERROR(INDEX(Execuções!$E$2:$E$97,MATCH(A252,Execuções!$A$2:$A$97,0)),"ID?"))</f>
        <v/>
      </c>
      <c r="E252" s="11" t="str">
        <f aca="false">IF(A252="","",IFERROR(INDEX(Execuções!$F$2:$F$97,MATCH(A252,Execuções!$A$2:$A$97,0)),"ID?"))</f>
        <v/>
      </c>
      <c r="F252" s="13"/>
      <c r="G252" s="13"/>
    </row>
    <row r="253" customFormat="false" ht="15" hidden="false" customHeight="false" outlineLevel="0" collapsed="false">
      <c r="A253" s="14"/>
      <c r="B253" s="14"/>
      <c r="C253" s="11" t="str">
        <f aca="false">IF(OR(A253="",B253=""),"",A253&amp;"-"&amp;TEXT(B253,"00"))</f>
        <v/>
      </c>
      <c r="D253" s="11" t="str">
        <f aca="false">IF(A253="","",IFERROR(INDEX(Execuções!$E$2:$E$97,MATCH(A253,Execuções!$A$2:$A$97,0)),"ID?"))</f>
        <v/>
      </c>
      <c r="E253" s="11" t="str">
        <f aca="false">IF(A253="","",IFERROR(INDEX(Execuções!$F$2:$F$97,MATCH(A253,Execuções!$A$2:$A$97,0)),"ID?"))</f>
        <v/>
      </c>
      <c r="F253" s="13"/>
      <c r="G253" s="13"/>
    </row>
    <row r="254" customFormat="false" ht="15" hidden="false" customHeight="false" outlineLevel="0" collapsed="false">
      <c r="A254" s="14"/>
      <c r="B254" s="14"/>
      <c r="C254" s="11" t="str">
        <f aca="false">IF(OR(A254="",B254=""),"",A254&amp;"-"&amp;TEXT(B254,"00"))</f>
        <v/>
      </c>
      <c r="D254" s="11" t="str">
        <f aca="false">IF(A254="","",IFERROR(INDEX(Execuções!$E$2:$E$97,MATCH(A254,Execuções!$A$2:$A$97,0)),"ID?"))</f>
        <v/>
      </c>
      <c r="E254" s="11" t="str">
        <f aca="false">IF(A254="","",IFERROR(INDEX(Execuções!$F$2:$F$97,MATCH(A254,Execuções!$A$2:$A$97,0)),"ID?"))</f>
        <v/>
      </c>
      <c r="F254" s="13"/>
      <c r="G254" s="13"/>
    </row>
    <row r="255" customFormat="false" ht="15" hidden="false" customHeight="false" outlineLevel="0" collapsed="false">
      <c r="A255" s="14"/>
      <c r="B255" s="14"/>
      <c r="C255" s="11" t="str">
        <f aca="false">IF(OR(A255="",B255=""),"",A255&amp;"-"&amp;TEXT(B255,"00"))</f>
        <v/>
      </c>
      <c r="D255" s="11" t="str">
        <f aca="false">IF(A255="","",IFERROR(INDEX(Execuções!$E$2:$E$97,MATCH(A255,Execuções!$A$2:$A$97,0)),"ID?"))</f>
        <v/>
      </c>
      <c r="E255" s="11" t="str">
        <f aca="false">IF(A255="","",IFERROR(INDEX(Execuções!$F$2:$F$97,MATCH(A255,Execuções!$A$2:$A$97,0)),"ID?"))</f>
        <v/>
      </c>
      <c r="F255" s="13"/>
      <c r="G255" s="13"/>
    </row>
    <row r="256" customFormat="false" ht="15" hidden="false" customHeight="false" outlineLevel="0" collapsed="false">
      <c r="A256" s="14"/>
      <c r="B256" s="14"/>
      <c r="C256" s="11" t="str">
        <f aca="false">IF(OR(A256="",B256=""),"",A256&amp;"-"&amp;TEXT(B256,"00"))</f>
        <v/>
      </c>
      <c r="D256" s="11" t="str">
        <f aca="false">IF(A256="","",IFERROR(INDEX(Execuções!$E$2:$E$97,MATCH(A256,Execuções!$A$2:$A$97,0)),"ID?"))</f>
        <v/>
      </c>
      <c r="E256" s="11" t="str">
        <f aca="false">IF(A256="","",IFERROR(INDEX(Execuções!$F$2:$F$97,MATCH(A256,Execuções!$A$2:$A$97,0)),"ID?"))</f>
        <v/>
      </c>
      <c r="F256" s="13"/>
      <c r="G256" s="13"/>
    </row>
    <row r="257" customFormat="false" ht="15" hidden="false" customHeight="false" outlineLevel="0" collapsed="false">
      <c r="A257" s="14"/>
      <c r="B257" s="14"/>
      <c r="C257" s="11" t="str">
        <f aca="false">IF(OR(A257="",B257=""),"",A257&amp;"-"&amp;TEXT(B257,"00"))</f>
        <v/>
      </c>
      <c r="D257" s="11" t="str">
        <f aca="false">IF(A257="","",IFERROR(INDEX(Execuções!$E$2:$E$97,MATCH(A257,Execuções!$A$2:$A$97,0)),"ID?"))</f>
        <v/>
      </c>
      <c r="E257" s="11" t="str">
        <f aca="false">IF(A257="","",IFERROR(INDEX(Execuções!$F$2:$F$97,MATCH(A257,Execuções!$A$2:$A$97,0)),"ID?"))</f>
        <v/>
      </c>
      <c r="F257" s="13"/>
      <c r="G257" s="13"/>
    </row>
    <row r="258" customFormat="false" ht="15" hidden="false" customHeight="false" outlineLevel="0" collapsed="false">
      <c r="A258" s="14"/>
      <c r="B258" s="14"/>
      <c r="C258" s="11" t="str">
        <f aca="false">IF(OR(A258="",B258=""),"",A258&amp;"-"&amp;TEXT(B258,"00"))</f>
        <v/>
      </c>
      <c r="D258" s="11" t="str">
        <f aca="false">IF(A258="","",IFERROR(INDEX(Execuções!$E$2:$E$97,MATCH(A258,Execuções!$A$2:$A$97,0)),"ID?"))</f>
        <v/>
      </c>
      <c r="E258" s="11" t="str">
        <f aca="false">IF(A258="","",IFERROR(INDEX(Execuções!$F$2:$F$97,MATCH(A258,Execuções!$A$2:$A$97,0)),"ID?"))</f>
        <v/>
      </c>
      <c r="F258" s="13"/>
      <c r="G258" s="13"/>
    </row>
    <row r="259" customFormat="false" ht="15" hidden="false" customHeight="false" outlineLevel="0" collapsed="false">
      <c r="A259" s="14"/>
      <c r="B259" s="14"/>
      <c r="C259" s="11" t="str">
        <f aca="false">IF(OR(A259="",B259=""),"",A259&amp;"-"&amp;TEXT(B259,"00"))</f>
        <v/>
      </c>
      <c r="D259" s="11" t="str">
        <f aca="false">IF(A259="","",IFERROR(INDEX(Execuções!$E$2:$E$97,MATCH(A259,Execuções!$A$2:$A$97,0)),"ID?"))</f>
        <v/>
      </c>
      <c r="E259" s="11" t="str">
        <f aca="false">IF(A259="","",IFERROR(INDEX(Execuções!$F$2:$F$97,MATCH(A259,Execuções!$A$2:$A$97,0)),"ID?"))</f>
        <v/>
      </c>
      <c r="F259" s="13"/>
      <c r="G259" s="13"/>
    </row>
    <row r="260" customFormat="false" ht="15" hidden="false" customHeight="false" outlineLevel="0" collapsed="false">
      <c r="A260" s="14"/>
      <c r="B260" s="14"/>
      <c r="C260" s="11" t="str">
        <f aca="false">IF(OR(A260="",B260=""),"",A260&amp;"-"&amp;TEXT(B260,"00"))</f>
        <v/>
      </c>
      <c r="D260" s="11" t="str">
        <f aca="false">IF(A260="","",IFERROR(INDEX(Execuções!$E$2:$E$97,MATCH(A260,Execuções!$A$2:$A$97,0)),"ID?"))</f>
        <v/>
      </c>
      <c r="E260" s="11" t="str">
        <f aca="false">IF(A260="","",IFERROR(INDEX(Execuções!$F$2:$F$97,MATCH(A260,Execuções!$A$2:$A$97,0)),"ID?"))</f>
        <v/>
      </c>
      <c r="F260" s="13"/>
      <c r="G260" s="13"/>
    </row>
    <row r="261" customFormat="false" ht="15" hidden="false" customHeight="false" outlineLevel="0" collapsed="false">
      <c r="A261" s="14"/>
      <c r="B261" s="14"/>
      <c r="C261" s="11" t="str">
        <f aca="false">IF(OR(A261="",B261=""),"",A261&amp;"-"&amp;TEXT(B261,"00"))</f>
        <v/>
      </c>
      <c r="D261" s="11" t="str">
        <f aca="false">IF(A261="","",IFERROR(INDEX(Execuções!$E$2:$E$97,MATCH(A261,Execuções!$A$2:$A$97,0)),"ID?"))</f>
        <v/>
      </c>
      <c r="E261" s="11" t="str">
        <f aca="false">IF(A261="","",IFERROR(INDEX(Execuções!$F$2:$F$97,MATCH(A261,Execuções!$A$2:$A$97,0)),"ID?"))</f>
        <v/>
      </c>
      <c r="F261" s="13"/>
      <c r="G261" s="13"/>
    </row>
    <row r="262" customFormat="false" ht="15" hidden="false" customHeight="false" outlineLevel="0" collapsed="false">
      <c r="A262" s="14"/>
      <c r="B262" s="14"/>
      <c r="C262" s="11" t="str">
        <f aca="false">IF(OR(A262="",B262=""),"",A262&amp;"-"&amp;TEXT(B262,"00"))</f>
        <v/>
      </c>
      <c r="D262" s="11" t="str">
        <f aca="false">IF(A262="","",IFERROR(INDEX(Execuções!$E$2:$E$97,MATCH(A262,Execuções!$A$2:$A$97,0)),"ID?"))</f>
        <v/>
      </c>
      <c r="E262" s="11" t="str">
        <f aca="false">IF(A262="","",IFERROR(INDEX(Execuções!$F$2:$F$97,MATCH(A262,Execuções!$A$2:$A$97,0)),"ID?"))</f>
        <v/>
      </c>
      <c r="F262" s="13"/>
      <c r="G262" s="13"/>
    </row>
    <row r="263" customFormat="false" ht="15" hidden="false" customHeight="false" outlineLevel="0" collapsed="false">
      <c r="A263" s="14"/>
      <c r="B263" s="14"/>
      <c r="C263" s="11" t="str">
        <f aca="false">IF(OR(A263="",B263=""),"",A263&amp;"-"&amp;TEXT(B263,"00"))</f>
        <v/>
      </c>
      <c r="D263" s="11" t="str">
        <f aca="false">IF(A263="","",IFERROR(INDEX(Execuções!$E$2:$E$97,MATCH(A263,Execuções!$A$2:$A$97,0)),"ID?"))</f>
        <v/>
      </c>
      <c r="E263" s="11" t="str">
        <f aca="false">IF(A263="","",IFERROR(INDEX(Execuções!$F$2:$F$97,MATCH(A263,Execuções!$A$2:$A$97,0)),"ID?"))</f>
        <v/>
      </c>
      <c r="F263" s="13"/>
      <c r="G263" s="13"/>
    </row>
    <row r="264" customFormat="false" ht="15" hidden="false" customHeight="false" outlineLevel="0" collapsed="false">
      <c r="A264" s="14"/>
      <c r="B264" s="14"/>
      <c r="C264" s="11" t="str">
        <f aca="false">IF(OR(A264="",B264=""),"",A264&amp;"-"&amp;TEXT(B264,"00"))</f>
        <v/>
      </c>
      <c r="D264" s="11" t="str">
        <f aca="false">IF(A264="","",IFERROR(INDEX(Execuções!$E$2:$E$97,MATCH(A264,Execuções!$A$2:$A$97,0)),"ID?"))</f>
        <v/>
      </c>
      <c r="E264" s="11" t="str">
        <f aca="false">IF(A264="","",IFERROR(INDEX(Execuções!$F$2:$F$97,MATCH(A264,Execuções!$A$2:$A$97,0)),"ID?"))</f>
        <v/>
      </c>
      <c r="F264" s="13"/>
      <c r="G264" s="13"/>
    </row>
    <row r="265" customFormat="false" ht="15" hidden="false" customHeight="false" outlineLevel="0" collapsed="false">
      <c r="A265" s="14"/>
      <c r="B265" s="14"/>
      <c r="C265" s="11" t="str">
        <f aca="false">IF(OR(A265="",B265=""),"",A265&amp;"-"&amp;TEXT(B265,"00"))</f>
        <v/>
      </c>
      <c r="D265" s="11" t="str">
        <f aca="false">IF(A265="","",IFERROR(INDEX(Execuções!$E$2:$E$97,MATCH(A265,Execuções!$A$2:$A$97,0)),"ID?"))</f>
        <v/>
      </c>
      <c r="E265" s="11" t="str">
        <f aca="false">IF(A265="","",IFERROR(INDEX(Execuções!$F$2:$F$97,MATCH(A265,Execuções!$A$2:$A$97,0)),"ID?"))</f>
        <v/>
      </c>
      <c r="F265" s="13"/>
      <c r="G265" s="13"/>
    </row>
    <row r="266" customFormat="false" ht="15" hidden="false" customHeight="false" outlineLevel="0" collapsed="false">
      <c r="A266" s="14"/>
      <c r="B266" s="14"/>
      <c r="C266" s="11" t="str">
        <f aca="false">IF(OR(A266="",B266=""),"",A266&amp;"-"&amp;TEXT(B266,"00"))</f>
        <v/>
      </c>
      <c r="D266" s="11" t="str">
        <f aca="false">IF(A266="","",IFERROR(INDEX(Execuções!$E$2:$E$97,MATCH(A266,Execuções!$A$2:$A$97,0)),"ID?"))</f>
        <v/>
      </c>
      <c r="E266" s="11" t="str">
        <f aca="false">IF(A266="","",IFERROR(INDEX(Execuções!$F$2:$F$97,MATCH(A266,Execuções!$A$2:$A$97,0)),"ID?"))</f>
        <v/>
      </c>
      <c r="F266" s="13"/>
      <c r="G266" s="13"/>
    </row>
    <row r="267" customFormat="false" ht="15" hidden="false" customHeight="false" outlineLevel="0" collapsed="false">
      <c r="A267" s="14"/>
      <c r="B267" s="14"/>
      <c r="C267" s="11" t="str">
        <f aca="false">IF(OR(A267="",B267=""),"",A267&amp;"-"&amp;TEXT(B267,"00"))</f>
        <v/>
      </c>
      <c r="D267" s="11" t="str">
        <f aca="false">IF(A267="","",IFERROR(INDEX(Execuções!$E$2:$E$97,MATCH(A267,Execuções!$A$2:$A$97,0)),"ID?"))</f>
        <v/>
      </c>
      <c r="E267" s="11" t="str">
        <f aca="false">IF(A267="","",IFERROR(INDEX(Execuções!$F$2:$F$97,MATCH(A267,Execuções!$A$2:$A$97,0)),"ID?"))</f>
        <v/>
      </c>
      <c r="F267" s="13"/>
      <c r="G267" s="13"/>
    </row>
    <row r="268" customFormat="false" ht="15" hidden="false" customHeight="false" outlineLevel="0" collapsed="false">
      <c r="A268" s="14"/>
      <c r="B268" s="14"/>
      <c r="C268" s="11" t="str">
        <f aca="false">IF(OR(A268="",B268=""),"",A268&amp;"-"&amp;TEXT(B268,"00"))</f>
        <v/>
      </c>
      <c r="D268" s="11" t="str">
        <f aca="false">IF(A268="","",IFERROR(INDEX(Execuções!$E$2:$E$97,MATCH(A268,Execuções!$A$2:$A$97,0)),"ID?"))</f>
        <v/>
      </c>
      <c r="E268" s="11" t="str">
        <f aca="false">IF(A268="","",IFERROR(INDEX(Execuções!$F$2:$F$97,MATCH(A268,Execuções!$A$2:$A$97,0)),"ID?"))</f>
        <v/>
      </c>
      <c r="F268" s="13"/>
      <c r="G268" s="13"/>
    </row>
    <row r="269" customFormat="false" ht="15" hidden="false" customHeight="false" outlineLevel="0" collapsed="false">
      <c r="A269" s="14"/>
      <c r="B269" s="14"/>
      <c r="C269" s="11" t="str">
        <f aca="false">IF(OR(A269="",B269=""),"",A269&amp;"-"&amp;TEXT(B269,"00"))</f>
        <v/>
      </c>
      <c r="D269" s="11" t="str">
        <f aca="false">IF(A269="","",IFERROR(INDEX(Execuções!$E$2:$E$97,MATCH(A269,Execuções!$A$2:$A$97,0)),"ID?"))</f>
        <v/>
      </c>
      <c r="E269" s="11" t="str">
        <f aca="false">IF(A269="","",IFERROR(INDEX(Execuções!$F$2:$F$97,MATCH(A269,Execuções!$A$2:$A$97,0)),"ID?"))</f>
        <v/>
      </c>
      <c r="F269" s="13"/>
      <c r="G269" s="13"/>
    </row>
    <row r="270" customFormat="false" ht="15" hidden="false" customHeight="false" outlineLevel="0" collapsed="false">
      <c r="A270" s="14"/>
      <c r="B270" s="14"/>
      <c r="C270" s="11" t="str">
        <f aca="false">IF(OR(A270="",B270=""),"",A270&amp;"-"&amp;TEXT(B270,"00"))</f>
        <v/>
      </c>
      <c r="D270" s="11" t="str">
        <f aca="false">IF(A270="","",IFERROR(INDEX(Execuções!$E$2:$E$97,MATCH(A270,Execuções!$A$2:$A$97,0)),"ID?"))</f>
        <v/>
      </c>
      <c r="E270" s="11" t="str">
        <f aca="false">IF(A270="","",IFERROR(INDEX(Execuções!$F$2:$F$97,MATCH(A270,Execuções!$A$2:$A$97,0)),"ID?"))</f>
        <v/>
      </c>
      <c r="F270" s="13"/>
      <c r="G270" s="13"/>
    </row>
    <row r="271" customFormat="false" ht="15" hidden="false" customHeight="false" outlineLevel="0" collapsed="false">
      <c r="A271" s="14"/>
      <c r="B271" s="14"/>
      <c r="C271" s="11" t="str">
        <f aca="false">IF(OR(A271="",B271=""),"",A271&amp;"-"&amp;TEXT(B271,"00"))</f>
        <v/>
      </c>
      <c r="D271" s="11" t="str">
        <f aca="false">IF(A271="","",IFERROR(INDEX(Execuções!$E$2:$E$97,MATCH(A271,Execuções!$A$2:$A$97,0)),"ID?"))</f>
        <v/>
      </c>
      <c r="E271" s="11" t="str">
        <f aca="false">IF(A271="","",IFERROR(INDEX(Execuções!$F$2:$F$97,MATCH(A271,Execuções!$A$2:$A$97,0)),"ID?"))</f>
        <v/>
      </c>
      <c r="F271" s="13"/>
      <c r="G271" s="13"/>
    </row>
    <row r="272" customFormat="false" ht="15" hidden="false" customHeight="false" outlineLevel="0" collapsed="false">
      <c r="A272" s="14"/>
      <c r="B272" s="14"/>
      <c r="C272" s="11" t="str">
        <f aca="false">IF(OR(A272="",B272=""),"",A272&amp;"-"&amp;TEXT(B272,"00"))</f>
        <v/>
      </c>
      <c r="D272" s="11" t="str">
        <f aca="false">IF(A272="","",IFERROR(INDEX(Execuções!$E$2:$E$97,MATCH(A272,Execuções!$A$2:$A$97,0)),"ID?"))</f>
        <v/>
      </c>
      <c r="E272" s="11" t="str">
        <f aca="false">IF(A272="","",IFERROR(INDEX(Execuções!$F$2:$F$97,MATCH(A272,Execuções!$A$2:$A$97,0)),"ID?"))</f>
        <v/>
      </c>
      <c r="F272" s="13"/>
      <c r="G272" s="13"/>
    </row>
    <row r="273" customFormat="false" ht="15" hidden="false" customHeight="false" outlineLevel="0" collapsed="false">
      <c r="A273" s="14"/>
      <c r="B273" s="14"/>
      <c r="C273" s="11" t="str">
        <f aca="false">IF(OR(A273="",B273=""),"",A273&amp;"-"&amp;TEXT(B273,"00"))</f>
        <v/>
      </c>
      <c r="D273" s="11" t="str">
        <f aca="false">IF(A273="","",IFERROR(INDEX(Execuções!$E$2:$E$97,MATCH(A273,Execuções!$A$2:$A$97,0)),"ID?"))</f>
        <v/>
      </c>
      <c r="E273" s="11" t="str">
        <f aca="false">IF(A273="","",IFERROR(INDEX(Execuções!$F$2:$F$97,MATCH(A273,Execuções!$A$2:$A$97,0)),"ID?"))</f>
        <v/>
      </c>
      <c r="F273" s="13"/>
      <c r="G273" s="13"/>
    </row>
    <row r="274" customFormat="false" ht="15" hidden="false" customHeight="false" outlineLevel="0" collapsed="false">
      <c r="A274" s="14"/>
      <c r="B274" s="14"/>
      <c r="C274" s="11" t="str">
        <f aca="false">IF(OR(A274="",B274=""),"",A274&amp;"-"&amp;TEXT(B274,"00"))</f>
        <v/>
      </c>
      <c r="D274" s="11" t="str">
        <f aca="false">IF(A274="","",IFERROR(INDEX(Execuções!$E$2:$E$97,MATCH(A274,Execuções!$A$2:$A$97,0)),"ID?"))</f>
        <v/>
      </c>
      <c r="E274" s="11" t="str">
        <f aca="false">IF(A274="","",IFERROR(INDEX(Execuções!$F$2:$F$97,MATCH(A274,Execuções!$A$2:$A$97,0)),"ID?"))</f>
        <v/>
      </c>
      <c r="F274" s="13"/>
      <c r="G274" s="13"/>
    </row>
    <row r="275" customFormat="false" ht="15" hidden="false" customHeight="false" outlineLevel="0" collapsed="false">
      <c r="A275" s="14"/>
      <c r="B275" s="14"/>
      <c r="C275" s="11" t="str">
        <f aca="false">IF(OR(A275="",B275=""),"",A275&amp;"-"&amp;TEXT(B275,"00"))</f>
        <v/>
      </c>
      <c r="D275" s="11" t="str">
        <f aca="false">IF(A275="","",IFERROR(INDEX(Execuções!$E$2:$E$97,MATCH(A275,Execuções!$A$2:$A$97,0)),"ID?"))</f>
        <v/>
      </c>
      <c r="E275" s="11" t="str">
        <f aca="false">IF(A275="","",IFERROR(INDEX(Execuções!$F$2:$F$97,MATCH(A275,Execuções!$A$2:$A$97,0)),"ID?"))</f>
        <v/>
      </c>
      <c r="F275" s="13"/>
      <c r="G275" s="13"/>
    </row>
    <row r="276" customFormat="false" ht="15" hidden="false" customHeight="false" outlineLevel="0" collapsed="false">
      <c r="A276" s="14"/>
      <c r="B276" s="14"/>
      <c r="C276" s="11" t="str">
        <f aca="false">IF(OR(A276="",B276=""),"",A276&amp;"-"&amp;TEXT(B276,"00"))</f>
        <v/>
      </c>
      <c r="D276" s="11" t="str">
        <f aca="false">IF(A276="","",IFERROR(INDEX(Execuções!$E$2:$E$97,MATCH(A276,Execuções!$A$2:$A$97,0)),"ID?"))</f>
        <v/>
      </c>
      <c r="E276" s="11" t="str">
        <f aca="false">IF(A276="","",IFERROR(INDEX(Execuções!$F$2:$F$97,MATCH(A276,Execuções!$A$2:$A$97,0)),"ID?"))</f>
        <v/>
      </c>
      <c r="F276" s="13"/>
      <c r="G276" s="13"/>
    </row>
    <row r="277" customFormat="false" ht="15" hidden="false" customHeight="false" outlineLevel="0" collapsed="false">
      <c r="A277" s="14"/>
      <c r="B277" s="14"/>
      <c r="C277" s="11" t="str">
        <f aca="false">IF(OR(A277="",B277=""),"",A277&amp;"-"&amp;TEXT(B277,"00"))</f>
        <v/>
      </c>
      <c r="D277" s="11" t="str">
        <f aca="false">IF(A277="","",IFERROR(INDEX(Execuções!$E$2:$E$97,MATCH(A277,Execuções!$A$2:$A$97,0)),"ID?"))</f>
        <v/>
      </c>
      <c r="E277" s="11" t="str">
        <f aca="false">IF(A277="","",IFERROR(INDEX(Execuções!$F$2:$F$97,MATCH(A277,Execuções!$A$2:$A$97,0)),"ID?"))</f>
        <v/>
      </c>
      <c r="F277" s="13"/>
      <c r="G277" s="13"/>
    </row>
    <row r="278" customFormat="false" ht="15" hidden="false" customHeight="false" outlineLevel="0" collapsed="false">
      <c r="A278" s="14"/>
      <c r="B278" s="14"/>
      <c r="C278" s="11" t="str">
        <f aca="false">IF(OR(A278="",B278=""),"",A278&amp;"-"&amp;TEXT(B278,"00"))</f>
        <v/>
      </c>
      <c r="D278" s="11" t="str">
        <f aca="false">IF(A278="","",IFERROR(INDEX(Execuções!$E$2:$E$97,MATCH(A278,Execuções!$A$2:$A$97,0)),"ID?"))</f>
        <v/>
      </c>
      <c r="E278" s="11" t="str">
        <f aca="false">IF(A278="","",IFERROR(INDEX(Execuções!$F$2:$F$97,MATCH(A278,Execuções!$A$2:$A$97,0)),"ID?"))</f>
        <v/>
      </c>
      <c r="F278" s="13"/>
      <c r="G278" s="13"/>
    </row>
    <row r="279" customFormat="false" ht="15" hidden="false" customHeight="false" outlineLevel="0" collapsed="false">
      <c r="A279" s="14"/>
      <c r="B279" s="14"/>
      <c r="C279" s="11" t="str">
        <f aca="false">IF(OR(A279="",B279=""),"",A279&amp;"-"&amp;TEXT(B279,"00"))</f>
        <v/>
      </c>
      <c r="D279" s="11" t="str">
        <f aca="false">IF(A279="","",IFERROR(INDEX(Execuções!$E$2:$E$97,MATCH(A279,Execuções!$A$2:$A$97,0)),"ID?"))</f>
        <v/>
      </c>
      <c r="E279" s="11" t="str">
        <f aca="false">IF(A279="","",IFERROR(INDEX(Execuções!$F$2:$F$97,MATCH(A279,Execuções!$A$2:$A$97,0)),"ID?"))</f>
        <v/>
      </c>
      <c r="F279" s="13"/>
      <c r="G279" s="13"/>
    </row>
    <row r="280" customFormat="false" ht="15" hidden="false" customHeight="false" outlineLevel="0" collapsed="false">
      <c r="A280" s="14"/>
      <c r="B280" s="14"/>
      <c r="C280" s="11" t="str">
        <f aca="false">IF(OR(A280="",B280=""),"",A280&amp;"-"&amp;TEXT(B280,"00"))</f>
        <v/>
      </c>
      <c r="D280" s="11" t="str">
        <f aca="false">IF(A280="","",IFERROR(INDEX(Execuções!$E$2:$E$97,MATCH(A280,Execuções!$A$2:$A$97,0)),"ID?"))</f>
        <v/>
      </c>
      <c r="E280" s="11" t="str">
        <f aca="false">IF(A280="","",IFERROR(INDEX(Execuções!$F$2:$F$97,MATCH(A280,Execuções!$A$2:$A$97,0)),"ID?"))</f>
        <v/>
      </c>
      <c r="F280" s="13"/>
      <c r="G280" s="13"/>
    </row>
    <row r="281" customFormat="false" ht="15" hidden="false" customHeight="false" outlineLevel="0" collapsed="false">
      <c r="A281" s="14"/>
      <c r="B281" s="14"/>
      <c r="C281" s="11" t="str">
        <f aca="false">IF(OR(A281="",B281=""),"",A281&amp;"-"&amp;TEXT(B281,"00"))</f>
        <v/>
      </c>
      <c r="D281" s="11" t="str">
        <f aca="false">IF(A281="","",IFERROR(INDEX(Execuções!$E$2:$E$97,MATCH(A281,Execuções!$A$2:$A$97,0)),"ID?"))</f>
        <v/>
      </c>
      <c r="E281" s="11" t="str">
        <f aca="false">IF(A281="","",IFERROR(INDEX(Execuções!$F$2:$F$97,MATCH(A281,Execuções!$A$2:$A$97,0)),"ID?"))</f>
        <v/>
      </c>
      <c r="F281" s="13"/>
      <c r="G281" s="13"/>
    </row>
    <row r="282" customFormat="false" ht="15" hidden="false" customHeight="false" outlineLevel="0" collapsed="false">
      <c r="A282" s="14"/>
      <c r="B282" s="14"/>
      <c r="C282" s="11" t="str">
        <f aca="false">IF(OR(A282="",B282=""),"",A282&amp;"-"&amp;TEXT(B282,"00"))</f>
        <v/>
      </c>
      <c r="D282" s="11" t="str">
        <f aca="false">IF(A282="","",IFERROR(INDEX(Execuções!$E$2:$E$97,MATCH(A282,Execuções!$A$2:$A$97,0)),"ID?"))</f>
        <v/>
      </c>
      <c r="E282" s="11" t="str">
        <f aca="false">IF(A282="","",IFERROR(INDEX(Execuções!$F$2:$F$97,MATCH(A282,Execuções!$A$2:$A$97,0)),"ID?"))</f>
        <v/>
      </c>
      <c r="F282" s="13"/>
      <c r="G282" s="13"/>
    </row>
    <row r="283" customFormat="false" ht="15" hidden="false" customHeight="false" outlineLevel="0" collapsed="false">
      <c r="A283" s="14"/>
      <c r="B283" s="14"/>
      <c r="C283" s="11" t="str">
        <f aca="false">IF(OR(A283="",B283=""),"",A283&amp;"-"&amp;TEXT(B283,"00"))</f>
        <v/>
      </c>
      <c r="D283" s="11" t="str">
        <f aca="false">IF(A283="","",IFERROR(INDEX(Execuções!$E$2:$E$97,MATCH(A283,Execuções!$A$2:$A$97,0)),"ID?"))</f>
        <v/>
      </c>
      <c r="E283" s="11" t="str">
        <f aca="false">IF(A283="","",IFERROR(INDEX(Execuções!$F$2:$F$97,MATCH(A283,Execuções!$A$2:$A$97,0)),"ID?"))</f>
        <v/>
      </c>
      <c r="F283" s="13"/>
      <c r="G283" s="13"/>
    </row>
    <row r="284" customFormat="false" ht="15" hidden="false" customHeight="false" outlineLevel="0" collapsed="false">
      <c r="A284" s="14"/>
      <c r="B284" s="14"/>
      <c r="C284" s="11" t="str">
        <f aca="false">IF(OR(A284="",B284=""),"",A284&amp;"-"&amp;TEXT(B284,"00"))</f>
        <v/>
      </c>
      <c r="D284" s="11" t="str">
        <f aca="false">IF(A284="","",IFERROR(INDEX(Execuções!$E$2:$E$97,MATCH(A284,Execuções!$A$2:$A$97,0)),"ID?"))</f>
        <v/>
      </c>
      <c r="E284" s="11" t="str">
        <f aca="false">IF(A284="","",IFERROR(INDEX(Execuções!$F$2:$F$97,MATCH(A284,Execuções!$A$2:$A$97,0)),"ID?"))</f>
        <v/>
      </c>
      <c r="F284" s="13"/>
      <c r="G284" s="13"/>
    </row>
    <row r="285" customFormat="false" ht="15" hidden="false" customHeight="false" outlineLevel="0" collapsed="false">
      <c r="A285" s="14"/>
      <c r="B285" s="14"/>
      <c r="C285" s="11" t="str">
        <f aca="false">IF(OR(A285="",B285=""),"",A285&amp;"-"&amp;TEXT(B285,"00"))</f>
        <v/>
      </c>
      <c r="D285" s="11" t="str">
        <f aca="false">IF(A285="","",IFERROR(INDEX(Execuções!$E$2:$E$97,MATCH(A285,Execuções!$A$2:$A$97,0)),"ID?"))</f>
        <v/>
      </c>
      <c r="E285" s="11" t="str">
        <f aca="false">IF(A285="","",IFERROR(INDEX(Execuções!$F$2:$F$97,MATCH(A285,Execuções!$A$2:$A$97,0)),"ID?"))</f>
        <v/>
      </c>
      <c r="F285" s="13"/>
      <c r="G285" s="13"/>
    </row>
    <row r="286" customFormat="false" ht="15" hidden="false" customHeight="false" outlineLevel="0" collapsed="false">
      <c r="A286" s="14"/>
      <c r="B286" s="14"/>
      <c r="C286" s="11" t="str">
        <f aca="false">IF(OR(A286="",B286=""),"",A286&amp;"-"&amp;TEXT(B286,"00"))</f>
        <v/>
      </c>
      <c r="D286" s="11" t="str">
        <f aca="false">IF(A286="","",IFERROR(INDEX(Execuções!$E$2:$E$97,MATCH(A286,Execuções!$A$2:$A$97,0)),"ID?"))</f>
        <v/>
      </c>
      <c r="E286" s="11" t="str">
        <f aca="false">IF(A286="","",IFERROR(INDEX(Execuções!$F$2:$F$97,MATCH(A286,Execuções!$A$2:$A$97,0)),"ID?"))</f>
        <v/>
      </c>
      <c r="F286" s="13"/>
      <c r="G286" s="13"/>
    </row>
    <row r="287" customFormat="false" ht="15" hidden="false" customHeight="false" outlineLevel="0" collapsed="false">
      <c r="A287" s="14"/>
      <c r="B287" s="14"/>
      <c r="C287" s="11" t="str">
        <f aca="false">IF(OR(A287="",B287=""),"",A287&amp;"-"&amp;TEXT(B287,"00"))</f>
        <v/>
      </c>
      <c r="D287" s="11" t="str">
        <f aca="false">IF(A287="","",IFERROR(INDEX(Execuções!$E$2:$E$97,MATCH(A287,Execuções!$A$2:$A$97,0)),"ID?"))</f>
        <v/>
      </c>
      <c r="E287" s="11" t="str">
        <f aca="false">IF(A287="","",IFERROR(INDEX(Execuções!$F$2:$F$97,MATCH(A287,Execuções!$A$2:$A$97,0)),"ID?"))</f>
        <v/>
      </c>
      <c r="F287" s="13"/>
      <c r="G287" s="13"/>
    </row>
    <row r="288" customFormat="false" ht="15" hidden="false" customHeight="false" outlineLevel="0" collapsed="false">
      <c r="A288" s="14"/>
      <c r="B288" s="14"/>
      <c r="C288" s="11" t="str">
        <f aca="false">IF(OR(A288="",B288=""),"",A288&amp;"-"&amp;TEXT(B288,"00"))</f>
        <v/>
      </c>
      <c r="D288" s="11" t="str">
        <f aca="false">IF(A288="","",IFERROR(INDEX(Execuções!$E$2:$E$97,MATCH(A288,Execuções!$A$2:$A$97,0)),"ID?"))</f>
        <v/>
      </c>
      <c r="E288" s="11" t="str">
        <f aca="false">IF(A288="","",IFERROR(INDEX(Execuções!$F$2:$F$97,MATCH(A288,Execuções!$A$2:$A$97,0)),"ID?"))</f>
        <v/>
      </c>
      <c r="F288" s="13"/>
      <c r="G288" s="13"/>
    </row>
    <row r="289" customFormat="false" ht="15" hidden="false" customHeight="false" outlineLevel="0" collapsed="false">
      <c r="A289" s="14"/>
      <c r="B289" s="14"/>
      <c r="C289" s="11" t="str">
        <f aca="false">IF(OR(A289="",B289=""),"",A289&amp;"-"&amp;TEXT(B289,"00"))</f>
        <v/>
      </c>
      <c r="D289" s="11" t="str">
        <f aca="false">IF(A289="","",IFERROR(INDEX(Execuções!$E$2:$E$97,MATCH(A289,Execuções!$A$2:$A$97,0)),"ID?"))</f>
        <v/>
      </c>
      <c r="E289" s="11" t="str">
        <f aca="false">IF(A289="","",IFERROR(INDEX(Execuções!$F$2:$F$97,MATCH(A289,Execuções!$A$2:$A$97,0)),"ID?"))</f>
        <v/>
      </c>
      <c r="F289" s="13"/>
      <c r="G289" s="13"/>
    </row>
    <row r="290" customFormat="false" ht="15" hidden="false" customHeight="false" outlineLevel="0" collapsed="false">
      <c r="A290" s="14"/>
      <c r="B290" s="14"/>
      <c r="C290" s="11" t="str">
        <f aca="false">IF(OR(A290="",B290=""),"",A290&amp;"-"&amp;TEXT(B290,"00"))</f>
        <v/>
      </c>
      <c r="D290" s="11" t="str">
        <f aca="false">IF(A290="","",IFERROR(INDEX(Execuções!$E$2:$E$97,MATCH(A290,Execuções!$A$2:$A$97,0)),"ID?"))</f>
        <v/>
      </c>
      <c r="E290" s="11" t="str">
        <f aca="false">IF(A290="","",IFERROR(INDEX(Execuções!$F$2:$F$97,MATCH(A290,Execuções!$A$2:$A$97,0)),"ID?"))</f>
        <v/>
      </c>
      <c r="F290" s="13"/>
      <c r="G290" s="13"/>
    </row>
    <row r="291" customFormat="false" ht="15" hidden="false" customHeight="false" outlineLevel="0" collapsed="false">
      <c r="A291" s="14"/>
      <c r="B291" s="14"/>
      <c r="C291" s="11" t="str">
        <f aca="false">IF(OR(A291="",B291=""),"",A291&amp;"-"&amp;TEXT(B291,"00"))</f>
        <v/>
      </c>
      <c r="D291" s="11" t="str">
        <f aca="false">IF(A291="","",IFERROR(INDEX(Execuções!$E$2:$E$97,MATCH(A291,Execuções!$A$2:$A$97,0)),"ID?"))</f>
        <v/>
      </c>
      <c r="E291" s="11" t="str">
        <f aca="false">IF(A291="","",IFERROR(INDEX(Execuções!$F$2:$F$97,MATCH(A291,Execuções!$A$2:$A$97,0)),"ID?"))</f>
        <v/>
      </c>
      <c r="F291" s="13"/>
      <c r="G291" s="13"/>
    </row>
    <row r="292" customFormat="false" ht="15" hidden="false" customHeight="false" outlineLevel="0" collapsed="false">
      <c r="A292" s="14"/>
      <c r="B292" s="14"/>
      <c r="C292" s="11" t="str">
        <f aca="false">IF(OR(A292="",B292=""),"",A292&amp;"-"&amp;TEXT(B292,"00"))</f>
        <v/>
      </c>
      <c r="D292" s="11" t="str">
        <f aca="false">IF(A292="","",IFERROR(INDEX(Execuções!$E$2:$E$97,MATCH(A292,Execuções!$A$2:$A$97,0)),"ID?"))</f>
        <v/>
      </c>
      <c r="E292" s="11" t="str">
        <f aca="false">IF(A292="","",IFERROR(INDEX(Execuções!$F$2:$F$97,MATCH(A292,Execuções!$A$2:$A$97,0)),"ID?"))</f>
        <v/>
      </c>
      <c r="F292" s="13"/>
      <c r="G292" s="13"/>
    </row>
    <row r="293" customFormat="false" ht="15" hidden="false" customHeight="false" outlineLevel="0" collapsed="false">
      <c r="A293" s="14"/>
      <c r="B293" s="14"/>
      <c r="C293" s="11" t="str">
        <f aca="false">IF(OR(A293="",B293=""),"",A293&amp;"-"&amp;TEXT(B293,"00"))</f>
        <v/>
      </c>
      <c r="D293" s="11" t="str">
        <f aca="false">IF(A293="","",IFERROR(INDEX(Execuções!$E$2:$E$97,MATCH(A293,Execuções!$A$2:$A$97,0)),"ID?"))</f>
        <v/>
      </c>
      <c r="E293" s="11" t="str">
        <f aca="false">IF(A293="","",IFERROR(INDEX(Execuções!$F$2:$F$97,MATCH(A293,Execuções!$A$2:$A$97,0)),"ID?"))</f>
        <v/>
      </c>
      <c r="F293" s="13"/>
      <c r="G293" s="13"/>
    </row>
    <row r="294" customFormat="false" ht="15" hidden="false" customHeight="false" outlineLevel="0" collapsed="false">
      <c r="A294" s="14"/>
      <c r="B294" s="14"/>
      <c r="C294" s="11" t="str">
        <f aca="false">IF(OR(A294="",B294=""),"",A294&amp;"-"&amp;TEXT(B294,"00"))</f>
        <v/>
      </c>
      <c r="D294" s="11" t="str">
        <f aca="false">IF(A294="","",IFERROR(INDEX(Execuções!$E$2:$E$97,MATCH(A294,Execuções!$A$2:$A$97,0)),"ID?"))</f>
        <v/>
      </c>
      <c r="E294" s="11" t="str">
        <f aca="false">IF(A294="","",IFERROR(INDEX(Execuções!$F$2:$F$97,MATCH(A294,Execuções!$A$2:$A$97,0)),"ID?"))</f>
        <v/>
      </c>
      <c r="F294" s="13"/>
      <c r="G294" s="13"/>
    </row>
    <row r="295" customFormat="false" ht="15" hidden="false" customHeight="false" outlineLevel="0" collapsed="false">
      <c r="A295" s="14"/>
      <c r="B295" s="14"/>
      <c r="C295" s="11" t="str">
        <f aca="false">IF(OR(A295="",B295=""),"",A295&amp;"-"&amp;TEXT(B295,"00"))</f>
        <v/>
      </c>
      <c r="D295" s="11" t="str">
        <f aca="false">IF(A295="","",IFERROR(INDEX(Execuções!$E$2:$E$97,MATCH(A295,Execuções!$A$2:$A$97,0)),"ID?"))</f>
        <v/>
      </c>
      <c r="E295" s="11" t="str">
        <f aca="false">IF(A295="","",IFERROR(INDEX(Execuções!$F$2:$F$97,MATCH(A295,Execuções!$A$2:$A$97,0)),"ID?"))</f>
        <v/>
      </c>
      <c r="F295" s="13"/>
      <c r="G295" s="13"/>
    </row>
    <row r="296" customFormat="false" ht="15" hidden="false" customHeight="false" outlineLevel="0" collapsed="false">
      <c r="A296" s="14"/>
      <c r="B296" s="14"/>
      <c r="C296" s="11" t="str">
        <f aca="false">IF(OR(A296="",B296=""),"",A296&amp;"-"&amp;TEXT(B296,"00"))</f>
        <v/>
      </c>
      <c r="D296" s="11" t="str">
        <f aca="false">IF(A296="","",IFERROR(INDEX(Execuções!$E$2:$E$97,MATCH(A296,Execuções!$A$2:$A$97,0)),"ID?"))</f>
        <v/>
      </c>
      <c r="E296" s="11" t="str">
        <f aca="false">IF(A296="","",IFERROR(INDEX(Execuções!$F$2:$F$97,MATCH(A296,Execuções!$A$2:$A$97,0)),"ID?"))</f>
        <v/>
      </c>
      <c r="F296" s="13"/>
      <c r="G296" s="13"/>
    </row>
    <row r="297" customFormat="false" ht="15" hidden="false" customHeight="false" outlineLevel="0" collapsed="false">
      <c r="A297" s="14"/>
      <c r="B297" s="14"/>
      <c r="C297" s="11" t="str">
        <f aca="false">IF(OR(A297="",B297=""),"",A297&amp;"-"&amp;TEXT(B297,"00"))</f>
        <v/>
      </c>
      <c r="D297" s="11" t="str">
        <f aca="false">IF(A297="","",IFERROR(INDEX(Execuções!$E$2:$E$97,MATCH(A297,Execuções!$A$2:$A$97,0)),"ID?"))</f>
        <v/>
      </c>
      <c r="E297" s="11" t="str">
        <f aca="false">IF(A297="","",IFERROR(INDEX(Execuções!$F$2:$F$97,MATCH(A297,Execuções!$A$2:$A$97,0)),"ID?"))</f>
        <v/>
      </c>
      <c r="F297" s="13"/>
      <c r="G297" s="13"/>
    </row>
    <row r="298" customFormat="false" ht="15" hidden="false" customHeight="false" outlineLevel="0" collapsed="false">
      <c r="A298" s="14"/>
      <c r="B298" s="14"/>
      <c r="C298" s="11" t="str">
        <f aca="false">IF(OR(A298="",B298=""),"",A298&amp;"-"&amp;TEXT(B298,"00"))</f>
        <v/>
      </c>
      <c r="D298" s="11" t="str">
        <f aca="false">IF(A298="","",IFERROR(INDEX(Execuções!$E$2:$E$97,MATCH(A298,Execuções!$A$2:$A$97,0)),"ID?"))</f>
        <v/>
      </c>
      <c r="E298" s="11" t="str">
        <f aca="false">IF(A298="","",IFERROR(INDEX(Execuções!$F$2:$F$97,MATCH(A298,Execuções!$A$2:$A$97,0)),"ID?"))</f>
        <v/>
      </c>
      <c r="F298" s="13"/>
      <c r="G298" s="13"/>
    </row>
    <row r="299" customFormat="false" ht="15" hidden="false" customHeight="false" outlineLevel="0" collapsed="false">
      <c r="A299" s="14"/>
      <c r="B299" s="14"/>
      <c r="C299" s="11" t="str">
        <f aca="false">IF(OR(A299="",B299=""),"",A299&amp;"-"&amp;TEXT(B299,"00"))</f>
        <v/>
      </c>
      <c r="D299" s="11" t="str">
        <f aca="false">IF(A299="","",IFERROR(INDEX(Execuções!$E$2:$E$97,MATCH(A299,Execuções!$A$2:$A$97,0)),"ID?"))</f>
        <v/>
      </c>
      <c r="E299" s="11" t="str">
        <f aca="false">IF(A299="","",IFERROR(INDEX(Execuções!$F$2:$F$97,MATCH(A299,Execuções!$A$2:$A$97,0)),"ID?"))</f>
        <v/>
      </c>
      <c r="F299" s="13"/>
      <c r="G299" s="13"/>
    </row>
    <row r="300" customFormat="false" ht="15" hidden="false" customHeight="false" outlineLevel="0" collapsed="false">
      <c r="A300" s="14"/>
      <c r="B300" s="14"/>
      <c r="C300" s="11" t="str">
        <f aca="false">IF(OR(A300="",B300=""),"",A300&amp;"-"&amp;TEXT(B300,"00"))</f>
        <v/>
      </c>
      <c r="D300" s="11" t="str">
        <f aca="false">IF(A300="","",IFERROR(INDEX(Execuções!$E$2:$E$97,MATCH(A300,Execuções!$A$2:$A$97,0)),"ID?"))</f>
        <v/>
      </c>
      <c r="E300" s="11" t="str">
        <f aca="false">IF(A300="","",IFERROR(INDEX(Execuções!$F$2:$F$97,MATCH(A300,Execuções!$A$2:$A$97,0)),"ID?"))</f>
        <v/>
      </c>
      <c r="F300" s="13"/>
      <c r="G300" s="13"/>
    </row>
    <row r="301" customFormat="false" ht="15" hidden="false" customHeight="false" outlineLevel="0" collapsed="false">
      <c r="A301" s="14"/>
      <c r="B301" s="14"/>
      <c r="C301" s="11" t="str">
        <f aca="false">IF(OR(A301="",B301=""),"",A301&amp;"-"&amp;TEXT(B301,"00"))</f>
        <v/>
      </c>
      <c r="D301" s="11" t="str">
        <f aca="false">IF(A301="","",IFERROR(INDEX(Execuções!$E$2:$E$97,MATCH(A301,Execuções!$A$2:$A$97,0)),"ID?"))</f>
        <v/>
      </c>
      <c r="E301" s="11" t="str">
        <f aca="false">IF(A301="","",IFERROR(INDEX(Execuções!$F$2:$F$97,MATCH(A301,Execuções!$A$2:$A$97,0)),"ID?"))</f>
        <v/>
      </c>
      <c r="F301" s="13"/>
      <c r="G301" s="13"/>
    </row>
    <row r="302" customFormat="false" ht="15" hidden="false" customHeight="false" outlineLevel="0" collapsed="false">
      <c r="A302" s="14"/>
      <c r="B302" s="14"/>
      <c r="C302" s="11" t="str">
        <f aca="false">IF(OR(A302="",B302=""),"",A302&amp;"-"&amp;TEXT(B302,"00"))</f>
        <v/>
      </c>
      <c r="D302" s="11" t="str">
        <f aca="false">IF(A302="","",IFERROR(INDEX(Execuções!$E$2:$E$97,MATCH(A302,Execuções!$A$2:$A$97,0)),"ID?"))</f>
        <v/>
      </c>
      <c r="E302" s="11" t="str">
        <f aca="false">IF(A302="","",IFERROR(INDEX(Execuções!$F$2:$F$97,MATCH(A302,Execuções!$A$2:$A$97,0)),"ID?"))</f>
        <v/>
      </c>
      <c r="F302" s="13"/>
      <c r="G302" s="13"/>
    </row>
    <row r="303" customFormat="false" ht="15" hidden="false" customHeight="false" outlineLevel="0" collapsed="false">
      <c r="A303" s="14"/>
      <c r="B303" s="14"/>
      <c r="C303" s="11" t="str">
        <f aca="false">IF(OR(A303="",B303=""),"",A303&amp;"-"&amp;TEXT(B303,"00"))</f>
        <v/>
      </c>
      <c r="D303" s="11" t="str">
        <f aca="false">IF(A303="","",IFERROR(INDEX(Execuções!$E$2:$E$97,MATCH(A303,Execuções!$A$2:$A$97,0)),"ID?"))</f>
        <v/>
      </c>
      <c r="E303" s="11" t="str">
        <f aca="false">IF(A303="","",IFERROR(INDEX(Execuções!$F$2:$F$97,MATCH(A303,Execuções!$A$2:$A$97,0)),"ID?"))</f>
        <v/>
      </c>
      <c r="F303" s="13"/>
      <c r="G303" s="13"/>
    </row>
    <row r="304" customFormat="false" ht="15" hidden="false" customHeight="false" outlineLevel="0" collapsed="false">
      <c r="A304" s="14"/>
      <c r="B304" s="14"/>
      <c r="C304" s="11" t="str">
        <f aca="false">IF(OR(A304="",B304=""),"",A304&amp;"-"&amp;TEXT(B304,"00"))</f>
        <v/>
      </c>
      <c r="D304" s="11" t="str">
        <f aca="false">IF(A304="","",IFERROR(INDEX(Execuções!$E$2:$E$97,MATCH(A304,Execuções!$A$2:$A$97,0)),"ID?"))</f>
        <v/>
      </c>
      <c r="E304" s="11" t="str">
        <f aca="false">IF(A304="","",IFERROR(INDEX(Execuções!$F$2:$F$97,MATCH(A304,Execuções!$A$2:$A$97,0)),"ID?"))</f>
        <v/>
      </c>
      <c r="F304" s="13"/>
      <c r="G304" s="13"/>
    </row>
    <row r="305" customFormat="false" ht="15" hidden="false" customHeight="false" outlineLevel="0" collapsed="false">
      <c r="A305" s="14"/>
      <c r="B305" s="14"/>
      <c r="C305" s="11" t="str">
        <f aca="false">IF(OR(A305="",B305=""),"",A305&amp;"-"&amp;TEXT(B305,"00"))</f>
        <v/>
      </c>
      <c r="D305" s="11" t="str">
        <f aca="false">IF(A305="","",IFERROR(INDEX(Execuções!$E$2:$E$97,MATCH(A305,Execuções!$A$2:$A$97,0)),"ID?"))</f>
        <v/>
      </c>
      <c r="E305" s="11" t="str">
        <f aca="false">IF(A305="","",IFERROR(INDEX(Execuções!$F$2:$F$97,MATCH(A305,Execuções!$A$2:$A$97,0)),"ID?"))</f>
        <v/>
      </c>
      <c r="F305" s="13"/>
      <c r="G305" s="13"/>
    </row>
    <row r="306" customFormat="false" ht="15" hidden="false" customHeight="false" outlineLevel="0" collapsed="false">
      <c r="A306" s="14"/>
      <c r="B306" s="14"/>
      <c r="C306" s="11" t="str">
        <f aca="false">IF(OR(A306="",B306=""),"",A306&amp;"-"&amp;TEXT(B306,"00"))</f>
        <v/>
      </c>
      <c r="D306" s="11" t="str">
        <f aca="false">IF(A306="","",IFERROR(INDEX(Execuções!$E$2:$E$97,MATCH(A306,Execuções!$A$2:$A$97,0)),"ID?"))</f>
        <v/>
      </c>
      <c r="E306" s="11" t="str">
        <f aca="false">IF(A306="","",IFERROR(INDEX(Execuções!$F$2:$F$97,MATCH(A306,Execuções!$A$2:$A$97,0)),"ID?"))</f>
        <v/>
      </c>
      <c r="F306" s="13"/>
      <c r="G306" s="13"/>
    </row>
    <row r="307" customFormat="false" ht="15" hidden="false" customHeight="false" outlineLevel="0" collapsed="false">
      <c r="A307" s="14"/>
      <c r="B307" s="14"/>
      <c r="C307" s="11" t="str">
        <f aca="false">IF(OR(A307="",B307=""),"",A307&amp;"-"&amp;TEXT(B307,"00"))</f>
        <v/>
      </c>
      <c r="D307" s="11" t="str">
        <f aca="false">IF(A307="","",IFERROR(INDEX(Execuções!$E$2:$E$97,MATCH(A307,Execuções!$A$2:$A$97,0)),"ID?"))</f>
        <v/>
      </c>
      <c r="E307" s="11" t="str">
        <f aca="false">IF(A307="","",IFERROR(INDEX(Execuções!$F$2:$F$97,MATCH(A307,Execuções!$A$2:$A$97,0)),"ID?"))</f>
        <v/>
      </c>
      <c r="F307" s="13"/>
      <c r="G307" s="13"/>
    </row>
    <row r="308" customFormat="false" ht="15" hidden="false" customHeight="false" outlineLevel="0" collapsed="false">
      <c r="A308" s="14"/>
      <c r="B308" s="14"/>
      <c r="C308" s="11" t="str">
        <f aca="false">IF(OR(A308="",B308=""),"",A308&amp;"-"&amp;TEXT(B308,"00"))</f>
        <v/>
      </c>
      <c r="D308" s="11" t="str">
        <f aca="false">IF(A308="","",IFERROR(INDEX(Execuções!$E$2:$E$97,MATCH(A308,Execuções!$A$2:$A$97,0)),"ID?"))</f>
        <v/>
      </c>
      <c r="E308" s="11" t="str">
        <f aca="false">IF(A308="","",IFERROR(INDEX(Execuções!$F$2:$F$97,MATCH(A308,Execuções!$A$2:$A$97,0)),"ID?"))</f>
        <v/>
      </c>
      <c r="F308" s="13"/>
      <c r="G308" s="13"/>
    </row>
    <row r="309" customFormat="false" ht="15" hidden="false" customHeight="false" outlineLevel="0" collapsed="false">
      <c r="A309" s="14"/>
      <c r="B309" s="14"/>
      <c r="C309" s="11" t="str">
        <f aca="false">IF(OR(A309="",B309=""),"",A309&amp;"-"&amp;TEXT(B309,"00"))</f>
        <v/>
      </c>
      <c r="D309" s="11" t="str">
        <f aca="false">IF(A309="","",IFERROR(INDEX(Execuções!$E$2:$E$97,MATCH(A309,Execuções!$A$2:$A$97,0)),"ID?"))</f>
        <v/>
      </c>
      <c r="E309" s="11" t="str">
        <f aca="false">IF(A309="","",IFERROR(INDEX(Execuções!$F$2:$F$97,MATCH(A309,Execuções!$A$2:$A$97,0)),"ID?"))</f>
        <v/>
      </c>
      <c r="F309" s="13"/>
      <c r="G309" s="13"/>
    </row>
    <row r="310" customFormat="false" ht="15" hidden="false" customHeight="false" outlineLevel="0" collapsed="false">
      <c r="A310" s="14"/>
      <c r="B310" s="14"/>
      <c r="C310" s="11" t="str">
        <f aca="false">IF(OR(A310="",B310=""),"",A310&amp;"-"&amp;TEXT(B310,"00"))</f>
        <v/>
      </c>
      <c r="D310" s="11" t="str">
        <f aca="false">IF(A310="","",IFERROR(INDEX(Execuções!$E$2:$E$97,MATCH(A310,Execuções!$A$2:$A$97,0)),"ID?"))</f>
        <v/>
      </c>
      <c r="E310" s="11" t="str">
        <f aca="false">IF(A310="","",IFERROR(INDEX(Execuções!$F$2:$F$97,MATCH(A310,Execuções!$A$2:$A$97,0)),"ID?"))</f>
        <v/>
      </c>
      <c r="F310" s="13"/>
      <c r="G310" s="13"/>
    </row>
    <row r="311" customFormat="false" ht="15" hidden="false" customHeight="false" outlineLevel="0" collapsed="false">
      <c r="A311" s="14"/>
      <c r="B311" s="14"/>
      <c r="C311" s="11" t="str">
        <f aca="false">IF(OR(A311="",B311=""),"",A311&amp;"-"&amp;TEXT(B311,"00"))</f>
        <v/>
      </c>
      <c r="D311" s="11" t="str">
        <f aca="false">IF(A311="","",IFERROR(INDEX(Execuções!$E$2:$E$97,MATCH(A311,Execuções!$A$2:$A$97,0)),"ID?"))</f>
        <v/>
      </c>
      <c r="E311" s="11" t="str">
        <f aca="false">IF(A311="","",IFERROR(INDEX(Execuções!$F$2:$F$97,MATCH(A311,Execuções!$A$2:$A$97,0)),"ID?"))</f>
        <v/>
      </c>
      <c r="F311" s="13"/>
      <c r="G311" s="13"/>
    </row>
    <row r="312" customFormat="false" ht="15" hidden="false" customHeight="false" outlineLevel="0" collapsed="false">
      <c r="A312" s="14"/>
      <c r="B312" s="14"/>
      <c r="C312" s="11" t="str">
        <f aca="false">IF(OR(A312="",B312=""),"",A312&amp;"-"&amp;TEXT(B312,"00"))</f>
        <v/>
      </c>
      <c r="D312" s="11" t="str">
        <f aca="false">IF(A312="","",IFERROR(INDEX(Execuções!$E$2:$E$97,MATCH(A312,Execuções!$A$2:$A$97,0)),"ID?"))</f>
        <v/>
      </c>
      <c r="E312" s="11" t="str">
        <f aca="false">IF(A312="","",IFERROR(INDEX(Execuções!$F$2:$F$97,MATCH(A312,Execuções!$A$2:$A$97,0)),"ID?"))</f>
        <v/>
      </c>
      <c r="F312" s="13"/>
      <c r="G312" s="13"/>
    </row>
    <row r="313" customFormat="false" ht="15" hidden="false" customHeight="false" outlineLevel="0" collapsed="false">
      <c r="A313" s="14"/>
      <c r="B313" s="14"/>
      <c r="C313" s="11" t="str">
        <f aca="false">IF(OR(A313="",B313=""),"",A313&amp;"-"&amp;TEXT(B313,"00"))</f>
        <v/>
      </c>
      <c r="D313" s="11" t="str">
        <f aca="false">IF(A313="","",IFERROR(INDEX(Execuções!$E$2:$E$97,MATCH(A313,Execuções!$A$2:$A$97,0)),"ID?"))</f>
        <v/>
      </c>
      <c r="E313" s="11" t="str">
        <f aca="false">IF(A313="","",IFERROR(INDEX(Execuções!$F$2:$F$97,MATCH(A313,Execuções!$A$2:$A$97,0)),"ID?"))</f>
        <v/>
      </c>
      <c r="F313" s="13"/>
      <c r="G313" s="13"/>
    </row>
    <row r="314" customFormat="false" ht="15" hidden="false" customHeight="false" outlineLevel="0" collapsed="false">
      <c r="A314" s="14"/>
      <c r="B314" s="14"/>
      <c r="C314" s="11" t="str">
        <f aca="false">IF(OR(A314="",B314=""),"",A314&amp;"-"&amp;TEXT(B314,"00"))</f>
        <v/>
      </c>
      <c r="D314" s="11" t="str">
        <f aca="false">IF(A314="","",IFERROR(INDEX(Execuções!$E$2:$E$97,MATCH(A314,Execuções!$A$2:$A$97,0)),"ID?"))</f>
        <v/>
      </c>
      <c r="E314" s="11" t="str">
        <f aca="false">IF(A314="","",IFERROR(INDEX(Execuções!$F$2:$F$97,MATCH(A314,Execuções!$A$2:$A$97,0)),"ID?"))</f>
        <v/>
      </c>
      <c r="F314" s="13"/>
      <c r="G314" s="13"/>
    </row>
    <row r="315" customFormat="false" ht="15" hidden="false" customHeight="false" outlineLevel="0" collapsed="false">
      <c r="A315" s="14"/>
      <c r="B315" s="14"/>
      <c r="C315" s="11" t="str">
        <f aca="false">IF(OR(A315="",B315=""),"",A315&amp;"-"&amp;TEXT(B315,"00"))</f>
        <v/>
      </c>
      <c r="D315" s="11" t="str">
        <f aca="false">IF(A315="","",IFERROR(INDEX(Execuções!$E$2:$E$97,MATCH(A315,Execuções!$A$2:$A$97,0)),"ID?"))</f>
        <v/>
      </c>
      <c r="E315" s="11" t="str">
        <f aca="false">IF(A315="","",IFERROR(INDEX(Execuções!$F$2:$F$97,MATCH(A315,Execuções!$A$2:$A$97,0)),"ID?"))</f>
        <v/>
      </c>
      <c r="F315" s="13"/>
      <c r="G315" s="13"/>
    </row>
    <row r="316" customFormat="false" ht="15" hidden="false" customHeight="false" outlineLevel="0" collapsed="false">
      <c r="A316" s="14"/>
      <c r="B316" s="14"/>
      <c r="C316" s="11" t="str">
        <f aca="false">IF(OR(A316="",B316=""),"",A316&amp;"-"&amp;TEXT(B316,"00"))</f>
        <v/>
      </c>
      <c r="D316" s="11" t="str">
        <f aca="false">IF(A316="","",IFERROR(INDEX(Execuções!$E$2:$E$97,MATCH(A316,Execuções!$A$2:$A$97,0)),"ID?"))</f>
        <v/>
      </c>
      <c r="E316" s="11" t="str">
        <f aca="false">IF(A316="","",IFERROR(INDEX(Execuções!$F$2:$F$97,MATCH(A316,Execuções!$A$2:$A$97,0)),"ID?"))</f>
        <v/>
      </c>
      <c r="F316" s="13"/>
      <c r="G316" s="13"/>
    </row>
    <row r="317" customFormat="false" ht="15" hidden="false" customHeight="false" outlineLevel="0" collapsed="false">
      <c r="A317" s="14"/>
      <c r="B317" s="14"/>
      <c r="C317" s="11" t="str">
        <f aca="false">IF(OR(A317="",B317=""),"",A317&amp;"-"&amp;TEXT(B317,"00"))</f>
        <v/>
      </c>
      <c r="D317" s="11" t="str">
        <f aca="false">IF(A317="","",IFERROR(INDEX(Execuções!$E$2:$E$97,MATCH(A317,Execuções!$A$2:$A$97,0)),"ID?"))</f>
        <v/>
      </c>
      <c r="E317" s="11" t="str">
        <f aca="false">IF(A317="","",IFERROR(INDEX(Execuções!$F$2:$F$97,MATCH(A317,Execuções!$A$2:$A$97,0)),"ID?"))</f>
        <v/>
      </c>
      <c r="F317" s="13"/>
      <c r="G317" s="13"/>
    </row>
    <row r="318" customFormat="false" ht="15" hidden="false" customHeight="false" outlineLevel="0" collapsed="false">
      <c r="A318" s="14"/>
      <c r="B318" s="14"/>
      <c r="C318" s="11" t="str">
        <f aca="false">IF(OR(A318="",B318=""),"",A318&amp;"-"&amp;TEXT(B318,"00"))</f>
        <v/>
      </c>
      <c r="D318" s="11" t="str">
        <f aca="false">IF(A318="","",IFERROR(INDEX(Execuções!$E$2:$E$97,MATCH(A318,Execuções!$A$2:$A$97,0)),"ID?"))</f>
        <v/>
      </c>
      <c r="E318" s="11" t="str">
        <f aca="false">IF(A318="","",IFERROR(INDEX(Execuções!$F$2:$F$97,MATCH(A318,Execuções!$A$2:$A$97,0)),"ID?"))</f>
        <v/>
      </c>
      <c r="F318" s="13"/>
      <c r="G318" s="13"/>
    </row>
    <row r="319" customFormat="false" ht="15" hidden="false" customHeight="false" outlineLevel="0" collapsed="false">
      <c r="A319" s="14"/>
      <c r="B319" s="14"/>
      <c r="C319" s="11" t="str">
        <f aca="false">IF(OR(A319="",B319=""),"",A319&amp;"-"&amp;TEXT(B319,"00"))</f>
        <v/>
      </c>
      <c r="D319" s="11" t="str">
        <f aca="false">IF(A319="","",IFERROR(INDEX(Execuções!$E$2:$E$97,MATCH(A319,Execuções!$A$2:$A$97,0)),"ID?"))</f>
        <v/>
      </c>
      <c r="E319" s="11" t="str">
        <f aca="false">IF(A319="","",IFERROR(INDEX(Execuções!$F$2:$F$97,MATCH(A319,Execuções!$A$2:$A$97,0)),"ID?"))</f>
        <v/>
      </c>
      <c r="F319" s="13"/>
      <c r="G319" s="13"/>
    </row>
    <row r="320" customFormat="false" ht="15" hidden="false" customHeight="false" outlineLevel="0" collapsed="false">
      <c r="A320" s="14"/>
      <c r="B320" s="14"/>
      <c r="C320" s="11" t="str">
        <f aca="false">IF(OR(A320="",B320=""),"",A320&amp;"-"&amp;TEXT(B320,"00"))</f>
        <v/>
      </c>
      <c r="D320" s="11" t="str">
        <f aca="false">IF(A320="","",IFERROR(INDEX(Execuções!$E$2:$E$97,MATCH(A320,Execuções!$A$2:$A$97,0)),"ID?"))</f>
        <v/>
      </c>
      <c r="E320" s="11" t="str">
        <f aca="false">IF(A320="","",IFERROR(INDEX(Execuções!$F$2:$F$97,MATCH(A320,Execuções!$A$2:$A$97,0)),"ID?"))</f>
        <v/>
      </c>
      <c r="F320" s="13"/>
      <c r="G320" s="13"/>
    </row>
    <row r="321" customFormat="false" ht="15" hidden="false" customHeight="false" outlineLevel="0" collapsed="false">
      <c r="A321" s="14"/>
      <c r="B321" s="14"/>
      <c r="C321" s="11" t="str">
        <f aca="false">IF(OR(A321="",B321=""),"",A321&amp;"-"&amp;TEXT(B321,"00"))</f>
        <v/>
      </c>
      <c r="D321" s="11" t="str">
        <f aca="false">IF(A321="","",IFERROR(INDEX(Execuções!$E$2:$E$97,MATCH(A321,Execuções!$A$2:$A$97,0)),"ID?"))</f>
        <v/>
      </c>
      <c r="E321" s="11" t="str">
        <f aca="false">IF(A321="","",IFERROR(INDEX(Execuções!$F$2:$F$97,MATCH(A321,Execuções!$A$2:$A$97,0)),"ID?"))</f>
        <v/>
      </c>
      <c r="F321" s="13"/>
      <c r="G321" s="13"/>
    </row>
    <row r="322" customFormat="false" ht="15" hidden="false" customHeight="false" outlineLevel="0" collapsed="false">
      <c r="A322" s="14"/>
      <c r="B322" s="14"/>
      <c r="C322" s="11" t="str">
        <f aca="false">IF(OR(A322="",B322=""),"",A322&amp;"-"&amp;TEXT(B322,"00"))</f>
        <v/>
      </c>
      <c r="D322" s="11" t="str">
        <f aca="false">IF(A322="","",IFERROR(INDEX(Execuções!$E$2:$E$97,MATCH(A322,Execuções!$A$2:$A$97,0)),"ID?"))</f>
        <v/>
      </c>
      <c r="E322" s="11" t="str">
        <f aca="false">IF(A322="","",IFERROR(INDEX(Execuções!$F$2:$F$97,MATCH(A322,Execuções!$A$2:$A$97,0)),"ID?"))</f>
        <v/>
      </c>
      <c r="F322" s="13"/>
      <c r="G322" s="13"/>
    </row>
    <row r="323" customFormat="false" ht="15" hidden="false" customHeight="false" outlineLevel="0" collapsed="false">
      <c r="A323" s="14"/>
      <c r="B323" s="14"/>
      <c r="C323" s="11" t="str">
        <f aca="false">IF(OR(A323="",B323=""),"",A323&amp;"-"&amp;TEXT(B323,"00"))</f>
        <v/>
      </c>
      <c r="D323" s="11" t="str">
        <f aca="false">IF(A323="","",IFERROR(INDEX(Execuções!$E$2:$E$97,MATCH(A323,Execuções!$A$2:$A$97,0)),"ID?"))</f>
        <v/>
      </c>
      <c r="E323" s="11" t="str">
        <f aca="false">IF(A323="","",IFERROR(INDEX(Execuções!$F$2:$F$97,MATCH(A323,Execuções!$A$2:$A$97,0)),"ID?"))</f>
        <v/>
      </c>
      <c r="F323" s="13"/>
      <c r="G323" s="13"/>
    </row>
    <row r="324" customFormat="false" ht="15" hidden="false" customHeight="false" outlineLevel="0" collapsed="false">
      <c r="A324" s="14"/>
      <c r="B324" s="14"/>
      <c r="C324" s="11" t="str">
        <f aca="false">IF(OR(A324="",B324=""),"",A324&amp;"-"&amp;TEXT(B324,"00"))</f>
        <v/>
      </c>
      <c r="D324" s="11" t="str">
        <f aca="false">IF(A324="","",IFERROR(INDEX(Execuções!$E$2:$E$97,MATCH(A324,Execuções!$A$2:$A$97,0)),"ID?"))</f>
        <v/>
      </c>
      <c r="E324" s="11" t="str">
        <f aca="false">IF(A324="","",IFERROR(INDEX(Execuções!$F$2:$F$97,MATCH(A324,Execuções!$A$2:$A$97,0)),"ID?"))</f>
        <v/>
      </c>
      <c r="F324" s="13"/>
      <c r="G324" s="13"/>
    </row>
    <row r="325" customFormat="false" ht="15" hidden="false" customHeight="false" outlineLevel="0" collapsed="false">
      <c r="A325" s="14"/>
      <c r="B325" s="14"/>
      <c r="C325" s="11" t="str">
        <f aca="false">IF(OR(A325="",B325=""),"",A325&amp;"-"&amp;TEXT(B325,"00"))</f>
        <v/>
      </c>
      <c r="D325" s="11" t="str">
        <f aca="false">IF(A325="","",IFERROR(INDEX(Execuções!$E$2:$E$97,MATCH(A325,Execuções!$A$2:$A$97,0)),"ID?"))</f>
        <v/>
      </c>
      <c r="E325" s="11" t="str">
        <f aca="false">IF(A325="","",IFERROR(INDEX(Execuções!$F$2:$F$97,MATCH(A325,Execuções!$A$2:$A$97,0)),"ID?"))</f>
        <v/>
      </c>
      <c r="F325" s="13"/>
      <c r="G325" s="13"/>
    </row>
    <row r="326" customFormat="false" ht="15" hidden="false" customHeight="false" outlineLevel="0" collapsed="false">
      <c r="A326" s="14"/>
      <c r="B326" s="14"/>
      <c r="C326" s="11" t="str">
        <f aca="false">IF(OR(A326="",B326=""),"",A326&amp;"-"&amp;TEXT(B326,"00"))</f>
        <v/>
      </c>
      <c r="D326" s="11" t="str">
        <f aca="false">IF(A326="","",IFERROR(INDEX(Execuções!$E$2:$E$97,MATCH(A326,Execuções!$A$2:$A$97,0)),"ID?"))</f>
        <v/>
      </c>
      <c r="E326" s="11" t="str">
        <f aca="false">IF(A326="","",IFERROR(INDEX(Execuções!$F$2:$F$97,MATCH(A326,Execuções!$A$2:$A$97,0)),"ID?"))</f>
        <v/>
      </c>
      <c r="F326" s="13"/>
      <c r="G326" s="13"/>
    </row>
    <row r="327" customFormat="false" ht="15" hidden="false" customHeight="false" outlineLevel="0" collapsed="false">
      <c r="A327" s="14"/>
      <c r="B327" s="14"/>
      <c r="C327" s="11" t="str">
        <f aca="false">IF(OR(A327="",B327=""),"",A327&amp;"-"&amp;TEXT(B327,"00"))</f>
        <v/>
      </c>
      <c r="D327" s="11" t="str">
        <f aca="false">IF(A327="","",IFERROR(INDEX(Execuções!$E$2:$E$97,MATCH(A327,Execuções!$A$2:$A$97,0)),"ID?"))</f>
        <v/>
      </c>
      <c r="E327" s="11" t="str">
        <f aca="false">IF(A327="","",IFERROR(INDEX(Execuções!$F$2:$F$97,MATCH(A327,Execuções!$A$2:$A$97,0)),"ID?"))</f>
        <v/>
      </c>
      <c r="F327" s="13"/>
      <c r="G327" s="13"/>
    </row>
    <row r="328" customFormat="false" ht="15" hidden="false" customHeight="false" outlineLevel="0" collapsed="false">
      <c r="A328" s="14"/>
      <c r="B328" s="14"/>
      <c r="C328" s="11" t="str">
        <f aca="false">IF(OR(A328="",B328=""),"",A328&amp;"-"&amp;TEXT(B328,"00"))</f>
        <v/>
      </c>
      <c r="D328" s="11" t="str">
        <f aca="false">IF(A328="","",IFERROR(INDEX(Execuções!$E$2:$E$97,MATCH(A328,Execuções!$A$2:$A$97,0)),"ID?"))</f>
        <v/>
      </c>
      <c r="E328" s="11" t="str">
        <f aca="false">IF(A328="","",IFERROR(INDEX(Execuções!$F$2:$F$97,MATCH(A328,Execuções!$A$2:$A$97,0)),"ID?"))</f>
        <v/>
      </c>
      <c r="F328" s="13"/>
      <c r="G328" s="13"/>
    </row>
    <row r="329" customFormat="false" ht="15" hidden="false" customHeight="false" outlineLevel="0" collapsed="false">
      <c r="A329" s="14"/>
      <c r="B329" s="14"/>
      <c r="C329" s="11" t="str">
        <f aca="false">IF(OR(A329="",B329=""),"",A329&amp;"-"&amp;TEXT(B329,"00"))</f>
        <v/>
      </c>
      <c r="D329" s="11" t="str">
        <f aca="false">IF(A329="","",IFERROR(INDEX(Execuções!$E$2:$E$97,MATCH(A329,Execuções!$A$2:$A$97,0)),"ID?"))</f>
        <v/>
      </c>
      <c r="E329" s="11" t="str">
        <f aca="false">IF(A329="","",IFERROR(INDEX(Execuções!$F$2:$F$97,MATCH(A329,Execuções!$A$2:$A$97,0)),"ID?"))</f>
        <v/>
      </c>
      <c r="F329" s="13"/>
      <c r="G329" s="13"/>
    </row>
    <row r="330" customFormat="false" ht="15" hidden="false" customHeight="false" outlineLevel="0" collapsed="false">
      <c r="A330" s="14"/>
      <c r="B330" s="14"/>
      <c r="C330" s="11" t="str">
        <f aca="false">IF(OR(A330="",B330=""),"",A330&amp;"-"&amp;TEXT(B330,"00"))</f>
        <v/>
      </c>
      <c r="D330" s="11" t="str">
        <f aca="false">IF(A330="","",IFERROR(INDEX(Execuções!$E$2:$E$97,MATCH(A330,Execuções!$A$2:$A$97,0)),"ID?"))</f>
        <v/>
      </c>
      <c r="E330" s="11" t="str">
        <f aca="false">IF(A330="","",IFERROR(INDEX(Execuções!$F$2:$F$97,MATCH(A330,Execuções!$A$2:$A$97,0)),"ID?"))</f>
        <v/>
      </c>
      <c r="F330" s="13"/>
      <c r="G330" s="13"/>
    </row>
    <row r="331" customFormat="false" ht="15" hidden="false" customHeight="false" outlineLevel="0" collapsed="false">
      <c r="A331" s="14"/>
      <c r="B331" s="14"/>
      <c r="C331" s="11" t="str">
        <f aca="false">IF(OR(A331="",B331=""),"",A331&amp;"-"&amp;TEXT(B331,"00"))</f>
        <v/>
      </c>
      <c r="D331" s="11" t="str">
        <f aca="false">IF(A331="","",IFERROR(INDEX(Execuções!$E$2:$E$97,MATCH(A331,Execuções!$A$2:$A$97,0)),"ID?"))</f>
        <v/>
      </c>
      <c r="E331" s="11" t="str">
        <f aca="false">IF(A331="","",IFERROR(INDEX(Execuções!$F$2:$F$97,MATCH(A331,Execuções!$A$2:$A$97,0)),"ID?"))</f>
        <v/>
      </c>
      <c r="F331" s="13"/>
      <c r="G331" s="13"/>
    </row>
    <row r="332" customFormat="false" ht="15" hidden="false" customHeight="false" outlineLevel="0" collapsed="false">
      <c r="A332" s="14"/>
      <c r="B332" s="14"/>
      <c r="C332" s="11" t="str">
        <f aca="false">IF(OR(A332="",B332=""),"",A332&amp;"-"&amp;TEXT(B332,"00"))</f>
        <v/>
      </c>
      <c r="D332" s="11" t="str">
        <f aca="false">IF(A332="","",IFERROR(INDEX(Execuções!$E$2:$E$97,MATCH(A332,Execuções!$A$2:$A$97,0)),"ID?"))</f>
        <v/>
      </c>
      <c r="E332" s="11" t="str">
        <f aca="false">IF(A332="","",IFERROR(INDEX(Execuções!$F$2:$F$97,MATCH(A332,Execuções!$A$2:$A$97,0)),"ID?"))</f>
        <v/>
      </c>
      <c r="F332" s="13"/>
      <c r="G332" s="13"/>
    </row>
    <row r="333" customFormat="false" ht="15" hidden="false" customHeight="false" outlineLevel="0" collapsed="false">
      <c r="A333" s="14"/>
      <c r="B333" s="14"/>
      <c r="C333" s="11" t="str">
        <f aca="false">IF(OR(A333="",B333=""),"",A333&amp;"-"&amp;TEXT(B333,"00"))</f>
        <v/>
      </c>
      <c r="D333" s="11" t="str">
        <f aca="false">IF(A333="","",IFERROR(INDEX(Execuções!$E$2:$E$97,MATCH(A333,Execuções!$A$2:$A$97,0)),"ID?"))</f>
        <v/>
      </c>
      <c r="E333" s="11" t="str">
        <f aca="false">IF(A333="","",IFERROR(INDEX(Execuções!$F$2:$F$97,MATCH(A333,Execuções!$A$2:$A$97,0)),"ID?"))</f>
        <v/>
      </c>
      <c r="F333" s="13"/>
      <c r="G333" s="13"/>
    </row>
    <row r="334" customFormat="false" ht="15" hidden="false" customHeight="false" outlineLevel="0" collapsed="false">
      <c r="A334" s="14"/>
      <c r="B334" s="14"/>
      <c r="C334" s="11" t="str">
        <f aca="false">IF(OR(A334="",B334=""),"",A334&amp;"-"&amp;TEXT(B334,"00"))</f>
        <v/>
      </c>
      <c r="D334" s="11" t="str">
        <f aca="false">IF(A334="","",IFERROR(INDEX(Execuções!$E$2:$E$97,MATCH(A334,Execuções!$A$2:$A$97,0)),"ID?"))</f>
        <v/>
      </c>
      <c r="E334" s="11" t="str">
        <f aca="false">IF(A334="","",IFERROR(INDEX(Execuções!$F$2:$F$97,MATCH(A334,Execuções!$A$2:$A$97,0)),"ID?"))</f>
        <v/>
      </c>
      <c r="F334" s="13"/>
      <c r="G334" s="13"/>
    </row>
    <row r="335" customFormat="false" ht="15" hidden="false" customHeight="false" outlineLevel="0" collapsed="false">
      <c r="A335" s="14"/>
      <c r="B335" s="14"/>
      <c r="C335" s="11" t="str">
        <f aca="false">IF(OR(A335="",B335=""),"",A335&amp;"-"&amp;TEXT(B335,"00"))</f>
        <v/>
      </c>
      <c r="D335" s="11" t="str">
        <f aca="false">IF(A335="","",IFERROR(INDEX(Execuções!$E$2:$E$97,MATCH(A335,Execuções!$A$2:$A$97,0)),"ID?"))</f>
        <v/>
      </c>
      <c r="E335" s="11" t="str">
        <f aca="false">IF(A335="","",IFERROR(INDEX(Execuções!$F$2:$F$97,MATCH(A335,Execuções!$A$2:$A$97,0)),"ID?"))</f>
        <v/>
      </c>
      <c r="F335" s="13"/>
      <c r="G335" s="13"/>
    </row>
    <row r="336" customFormat="false" ht="15" hidden="false" customHeight="false" outlineLevel="0" collapsed="false">
      <c r="A336" s="14"/>
      <c r="B336" s="14"/>
      <c r="C336" s="11" t="str">
        <f aca="false">IF(OR(A336="",B336=""),"",A336&amp;"-"&amp;TEXT(B336,"00"))</f>
        <v/>
      </c>
      <c r="D336" s="11" t="str">
        <f aca="false">IF(A336="","",IFERROR(INDEX(Execuções!$E$2:$E$97,MATCH(A336,Execuções!$A$2:$A$97,0)),"ID?"))</f>
        <v/>
      </c>
      <c r="E336" s="11" t="str">
        <f aca="false">IF(A336="","",IFERROR(INDEX(Execuções!$F$2:$F$97,MATCH(A336,Execuções!$A$2:$A$97,0)),"ID?"))</f>
        <v/>
      </c>
      <c r="F336" s="13"/>
      <c r="G336" s="13"/>
    </row>
    <row r="337" customFormat="false" ht="15" hidden="false" customHeight="false" outlineLevel="0" collapsed="false">
      <c r="A337" s="14"/>
      <c r="B337" s="14"/>
      <c r="C337" s="11" t="str">
        <f aca="false">IF(OR(A337="",B337=""),"",A337&amp;"-"&amp;TEXT(B337,"00"))</f>
        <v/>
      </c>
      <c r="D337" s="11" t="str">
        <f aca="false">IF(A337="","",IFERROR(INDEX(Execuções!$E$2:$E$97,MATCH(A337,Execuções!$A$2:$A$97,0)),"ID?"))</f>
        <v/>
      </c>
      <c r="E337" s="11" t="str">
        <f aca="false">IF(A337="","",IFERROR(INDEX(Execuções!$F$2:$F$97,MATCH(A337,Execuções!$A$2:$A$97,0)),"ID?"))</f>
        <v/>
      </c>
      <c r="F337" s="13"/>
      <c r="G337" s="13"/>
    </row>
    <row r="338" customFormat="false" ht="15" hidden="false" customHeight="false" outlineLevel="0" collapsed="false">
      <c r="A338" s="14"/>
      <c r="B338" s="14"/>
      <c r="C338" s="11" t="str">
        <f aca="false">IF(OR(A338="",B338=""),"",A338&amp;"-"&amp;TEXT(B338,"00"))</f>
        <v/>
      </c>
      <c r="D338" s="11" t="str">
        <f aca="false">IF(A338="","",IFERROR(INDEX(Execuções!$E$2:$E$97,MATCH(A338,Execuções!$A$2:$A$97,0)),"ID?"))</f>
        <v/>
      </c>
      <c r="E338" s="11" t="str">
        <f aca="false">IF(A338="","",IFERROR(INDEX(Execuções!$F$2:$F$97,MATCH(A338,Execuções!$A$2:$A$97,0)),"ID?"))</f>
        <v/>
      </c>
      <c r="F338" s="13"/>
      <c r="G338" s="13"/>
    </row>
    <row r="339" customFormat="false" ht="15" hidden="false" customHeight="false" outlineLevel="0" collapsed="false">
      <c r="A339" s="14"/>
      <c r="B339" s="14"/>
      <c r="C339" s="11" t="str">
        <f aca="false">IF(OR(A339="",B339=""),"",A339&amp;"-"&amp;TEXT(B339,"00"))</f>
        <v/>
      </c>
      <c r="D339" s="11" t="str">
        <f aca="false">IF(A339="","",IFERROR(INDEX(Execuções!$E$2:$E$97,MATCH(A339,Execuções!$A$2:$A$97,0)),"ID?"))</f>
        <v/>
      </c>
      <c r="E339" s="11" t="str">
        <f aca="false">IF(A339="","",IFERROR(INDEX(Execuções!$F$2:$F$97,MATCH(A339,Execuções!$A$2:$A$97,0)),"ID?"))</f>
        <v/>
      </c>
      <c r="F339" s="13"/>
      <c r="G339" s="13"/>
    </row>
    <row r="340" customFormat="false" ht="15" hidden="false" customHeight="false" outlineLevel="0" collapsed="false">
      <c r="A340" s="14"/>
      <c r="B340" s="14"/>
      <c r="C340" s="11" t="str">
        <f aca="false">IF(OR(A340="",B340=""),"",A340&amp;"-"&amp;TEXT(B340,"00"))</f>
        <v/>
      </c>
      <c r="D340" s="11" t="str">
        <f aca="false">IF(A340="","",IFERROR(INDEX(Execuções!$E$2:$E$97,MATCH(A340,Execuções!$A$2:$A$97,0)),"ID?"))</f>
        <v/>
      </c>
      <c r="E340" s="11" t="str">
        <f aca="false">IF(A340="","",IFERROR(INDEX(Execuções!$F$2:$F$97,MATCH(A340,Execuções!$A$2:$A$97,0)),"ID?"))</f>
        <v/>
      </c>
      <c r="F340" s="13"/>
      <c r="G340" s="13"/>
    </row>
    <row r="341" customFormat="false" ht="15" hidden="false" customHeight="false" outlineLevel="0" collapsed="false">
      <c r="A341" s="14"/>
      <c r="B341" s="14"/>
      <c r="C341" s="11" t="str">
        <f aca="false">IF(OR(A341="",B341=""),"",A341&amp;"-"&amp;TEXT(B341,"00"))</f>
        <v/>
      </c>
      <c r="D341" s="11" t="str">
        <f aca="false">IF(A341="","",IFERROR(INDEX(Execuções!$E$2:$E$97,MATCH(A341,Execuções!$A$2:$A$97,0)),"ID?"))</f>
        <v/>
      </c>
      <c r="E341" s="11" t="str">
        <f aca="false">IF(A341="","",IFERROR(INDEX(Execuções!$F$2:$F$97,MATCH(A341,Execuções!$A$2:$A$97,0)),"ID?"))</f>
        <v/>
      </c>
      <c r="F341" s="13"/>
      <c r="G341" s="13"/>
    </row>
    <row r="342" customFormat="false" ht="15" hidden="false" customHeight="false" outlineLevel="0" collapsed="false">
      <c r="A342" s="14"/>
      <c r="B342" s="14"/>
      <c r="C342" s="11" t="str">
        <f aca="false">IF(OR(A342="",B342=""),"",A342&amp;"-"&amp;TEXT(B342,"00"))</f>
        <v/>
      </c>
      <c r="D342" s="11" t="str">
        <f aca="false">IF(A342="","",IFERROR(INDEX(Execuções!$E$2:$E$97,MATCH(A342,Execuções!$A$2:$A$97,0)),"ID?"))</f>
        <v/>
      </c>
      <c r="E342" s="11" t="str">
        <f aca="false">IF(A342="","",IFERROR(INDEX(Execuções!$F$2:$F$97,MATCH(A342,Execuções!$A$2:$A$97,0)),"ID?"))</f>
        <v/>
      </c>
      <c r="F342" s="13"/>
      <c r="G342" s="13"/>
    </row>
    <row r="343" customFormat="false" ht="15" hidden="false" customHeight="false" outlineLevel="0" collapsed="false">
      <c r="A343" s="14"/>
      <c r="B343" s="14"/>
      <c r="C343" s="11" t="str">
        <f aca="false">IF(OR(A343="",B343=""),"",A343&amp;"-"&amp;TEXT(B343,"00"))</f>
        <v/>
      </c>
      <c r="D343" s="11" t="str">
        <f aca="false">IF(A343="","",IFERROR(INDEX(Execuções!$E$2:$E$97,MATCH(A343,Execuções!$A$2:$A$97,0)),"ID?"))</f>
        <v/>
      </c>
      <c r="E343" s="11" t="str">
        <f aca="false">IF(A343="","",IFERROR(INDEX(Execuções!$F$2:$F$97,MATCH(A343,Execuções!$A$2:$A$97,0)),"ID?"))</f>
        <v/>
      </c>
      <c r="F343" s="13"/>
      <c r="G343" s="13"/>
    </row>
    <row r="344" customFormat="false" ht="15" hidden="false" customHeight="false" outlineLevel="0" collapsed="false">
      <c r="A344" s="14"/>
      <c r="B344" s="14"/>
      <c r="C344" s="11" t="str">
        <f aca="false">IF(OR(A344="",B344=""),"",A344&amp;"-"&amp;TEXT(B344,"00"))</f>
        <v/>
      </c>
      <c r="D344" s="11" t="str">
        <f aca="false">IF(A344="","",IFERROR(INDEX(Execuções!$E$2:$E$97,MATCH(A344,Execuções!$A$2:$A$97,0)),"ID?"))</f>
        <v/>
      </c>
      <c r="E344" s="11" t="str">
        <f aca="false">IF(A344="","",IFERROR(INDEX(Execuções!$F$2:$F$97,MATCH(A344,Execuções!$A$2:$A$97,0)),"ID?"))</f>
        <v/>
      </c>
      <c r="F344" s="13"/>
      <c r="G344" s="13"/>
    </row>
    <row r="345" customFormat="false" ht="15" hidden="false" customHeight="false" outlineLevel="0" collapsed="false">
      <c r="A345" s="14"/>
      <c r="B345" s="14"/>
      <c r="C345" s="11" t="str">
        <f aca="false">IF(OR(A345="",B345=""),"",A345&amp;"-"&amp;TEXT(B345,"00"))</f>
        <v/>
      </c>
      <c r="D345" s="11" t="str">
        <f aca="false">IF(A345="","",IFERROR(INDEX(Execuções!$E$2:$E$97,MATCH(A345,Execuções!$A$2:$A$97,0)),"ID?"))</f>
        <v/>
      </c>
      <c r="E345" s="11" t="str">
        <f aca="false">IF(A345="","",IFERROR(INDEX(Execuções!$F$2:$F$97,MATCH(A345,Execuções!$A$2:$A$97,0)),"ID?"))</f>
        <v/>
      </c>
      <c r="F345" s="13"/>
      <c r="G345" s="13"/>
    </row>
    <row r="346" customFormat="false" ht="15" hidden="false" customHeight="false" outlineLevel="0" collapsed="false">
      <c r="A346" s="14"/>
      <c r="B346" s="14"/>
      <c r="C346" s="11" t="str">
        <f aca="false">IF(OR(A346="",B346=""),"",A346&amp;"-"&amp;TEXT(B346,"00"))</f>
        <v/>
      </c>
      <c r="D346" s="11" t="str">
        <f aca="false">IF(A346="","",IFERROR(INDEX(Execuções!$E$2:$E$97,MATCH(A346,Execuções!$A$2:$A$97,0)),"ID?"))</f>
        <v/>
      </c>
      <c r="E346" s="11" t="str">
        <f aca="false">IF(A346="","",IFERROR(INDEX(Execuções!$F$2:$F$97,MATCH(A346,Execuções!$A$2:$A$97,0)),"ID?"))</f>
        <v/>
      </c>
      <c r="F346" s="13"/>
      <c r="G346" s="13"/>
    </row>
    <row r="347" customFormat="false" ht="15" hidden="false" customHeight="false" outlineLevel="0" collapsed="false">
      <c r="A347" s="14"/>
      <c r="B347" s="14"/>
      <c r="C347" s="11" t="str">
        <f aca="false">IF(OR(A347="",B347=""),"",A347&amp;"-"&amp;TEXT(B347,"00"))</f>
        <v/>
      </c>
      <c r="D347" s="11" t="str">
        <f aca="false">IF(A347="","",IFERROR(INDEX(Execuções!$E$2:$E$97,MATCH(A347,Execuções!$A$2:$A$97,0)),"ID?"))</f>
        <v/>
      </c>
      <c r="E347" s="11" t="str">
        <f aca="false">IF(A347="","",IFERROR(INDEX(Execuções!$F$2:$F$97,MATCH(A347,Execuções!$A$2:$A$97,0)),"ID?"))</f>
        <v/>
      </c>
      <c r="F347" s="13"/>
      <c r="G347" s="13"/>
    </row>
    <row r="348" customFormat="false" ht="15" hidden="false" customHeight="false" outlineLevel="0" collapsed="false">
      <c r="A348" s="14"/>
      <c r="B348" s="14"/>
      <c r="C348" s="11" t="str">
        <f aca="false">IF(OR(A348="",B348=""),"",A348&amp;"-"&amp;TEXT(B348,"00"))</f>
        <v/>
      </c>
      <c r="D348" s="11" t="str">
        <f aca="false">IF(A348="","",IFERROR(INDEX(Execuções!$E$2:$E$97,MATCH(A348,Execuções!$A$2:$A$97,0)),"ID?"))</f>
        <v/>
      </c>
      <c r="E348" s="11" t="str">
        <f aca="false">IF(A348="","",IFERROR(INDEX(Execuções!$F$2:$F$97,MATCH(A348,Execuções!$A$2:$A$97,0)),"ID?"))</f>
        <v/>
      </c>
      <c r="F348" s="13"/>
      <c r="G348" s="13"/>
    </row>
    <row r="349" customFormat="false" ht="15" hidden="false" customHeight="false" outlineLevel="0" collapsed="false">
      <c r="A349" s="14"/>
      <c r="B349" s="14"/>
      <c r="C349" s="11" t="str">
        <f aca="false">IF(OR(A349="",B349=""),"",A349&amp;"-"&amp;TEXT(B349,"00"))</f>
        <v/>
      </c>
      <c r="D349" s="11" t="str">
        <f aca="false">IF(A349="","",IFERROR(INDEX(Execuções!$E$2:$E$97,MATCH(A349,Execuções!$A$2:$A$97,0)),"ID?"))</f>
        <v/>
      </c>
      <c r="E349" s="11" t="str">
        <f aca="false">IF(A349="","",IFERROR(INDEX(Execuções!$F$2:$F$97,MATCH(A349,Execuções!$A$2:$A$97,0)),"ID?"))</f>
        <v/>
      </c>
      <c r="F349" s="13"/>
      <c r="G349" s="13"/>
    </row>
    <row r="350" customFormat="false" ht="15" hidden="false" customHeight="false" outlineLevel="0" collapsed="false">
      <c r="A350" s="14"/>
      <c r="B350" s="14"/>
      <c r="C350" s="11" t="str">
        <f aca="false">IF(OR(A350="",B350=""),"",A350&amp;"-"&amp;TEXT(B350,"00"))</f>
        <v/>
      </c>
      <c r="D350" s="11" t="str">
        <f aca="false">IF(A350="","",IFERROR(INDEX(Execuções!$E$2:$E$97,MATCH(A350,Execuções!$A$2:$A$97,0)),"ID?"))</f>
        <v/>
      </c>
      <c r="E350" s="11" t="str">
        <f aca="false">IF(A350="","",IFERROR(INDEX(Execuções!$F$2:$F$97,MATCH(A350,Execuções!$A$2:$A$97,0)),"ID?"))</f>
        <v/>
      </c>
      <c r="F350" s="13"/>
      <c r="G350" s="13"/>
    </row>
    <row r="351" customFormat="false" ht="15" hidden="false" customHeight="false" outlineLevel="0" collapsed="false">
      <c r="A351" s="14"/>
      <c r="B351" s="14"/>
      <c r="C351" s="11" t="str">
        <f aca="false">IF(OR(A351="",B351=""),"",A351&amp;"-"&amp;TEXT(B351,"00"))</f>
        <v/>
      </c>
      <c r="D351" s="11" t="str">
        <f aca="false">IF(A351="","",IFERROR(INDEX(Execuções!$E$2:$E$97,MATCH(A351,Execuções!$A$2:$A$97,0)),"ID?"))</f>
        <v/>
      </c>
      <c r="E351" s="11" t="str">
        <f aca="false">IF(A351="","",IFERROR(INDEX(Execuções!$F$2:$F$97,MATCH(A351,Execuções!$A$2:$A$97,0)),"ID?"))</f>
        <v/>
      </c>
      <c r="F351" s="13"/>
      <c r="G351" s="13"/>
    </row>
    <row r="352" customFormat="false" ht="15" hidden="false" customHeight="false" outlineLevel="0" collapsed="false">
      <c r="A352" s="14"/>
      <c r="B352" s="14"/>
      <c r="C352" s="11" t="str">
        <f aca="false">IF(OR(A352="",B352=""),"",A352&amp;"-"&amp;TEXT(B352,"00"))</f>
        <v/>
      </c>
      <c r="D352" s="11" t="str">
        <f aca="false">IF(A352="","",IFERROR(INDEX(Execuções!$E$2:$E$97,MATCH(A352,Execuções!$A$2:$A$97,0)),"ID?"))</f>
        <v/>
      </c>
      <c r="E352" s="11" t="str">
        <f aca="false">IF(A352="","",IFERROR(INDEX(Execuções!$F$2:$F$97,MATCH(A352,Execuções!$A$2:$A$97,0)),"ID?"))</f>
        <v/>
      </c>
      <c r="F352" s="13"/>
      <c r="G352" s="13"/>
    </row>
    <row r="353" customFormat="false" ht="15" hidden="false" customHeight="false" outlineLevel="0" collapsed="false">
      <c r="A353" s="14"/>
      <c r="B353" s="14"/>
      <c r="C353" s="11" t="str">
        <f aca="false">IF(OR(A353="",B353=""),"",A353&amp;"-"&amp;TEXT(B353,"00"))</f>
        <v/>
      </c>
      <c r="D353" s="11" t="str">
        <f aca="false">IF(A353="","",IFERROR(INDEX(Execuções!$E$2:$E$97,MATCH(A353,Execuções!$A$2:$A$97,0)),"ID?"))</f>
        <v/>
      </c>
      <c r="E353" s="11" t="str">
        <f aca="false">IF(A353="","",IFERROR(INDEX(Execuções!$F$2:$F$97,MATCH(A353,Execuções!$A$2:$A$97,0)),"ID?"))</f>
        <v/>
      </c>
      <c r="F353" s="13"/>
      <c r="G353" s="13"/>
    </row>
    <row r="354" customFormat="false" ht="15" hidden="false" customHeight="false" outlineLevel="0" collapsed="false">
      <c r="A354" s="14"/>
      <c r="B354" s="14"/>
      <c r="C354" s="11" t="str">
        <f aca="false">IF(OR(A354="",B354=""),"",A354&amp;"-"&amp;TEXT(B354,"00"))</f>
        <v/>
      </c>
      <c r="D354" s="11" t="str">
        <f aca="false">IF(A354="","",IFERROR(INDEX(Execuções!$E$2:$E$97,MATCH(A354,Execuções!$A$2:$A$97,0)),"ID?"))</f>
        <v/>
      </c>
      <c r="E354" s="11" t="str">
        <f aca="false">IF(A354="","",IFERROR(INDEX(Execuções!$F$2:$F$97,MATCH(A354,Execuções!$A$2:$A$97,0)),"ID?"))</f>
        <v/>
      </c>
      <c r="F354" s="13"/>
      <c r="G354" s="13"/>
    </row>
    <row r="355" customFormat="false" ht="15" hidden="false" customHeight="false" outlineLevel="0" collapsed="false">
      <c r="A355" s="14"/>
      <c r="B355" s="14"/>
      <c r="C355" s="11" t="str">
        <f aca="false">IF(OR(A355="",B355=""),"",A355&amp;"-"&amp;TEXT(B355,"00"))</f>
        <v/>
      </c>
      <c r="D355" s="11" t="str">
        <f aca="false">IF(A355="","",IFERROR(INDEX(Execuções!$E$2:$E$97,MATCH(A355,Execuções!$A$2:$A$97,0)),"ID?"))</f>
        <v/>
      </c>
      <c r="E355" s="11" t="str">
        <f aca="false">IF(A355="","",IFERROR(INDEX(Execuções!$F$2:$F$97,MATCH(A355,Execuções!$A$2:$A$97,0)),"ID?"))</f>
        <v/>
      </c>
      <c r="F355" s="13"/>
      <c r="G355" s="13"/>
    </row>
    <row r="356" customFormat="false" ht="15" hidden="false" customHeight="false" outlineLevel="0" collapsed="false">
      <c r="A356" s="14"/>
      <c r="B356" s="14"/>
      <c r="C356" s="11" t="str">
        <f aca="false">IF(OR(A356="",B356=""),"",A356&amp;"-"&amp;TEXT(B356,"00"))</f>
        <v/>
      </c>
      <c r="D356" s="11" t="str">
        <f aca="false">IF(A356="","",IFERROR(INDEX(Execuções!$E$2:$E$97,MATCH(A356,Execuções!$A$2:$A$97,0)),"ID?"))</f>
        <v/>
      </c>
      <c r="E356" s="11" t="str">
        <f aca="false">IF(A356="","",IFERROR(INDEX(Execuções!$F$2:$F$97,MATCH(A356,Execuções!$A$2:$A$97,0)),"ID?"))</f>
        <v/>
      </c>
      <c r="F356" s="13"/>
      <c r="G356" s="13"/>
    </row>
    <row r="357" customFormat="false" ht="15" hidden="false" customHeight="false" outlineLevel="0" collapsed="false">
      <c r="A357" s="14"/>
      <c r="B357" s="14"/>
      <c r="C357" s="11" t="str">
        <f aca="false">IF(OR(A357="",B357=""),"",A357&amp;"-"&amp;TEXT(B357,"00"))</f>
        <v/>
      </c>
      <c r="D357" s="11" t="str">
        <f aca="false">IF(A357="","",IFERROR(INDEX(Execuções!$E$2:$E$97,MATCH(A357,Execuções!$A$2:$A$97,0)),"ID?"))</f>
        <v/>
      </c>
      <c r="E357" s="11" t="str">
        <f aca="false">IF(A357="","",IFERROR(INDEX(Execuções!$F$2:$F$97,MATCH(A357,Execuções!$A$2:$A$97,0)),"ID?"))</f>
        <v/>
      </c>
      <c r="F357" s="13"/>
      <c r="G357" s="13"/>
    </row>
    <row r="358" customFormat="false" ht="15" hidden="false" customHeight="false" outlineLevel="0" collapsed="false">
      <c r="A358" s="14"/>
      <c r="B358" s="14"/>
      <c r="C358" s="11" t="str">
        <f aca="false">IF(OR(A358="",B358=""),"",A358&amp;"-"&amp;TEXT(B358,"00"))</f>
        <v/>
      </c>
      <c r="D358" s="11" t="str">
        <f aca="false">IF(A358="","",IFERROR(INDEX(Execuções!$E$2:$E$97,MATCH(A358,Execuções!$A$2:$A$97,0)),"ID?"))</f>
        <v/>
      </c>
      <c r="E358" s="11" t="str">
        <f aca="false">IF(A358="","",IFERROR(INDEX(Execuções!$F$2:$F$97,MATCH(A358,Execuções!$A$2:$A$97,0)),"ID?"))</f>
        <v/>
      </c>
      <c r="F358" s="13"/>
      <c r="G358" s="13"/>
    </row>
    <row r="359" customFormat="false" ht="15" hidden="false" customHeight="false" outlineLevel="0" collapsed="false">
      <c r="A359" s="14"/>
      <c r="B359" s="14"/>
      <c r="C359" s="11" t="str">
        <f aca="false">IF(OR(A359="",B359=""),"",A359&amp;"-"&amp;TEXT(B359,"00"))</f>
        <v/>
      </c>
      <c r="D359" s="11" t="str">
        <f aca="false">IF(A359="","",IFERROR(INDEX(Execuções!$E$2:$E$97,MATCH(A359,Execuções!$A$2:$A$97,0)),"ID?"))</f>
        <v/>
      </c>
      <c r="E359" s="11" t="str">
        <f aca="false">IF(A359="","",IFERROR(INDEX(Execuções!$F$2:$F$97,MATCH(A359,Execuções!$A$2:$A$97,0)),"ID?"))</f>
        <v/>
      </c>
      <c r="F359" s="13"/>
      <c r="G359" s="13"/>
    </row>
    <row r="360" customFormat="false" ht="15" hidden="false" customHeight="false" outlineLevel="0" collapsed="false">
      <c r="A360" s="14"/>
      <c r="B360" s="14"/>
      <c r="C360" s="11" t="str">
        <f aca="false">IF(OR(A360="",B360=""),"",A360&amp;"-"&amp;TEXT(B360,"00"))</f>
        <v/>
      </c>
      <c r="D360" s="11" t="str">
        <f aca="false">IF(A360="","",IFERROR(INDEX(Execuções!$E$2:$E$97,MATCH(A360,Execuções!$A$2:$A$97,0)),"ID?"))</f>
        <v/>
      </c>
      <c r="E360" s="11" t="str">
        <f aca="false">IF(A360="","",IFERROR(INDEX(Execuções!$F$2:$F$97,MATCH(A360,Execuções!$A$2:$A$97,0)),"ID?"))</f>
        <v/>
      </c>
      <c r="F360" s="13"/>
      <c r="G360" s="13"/>
    </row>
    <row r="361" customFormat="false" ht="15" hidden="false" customHeight="false" outlineLevel="0" collapsed="false">
      <c r="A361" s="14"/>
      <c r="B361" s="14"/>
      <c r="C361" s="11" t="str">
        <f aca="false">IF(OR(A361="",B361=""),"",A361&amp;"-"&amp;TEXT(B361,"00"))</f>
        <v/>
      </c>
      <c r="D361" s="11" t="str">
        <f aca="false">IF(A361="","",IFERROR(INDEX(Execuções!$E$2:$E$97,MATCH(A361,Execuções!$A$2:$A$97,0)),"ID?"))</f>
        <v/>
      </c>
      <c r="E361" s="11" t="str">
        <f aca="false">IF(A361="","",IFERROR(INDEX(Execuções!$F$2:$F$97,MATCH(A361,Execuções!$A$2:$A$97,0)),"ID?"))</f>
        <v/>
      </c>
      <c r="F361" s="13"/>
      <c r="G361" s="13"/>
    </row>
    <row r="362" customFormat="false" ht="15" hidden="false" customHeight="false" outlineLevel="0" collapsed="false">
      <c r="A362" s="14"/>
      <c r="B362" s="14"/>
      <c r="C362" s="11" t="str">
        <f aca="false">IF(OR(A362="",B362=""),"",A362&amp;"-"&amp;TEXT(B362,"00"))</f>
        <v/>
      </c>
      <c r="D362" s="11" t="str">
        <f aca="false">IF(A362="","",IFERROR(INDEX(Execuções!$E$2:$E$97,MATCH(A362,Execuções!$A$2:$A$97,0)),"ID?"))</f>
        <v/>
      </c>
      <c r="E362" s="11" t="str">
        <f aca="false">IF(A362="","",IFERROR(INDEX(Execuções!$F$2:$F$97,MATCH(A362,Execuções!$A$2:$A$97,0)),"ID?"))</f>
        <v/>
      </c>
      <c r="F362" s="13"/>
      <c r="G362" s="13"/>
    </row>
    <row r="363" customFormat="false" ht="15" hidden="false" customHeight="false" outlineLevel="0" collapsed="false">
      <c r="A363" s="14"/>
      <c r="B363" s="14"/>
      <c r="C363" s="11" t="str">
        <f aca="false">IF(OR(A363="",B363=""),"",A363&amp;"-"&amp;TEXT(B363,"00"))</f>
        <v/>
      </c>
      <c r="D363" s="11" t="str">
        <f aca="false">IF(A363="","",IFERROR(INDEX(Execuções!$E$2:$E$97,MATCH(A363,Execuções!$A$2:$A$97,0)),"ID?"))</f>
        <v/>
      </c>
      <c r="E363" s="11" t="str">
        <f aca="false">IF(A363="","",IFERROR(INDEX(Execuções!$F$2:$F$97,MATCH(A363,Execuções!$A$2:$A$97,0)),"ID?"))</f>
        <v/>
      </c>
      <c r="F363" s="13"/>
      <c r="G363" s="13"/>
    </row>
    <row r="364" customFormat="false" ht="15" hidden="false" customHeight="false" outlineLevel="0" collapsed="false">
      <c r="A364" s="14"/>
      <c r="B364" s="14"/>
      <c r="C364" s="11" t="str">
        <f aca="false">IF(OR(A364="",B364=""),"",A364&amp;"-"&amp;TEXT(B364,"00"))</f>
        <v/>
      </c>
      <c r="D364" s="11" t="str">
        <f aca="false">IF(A364="","",IFERROR(INDEX(Execuções!$E$2:$E$97,MATCH(A364,Execuções!$A$2:$A$97,0)),"ID?"))</f>
        <v/>
      </c>
      <c r="E364" s="11" t="str">
        <f aca="false">IF(A364="","",IFERROR(INDEX(Execuções!$F$2:$F$97,MATCH(A364,Execuções!$A$2:$A$97,0)),"ID?"))</f>
        <v/>
      </c>
      <c r="F364" s="13"/>
      <c r="G364" s="13"/>
    </row>
    <row r="365" customFormat="false" ht="15" hidden="false" customHeight="false" outlineLevel="0" collapsed="false">
      <c r="A365" s="14"/>
      <c r="B365" s="14"/>
      <c r="C365" s="11" t="str">
        <f aca="false">IF(OR(A365="",B365=""),"",A365&amp;"-"&amp;TEXT(B365,"00"))</f>
        <v/>
      </c>
      <c r="D365" s="11" t="str">
        <f aca="false">IF(A365="","",IFERROR(INDEX(Execuções!$E$2:$E$97,MATCH(A365,Execuções!$A$2:$A$97,0)),"ID?"))</f>
        <v/>
      </c>
      <c r="E365" s="11" t="str">
        <f aca="false">IF(A365="","",IFERROR(INDEX(Execuções!$F$2:$F$97,MATCH(A365,Execuções!$A$2:$A$97,0)),"ID?"))</f>
        <v/>
      </c>
      <c r="F365" s="13"/>
      <c r="G365" s="13"/>
    </row>
    <row r="366" customFormat="false" ht="15" hidden="false" customHeight="false" outlineLevel="0" collapsed="false">
      <c r="A366" s="14"/>
      <c r="B366" s="14"/>
      <c r="C366" s="11" t="str">
        <f aca="false">IF(OR(A366="",B366=""),"",A366&amp;"-"&amp;TEXT(B366,"00"))</f>
        <v/>
      </c>
      <c r="D366" s="11" t="str">
        <f aca="false">IF(A366="","",IFERROR(INDEX(Execuções!$E$2:$E$97,MATCH(A366,Execuções!$A$2:$A$97,0)),"ID?"))</f>
        <v/>
      </c>
      <c r="E366" s="11" t="str">
        <f aca="false">IF(A366="","",IFERROR(INDEX(Execuções!$F$2:$F$97,MATCH(A366,Execuções!$A$2:$A$97,0)),"ID?"))</f>
        <v/>
      </c>
      <c r="F366" s="13"/>
      <c r="G366" s="13"/>
    </row>
    <row r="367" customFormat="false" ht="15" hidden="false" customHeight="false" outlineLevel="0" collapsed="false">
      <c r="A367" s="14"/>
      <c r="B367" s="14"/>
      <c r="C367" s="11" t="str">
        <f aca="false">IF(OR(A367="",B367=""),"",A367&amp;"-"&amp;TEXT(B367,"00"))</f>
        <v/>
      </c>
      <c r="D367" s="11" t="str">
        <f aca="false">IF(A367="","",IFERROR(INDEX(Execuções!$E$2:$E$97,MATCH(A367,Execuções!$A$2:$A$97,0)),"ID?"))</f>
        <v/>
      </c>
      <c r="E367" s="11" t="str">
        <f aca="false">IF(A367="","",IFERROR(INDEX(Execuções!$F$2:$F$97,MATCH(A367,Execuções!$A$2:$A$97,0)),"ID?"))</f>
        <v/>
      </c>
      <c r="F367" s="13"/>
      <c r="G367" s="13"/>
    </row>
    <row r="368" customFormat="false" ht="15" hidden="false" customHeight="false" outlineLevel="0" collapsed="false">
      <c r="A368" s="14"/>
      <c r="B368" s="14"/>
      <c r="C368" s="11" t="str">
        <f aca="false">IF(OR(A368="",B368=""),"",A368&amp;"-"&amp;TEXT(B368,"00"))</f>
        <v/>
      </c>
      <c r="D368" s="11" t="str">
        <f aca="false">IF(A368="","",IFERROR(INDEX(Execuções!$E$2:$E$97,MATCH(A368,Execuções!$A$2:$A$97,0)),"ID?"))</f>
        <v/>
      </c>
      <c r="E368" s="11" t="str">
        <f aca="false">IF(A368="","",IFERROR(INDEX(Execuções!$F$2:$F$97,MATCH(A368,Execuções!$A$2:$A$97,0)),"ID?"))</f>
        <v/>
      </c>
      <c r="F368" s="13"/>
      <c r="G368" s="13"/>
    </row>
    <row r="369" customFormat="false" ht="15" hidden="false" customHeight="false" outlineLevel="0" collapsed="false">
      <c r="A369" s="14"/>
      <c r="B369" s="14"/>
      <c r="C369" s="11" t="str">
        <f aca="false">IF(OR(A369="",B369=""),"",A369&amp;"-"&amp;TEXT(B369,"00"))</f>
        <v/>
      </c>
      <c r="D369" s="11" t="str">
        <f aca="false">IF(A369="","",IFERROR(INDEX(Execuções!$E$2:$E$97,MATCH(A369,Execuções!$A$2:$A$97,0)),"ID?"))</f>
        <v/>
      </c>
      <c r="E369" s="11" t="str">
        <f aca="false">IF(A369="","",IFERROR(INDEX(Execuções!$F$2:$F$97,MATCH(A369,Execuções!$A$2:$A$97,0)),"ID?"))</f>
        <v/>
      </c>
      <c r="F369" s="13"/>
      <c r="G369" s="13"/>
    </row>
    <row r="370" customFormat="false" ht="15" hidden="false" customHeight="false" outlineLevel="0" collapsed="false">
      <c r="A370" s="14"/>
      <c r="B370" s="14"/>
      <c r="C370" s="11" t="str">
        <f aca="false">IF(OR(A370="",B370=""),"",A370&amp;"-"&amp;TEXT(B370,"00"))</f>
        <v/>
      </c>
      <c r="D370" s="11" t="str">
        <f aca="false">IF(A370="","",IFERROR(INDEX(Execuções!$E$2:$E$97,MATCH(A370,Execuções!$A$2:$A$97,0)),"ID?"))</f>
        <v/>
      </c>
      <c r="E370" s="11" t="str">
        <f aca="false">IF(A370="","",IFERROR(INDEX(Execuções!$F$2:$F$97,MATCH(A370,Execuções!$A$2:$A$97,0)),"ID?"))</f>
        <v/>
      </c>
      <c r="F370" s="13"/>
      <c r="G370" s="13"/>
    </row>
    <row r="371" customFormat="false" ht="15" hidden="false" customHeight="false" outlineLevel="0" collapsed="false">
      <c r="A371" s="14"/>
      <c r="B371" s="14"/>
      <c r="C371" s="11" t="str">
        <f aca="false">IF(OR(A371="",B371=""),"",A371&amp;"-"&amp;TEXT(B371,"00"))</f>
        <v/>
      </c>
      <c r="D371" s="11" t="str">
        <f aca="false">IF(A371="","",IFERROR(INDEX(Execuções!$E$2:$E$97,MATCH(A371,Execuções!$A$2:$A$97,0)),"ID?"))</f>
        <v/>
      </c>
      <c r="E371" s="11" t="str">
        <f aca="false">IF(A371="","",IFERROR(INDEX(Execuções!$F$2:$F$97,MATCH(A371,Execuções!$A$2:$A$97,0)),"ID?"))</f>
        <v/>
      </c>
      <c r="F371" s="13"/>
      <c r="G371" s="13"/>
    </row>
    <row r="372" customFormat="false" ht="15" hidden="false" customHeight="false" outlineLevel="0" collapsed="false">
      <c r="A372" s="14"/>
      <c r="B372" s="14"/>
      <c r="C372" s="11" t="str">
        <f aca="false">IF(OR(A372="",B372=""),"",A372&amp;"-"&amp;TEXT(B372,"00"))</f>
        <v/>
      </c>
      <c r="D372" s="11" t="str">
        <f aca="false">IF(A372="","",IFERROR(INDEX(Execuções!$E$2:$E$97,MATCH(A372,Execuções!$A$2:$A$97,0)),"ID?"))</f>
        <v/>
      </c>
      <c r="E372" s="11" t="str">
        <f aca="false">IF(A372="","",IFERROR(INDEX(Execuções!$F$2:$F$97,MATCH(A372,Execuções!$A$2:$A$97,0)),"ID?"))</f>
        <v/>
      </c>
      <c r="F372" s="13"/>
      <c r="G372" s="13"/>
    </row>
    <row r="373" customFormat="false" ht="15" hidden="false" customHeight="false" outlineLevel="0" collapsed="false">
      <c r="A373" s="14"/>
      <c r="B373" s="14"/>
      <c r="C373" s="11" t="str">
        <f aca="false">IF(OR(A373="",B373=""),"",A373&amp;"-"&amp;TEXT(B373,"00"))</f>
        <v/>
      </c>
      <c r="D373" s="11" t="str">
        <f aca="false">IF(A373="","",IFERROR(INDEX(Execuções!$E$2:$E$97,MATCH(A373,Execuções!$A$2:$A$97,0)),"ID?"))</f>
        <v/>
      </c>
      <c r="E373" s="11" t="str">
        <f aca="false">IF(A373="","",IFERROR(INDEX(Execuções!$F$2:$F$97,MATCH(A373,Execuções!$A$2:$A$97,0)),"ID?"))</f>
        <v/>
      </c>
      <c r="F373" s="13"/>
      <c r="G373" s="13"/>
    </row>
    <row r="374" customFormat="false" ht="15" hidden="false" customHeight="false" outlineLevel="0" collapsed="false">
      <c r="A374" s="14"/>
      <c r="B374" s="14"/>
      <c r="C374" s="11" t="str">
        <f aca="false">IF(OR(A374="",B374=""),"",A374&amp;"-"&amp;TEXT(B374,"00"))</f>
        <v/>
      </c>
      <c r="D374" s="11" t="str">
        <f aca="false">IF(A374="","",IFERROR(INDEX(Execuções!$E$2:$E$97,MATCH(A374,Execuções!$A$2:$A$97,0)),"ID?"))</f>
        <v/>
      </c>
      <c r="E374" s="11" t="str">
        <f aca="false">IF(A374="","",IFERROR(INDEX(Execuções!$F$2:$F$97,MATCH(A374,Execuções!$A$2:$A$97,0)),"ID?"))</f>
        <v/>
      </c>
      <c r="F374" s="13"/>
      <c r="G374" s="13"/>
    </row>
    <row r="375" customFormat="false" ht="15" hidden="false" customHeight="false" outlineLevel="0" collapsed="false">
      <c r="A375" s="14"/>
      <c r="B375" s="14"/>
      <c r="C375" s="11" t="str">
        <f aca="false">IF(OR(A375="",B375=""),"",A375&amp;"-"&amp;TEXT(B375,"00"))</f>
        <v/>
      </c>
      <c r="D375" s="11" t="str">
        <f aca="false">IF(A375="","",IFERROR(INDEX(Execuções!$E$2:$E$97,MATCH(A375,Execuções!$A$2:$A$97,0)),"ID?"))</f>
        <v/>
      </c>
      <c r="E375" s="11" t="str">
        <f aca="false">IF(A375="","",IFERROR(INDEX(Execuções!$F$2:$F$97,MATCH(A375,Execuções!$A$2:$A$97,0)),"ID?"))</f>
        <v/>
      </c>
      <c r="F375" s="13"/>
      <c r="G375" s="13"/>
    </row>
    <row r="376" customFormat="false" ht="15" hidden="false" customHeight="false" outlineLevel="0" collapsed="false">
      <c r="A376" s="14"/>
      <c r="B376" s="14"/>
      <c r="C376" s="11" t="str">
        <f aca="false">IF(OR(A376="",B376=""),"",A376&amp;"-"&amp;TEXT(B376,"00"))</f>
        <v/>
      </c>
      <c r="D376" s="11" t="str">
        <f aca="false">IF(A376="","",IFERROR(INDEX(Execuções!$E$2:$E$97,MATCH(A376,Execuções!$A$2:$A$97,0)),"ID?"))</f>
        <v/>
      </c>
      <c r="E376" s="11" t="str">
        <f aca="false">IF(A376="","",IFERROR(INDEX(Execuções!$F$2:$F$97,MATCH(A376,Execuções!$A$2:$A$97,0)),"ID?"))</f>
        <v/>
      </c>
      <c r="F376" s="13"/>
      <c r="G376" s="13"/>
    </row>
    <row r="377" customFormat="false" ht="15" hidden="false" customHeight="false" outlineLevel="0" collapsed="false">
      <c r="A377" s="14"/>
      <c r="B377" s="14"/>
      <c r="C377" s="11" t="str">
        <f aca="false">IF(OR(A377="",B377=""),"",A377&amp;"-"&amp;TEXT(B377,"00"))</f>
        <v/>
      </c>
      <c r="D377" s="11" t="str">
        <f aca="false">IF(A377="","",IFERROR(INDEX(Execuções!$E$2:$E$97,MATCH(A377,Execuções!$A$2:$A$97,0)),"ID?"))</f>
        <v/>
      </c>
      <c r="E377" s="11" t="str">
        <f aca="false">IF(A377="","",IFERROR(INDEX(Execuções!$F$2:$F$97,MATCH(A377,Execuções!$A$2:$A$97,0)),"ID?"))</f>
        <v/>
      </c>
      <c r="F377" s="13"/>
      <c r="G377" s="13"/>
    </row>
    <row r="378" customFormat="false" ht="15" hidden="false" customHeight="false" outlineLevel="0" collapsed="false">
      <c r="A378" s="14"/>
      <c r="B378" s="14"/>
      <c r="C378" s="11" t="str">
        <f aca="false">IF(OR(A378="",B378=""),"",A378&amp;"-"&amp;TEXT(B378,"00"))</f>
        <v/>
      </c>
      <c r="D378" s="11" t="str">
        <f aca="false">IF(A378="","",IFERROR(INDEX(Execuções!$E$2:$E$97,MATCH(A378,Execuções!$A$2:$A$97,0)),"ID?"))</f>
        <v/>
      </c>
      <c r="E378" s="11" t="str">
        <f aca="false">IF(A378="","",IFERROR(INDEX(Execuções!$F$2:$F$97,MATCH(A378,Execuções!$A$2:$A$97,0)),"ID?"))</f>
        <v/>
      </c>
      <c r="F378" s="13"/>
      <c r="G378" s="13"/>
    </row>
    <row r="379" customFormat="false" ht="15" hidden="false" customHeight="false" outlineLevel="0" collapsed="false">
      <c r="A379" s="14"/>
      <c r="B379" s="14"/>
      <c r="C379" s="11" t="str">
        <f aca="false">IF(OR(A379="",B379=""),"",A379&amp;"-"&amp;TEXT(B379,"00"))</f>
        <v/>
      </c>
      <c r="D379" s="11" t="str">
        <f aca="false">IF(A379="","",IFERROR(INDEX(Execuções!$E$2:$E$97,MATCH(A379,Execuções!$A$2:$A$97,0)),"ID?"))</f>
        <v/>
      </c>
      <c r="E379" s="11" t="str">
        <f aca="false">IF(A379="","",IFERROR(INDEX(Execuções!$F$2:$F$97,MATCH(A379,Execuções!$A$2:$A$97,0)),"ID?"))</f>
        <v/>
      </c>
      <c r="F379" s="13"/>
      <c r="G379" s="13"/>
    </row>
    <row r="380" customFormat="false" ht="15" hidden="false" customHeight="false" outlineLevel="0" collapsed="false">
      <c r="A380" s="14"/>
      <c r="B380" s="14"/>
      <c r="C380" s="11" t="str">
        <f aca="false">IF(OR(A380="",B380=""),"",A380&amp;"-"&amp;TEXT(B380,"00"))</f>
        <v/>
      </c>
      <c r="D380" s="11" t="str">
        <f aca="false">IF(A380="","",IFERROR(INDEX(Execuções!$E$2:$E$97,MATCH(A380,Execuções!$A$2:$A$97,0)),"ID?"))</f>
        <v/>
      </c>
      <c r="E380" s="11" t="str">
        <f aca="false">IF(A380="","",IFERROR(INDEX(Execuções!$F$2:$F$97,MATCH(A380,Execuções!$A$2:$A$97,0)),"ID?"))</f>
        <v/>
      </c>
      <c r="F380" s="13"/>
      <c r="G380" s="13"/>
    </row>
    <row r="381" customFormat="false" ht="15" hidden="false" customHeight="false" outlineLevel="0" collapsed="false">
      <c r="A381" s="14"/>
      <c r="B381" s="14"/>
      <c r="C381" s="11" t="str">
        <f aca="false">IF(OR(A381="",B381=""),"",A381&amp;"-"&amp;TEXT(B381,"00"))</f>
        <v/>
      </c>
      <c r="D381" s="11" t="str">
        <f aca="false">IF(A381="","",IFERROR(INDEX(Execuções!$E$2:$E$97,MATCH(A381,Execuções!$A$2:$A$97,0)),"ID?"))</f>
        <v/>
      </c>
      <c r="E381" s="11" t="str">
        <f aca="false">IF(A381="","",IFERROR(INDEX(Execuções!$F$2:$F$97,MATCH(A381,Execuções!$A$2:$A$97,0)),"ID?"))</f>
        <v/>
      </c>
      <c r="F381" s="13"/>
      <c r="G381" s="13"/>
    </row>
    <row r="382" customFormat="false" ht="15" hidden="false" customHeight="false" outlineLevel="0" collapsed="false">
      <c r="A382" s="14"/>
      <c r="B382" s="14"/>
      <c r="C382" s="11" t="str">
        <f aca="false">IF(OR(A382="",B382=""),"",A382&amp;"-"&amp;TEXT(B382,"00"))</f>
        <v/>
      </c>
      <c r="D382" s="11" t="str">
        <f aca="false">IF(A382="","",IFERROR(INDEX(Execuções!$E$2:$E$97,MATCH(A382,Execuções!$A$2:$A$97,0)),"ID?"))</f>
        <v/>
      </c>
      <c r="E382" s="11" t="str">
        <f aca="false">IF(A382="","",IFERROR(INDEX(Execuções!$F$2:$F$97,MATCH(A382,Execuções!$A$2:$A$97,0)),"ID?"))</f>
        <v/>
      </c>
      <c r="F382" s="13"/>
      <c r="G382" s="13"/>
    </row>
    <row r="383" customFormat="false" ht="15" hidden="false" customHeight="false" outlineLevel="0" collapsed="false">
      <c r="A383" s="14"/>
      <c r="B383" s="14"/>
      <c r="C383" s="11" t="str">
        <f aca="false">IF(OR(A383="",B383=""),"",A383&amp;"-"&amp;TEXT(B383,"00"))</f>
        <v/>
      </c>
      <c r="D383" s="11" t="str">
        <f aca="false">IF(A383="","",IFERROR(INDEX(Execuções!$E$2:$E$97,MATCH(A383,Execuções!$A$2:$A$97,0)),"ID?"))</f>
        <v/>
      </c>
      <c r="E383" s="11" t="str">
        <f aca="false">IF(A383="","",IFERROR(INDEX(Execuções!$F$2:$F$97,MATCH(A383,Execuções!$A$2:$A$97,0)),"ID?"))</f>
        <v/>
      </c>
      <c r="F383" s="13"/>
      <c r="G383" s="13"/>
    </row>
    <row r="384" customFormat="false" ht="15" hidden="false" customHeight="false" outlineLevel="0" collapsed="false">
      <c r="A384" s="14"/>
      <c r="B384" s="14"/>
      <c r="C384" s="11" t="str">
        <f aca="false">IF(OR(A384="",B384=""),"",A384&amp;"-"&amp;TEXT(B384,"00"))</f>
        <v/>
      </c>
      <c r="D384" s="11" t="str">
        <f aca="false">IF(A384="","",IFERROR(INDEX(Execuções!$E$2:$E$97,MATCH(A384,Execuções!$A$2:$A$97,0)),"ID?"))</f>
        <v/>
      </c>
      <c r="E384" s="11" t="str">
        <f aca="false">IF(A384="","",IFERROR(INDEX(Execuções!$F$2:$F$97,MATCH(A384,Execuções!$A$2:$A$97,0)),"ID?"))</f>
        <v/>
      </c>
      <c r="F384" s="13"/>
      <c r="G384" s="13"/>
    </row>
    <row r="385" customFormat="false" ht="15" hidden="false" customHeight="false" outlineLevel="0" collapsed="false">
      <c r="A385" s="14"/>
      <c r="B385" s="14"/>
      <c r="C385" s="11" t="str">
        <f aca="false">IF(OR(A385="",B385=""),"",A385&amp;"-"&amp;TEXT(B385,"00"))</f>
        <v/>
      </c>
      <c r="D385" s="11" t="str">
        <f aca="false">IF(A385="","",IFERROR(INDEX(Execuções!$E$2:$E$97,MATCH(A385,Execuções!$A$2:$A$97,0)),"ID?"))</f>
        <v/>
      </c>
      <c r="E385" s="11" t="str">
        <f aca="false">IF(A385="","",IFERROR(INDEX(Execuções!$F$2:$F$97,MATCH(A385,Execuções!$A$2:$A$97,0)),"ID?"))</f>
        <v/>
      </c>
      <c r="F385" s="13"/>
      <c r="G385" s="13"/>
    </row>
    <row r="386" customFormat="false" ht="15" hidden="false" customHeight="false" outlineLevel="0" collapsed="false">
      <c r="A386" s="14"/>
      <c r="B386" s="14"/>
      <c r="C386" s="11" t="str">
        <f aca="false">IF(OR(A386="",B386=""),"",A386&amp;"-"&amp;TEXT(B386,"00"))</f>
        <v/>
      </c>
      <c r="D386" s="11" t="str">
        <f aca="false">IF(A386="","",IFERROR(INDEX(Execuções!$E$2:$E$97,MATCH(A386,Execuções!$A$2:$A$97,0)),"ID?"))</f>
        <v/>
      </c>
      <c r="E386" s="11" t="str">
        <f aca="false">IF(A386="","",IFERROR(INDEX(Execuções!$F$2:$F$97,MATCH(A386,Execuções!$A$2:$A$97,0)),"ID?"))</f>
        <v/>
      </c>
      <c r="F386" s="13"/>
      <c r="G386" s="13"/>
    </row>
    <row r="387" customFormat="false" ht="15" hidden="false" customHeight="false" outlineLevel="0" collapsed="false">
      <c r="A387" s="14"/>
      <c r="B387" s="14"/>
      <c r="C387" s="11" t="str">
        <f aca="false">IF(OR(A387="",B387=""),"",A387&amp;"-"&amp;TEXT(B387,"00"))</f>
        <v/>
      </c>
      <c r="D387" s="11" t="str">
        <f aca="false">IF(A387="","",IFERROR(INDEX(Execuções!$E$2:$E$97,MATCH(A387,Execuções!$A$2:$A$97,0)),"ID?"))</f>
        <v/>
      </c>
      <c r="E387" s="11" t="str">
        <f aca="false">IF(A387="","",IFERROR(INDEX(Execuções!$F$2:$F$97,MATCH(A387,Execuções!$A$2:$A$97,0)),"ID?"))</f>
        <v/>
      </c>
      <c r="F387" s="13"/>
      <c r="G387" s="13"/>
    </row>
    <row r="388" customFormat="false" ht="15" hidden="false" customHeight="false" outlineLevel="0" collapsed="false">
      <c r="A388" s="14"/>
      <c r="B388" s="14"/>
      <c r="C388" s="11" t="str">
        <f aca="false">IF(OR(A388="",B388=""),"",A388&amp;"-"&amp;TEXT(B388,"00"))</f>
        <v/>
      </c>
      <c r="D388" s="11" t="str">
        <f aca="false">IF(A388="","",IFERROR(INDEX(Execuções!$E$2:$E$97,MATCH(A388,Execuções!$A$2:$A$97,0)),"ID?"))</f>
        <v/>
      </c>
      <c r="E388" s="11" t="str">
        <f aca="false">IF(A388="","",IFERROR(INDEX(Execuções!$F$2:$F$97,MATCH(A388,Execuções!$A$2:$A$97,0)),"ID?"))</f>
        <v/>
      </c>
      <c r="F388" s="13"/>
      <c r="G388" s="13"/>
    </row>
    <row r="389" customFormat="false" ht="15" hidden="false" customHeight="false" outlineLevel="0" collapsed="false">
      <c r="A389" s="14"/>
      <c r="B389" s="14"/>
      <c r="C389" s="11" t="str">
        <f aca="false">IF(OR(A389="",B389=""),"",A389&amp;"-"&amp;TEXT(B389,"00"))</f>
        <v/>
      </c>
      <c r="D389" s="11" t="str">
        <f aca="false">IF(A389="","",IFERROR(INDEX(Execuções!$E$2:$E$97,MATCH(A389,Execuções!$A$2:$A$97,0)),"ID?"))</f>
        <v/>
      </c>
      <c r="E389" s="11" t="str">
        <f aca="false">IF(A389="","",IFERROR(INDEX(Execuções!$F$2:$F$97,MATCH(A389,Execuções!$A$2:$A$97,0)),"ID?"))</f>
        <v/>
      </c>
      <c r="F389" s="13"/>
      <c r="G389" s="13"/>
    </row>
    <row r="390" customFormat="false" ht="15" hidden="false" customHeight="false" outlineLevel="0" collapsed="false">
      <c r="A390" s="14"/>
      <c r="B390" s="14"/>
      <c r="C390" s="11" t="str">
        <f aca="false">IF(OR(A390="",B390=""),"",A390&amp;"-"&amp;TEXT(B390,"00"))</f>
        <v/>
      </c>
      <c r="D390" s="11" t="str">
        <f aca="false">IF(A390="","",IFERROR(INDEX(Execuções!$E$2:$E$97,MATCH(A390,Execuções!$A$2:$A$97,0)),"ID?"))</f>
        <v/>
      </c>
      <c r="E390" s="11" t="str">
        <f aca="false">IF(A390="","",IFERROR(INDEX(Execuções!$F$2:$F$97,MATCH(A390,Execuções!$A$2:$A$97,0)),"ID?"))</f>
        <v/>
      </c>
      <c r="F390" s="13"/>
      <c r="G390" s="13"/>
    </row>
    <row r="391" customFormat="false" ht="15" hidden="false" customHeight="false" outlineLevel="0" collapsed="false">
      <c r="A391" s="14"/>
      <c r="B391" s="14"/>
      <c r="C391" s="11" t="str">
        <f aca="false">IF(OR(A391="",B391=""),"",A391&amp;"-"&amp;TEXT(B391,"00"))</f>
        <v/>
      </c>
      <c r="D391" s="11" t="str">
        <f aca="false">IF(A391="","",IFERROR(INDEX(Execuções!$E$2:$E$97,MATCH(A391,Execuções!$A$2:$A$97,0)),"ID?"))</f>
        <v/>
      </c>
      <c r="E391" s="11" t="str">
        <f aca="false">IF(A391="","",IFERROR(INDEX(Execuções!$F$2:$F$97,MATCH(A391,Execuções!$A$2:$A$97,0)),"ID?"))</f>
        <v/>
      </c>
      <c r="F391" s="13"/>
      <c r="G391" s="13"/>
    </row>
    <row r="392" customFormat="false" ht="15" hidden="false" customHeight="false" outlineLevel="0" collapsed="false">
      <c r="A392" s="14"/>
      <c r="B392" s="14"/>
      <c r="C392" s="11" t="str">
        <f aca="false">IF(OR(A392="",B392=""),"",A392&amp;"-"&amp;TEXT(B392,"00"))</f>
        <v/>
      </c>
      <c r="D392" s="11" t="str">
        <f aca="false">IF(A392="","",IFERROR(INDEX(Execuções!$E$2:$E$97,MATCH(A392,Execuções!$A$2:$A$97,0)),"ID?"))</f>
        <v/>
      </c>
      <c r="E392" s="11" t="str">
        <f aca="false">IF(A392="","",IFERROR(INDEX(Execuções!$F$2:$F$97,MATCH(A392,Execuções!$A$2:$A$97,0)),"ID?"))</f>
        <v/>
      </c>
      <c r="F392" s="13"/>
      <c r="G392" s="13"/>
    </row>
    <row r="393" customFormat="false" ht="15" hidden="false" customHeight="false" outlineLevel="0" collapsed="false">
      <c r="A393" s="14"/>
      <c r="B393" s="14"/>
      <c r="C393" s="11" t="str">
        <f aca="false">IF(OR(A393="",B393=""),"",A393&amp;"-"&amp;TEXT(B393,"00"))</f>
        <v/>
      </c>
      <c r="D393" s="11" t="str">
        <f aca="false">IF(A393="","",IFERROR(INDEX(Execuções!$E$2:$E$97,MATCH(A393,Execuções!$A$2:$A$97,0)),"ID?"))</f>
        <v/>
      </c>
      <c r="E393" s="11" t="str">
        <f aca="false">IF(A393="","",IFERROR(INDEX(Execuções!$F$2:$F$97,MATCH(A393,Execuções!$A$2:$A$97,0)),"ID?"))</f>
        <v/>
      </c>
      <c r="F393" s="13"/>
      <c r="G393" s="13"/>
    </row>
    <row r="394" customFormat="false" ht="15" hidden="false" customHeight="false" outlineLevel="0" collapsed="false">
      <c r="A394" s="14"/>
      <c r="B394" s="14"/>
      <c r="C394" s="11" t="str">
        <f aca="false">IF(OR(A394="",B394=""),"",A394&amp;"-"&amp;TEXT(B394,"00"))</f>
        <v/>
      </c>
      <c r="D394" s="11" t="str">
        <f aca="false">IF(A394="","",IFERROR(INDEX(Execuções!$E$2:$E$97,MATCH(A394,Execuções!$A$2:$A$97,0)),"ID?"))</f>
        <v/>
      </c>
      <c r="E394" s="11" t="str">
        <f aca="false">IF(A394="","",IFERROR(INDEX(Execuções!$F$2:$F$97,MATCH(A394,Execuções!$A$2:$A$97,0)),"ID?"))</f>
        <v/>
      </c>
      <c r="F394" s="13"/>
      <c r="G394" s="13"/>
    </row>
    <row r="395" customFormat="false" ht="15" hidden="false" customHeight="false" outlineLevel="0" collapsed="false">
      <c r="A395" s="14"/>
      <c r="B395" s="14"/>
      <c r="C395" s="11" t="str">
        <f aca="false">IF(OR(A395="",B395=""),"",A395&amp;"-"&amp;TEXT(B395,"00"))</f>
        <v/>
      </c>
      <c r="D395" s="11" t="str">
        <f aca="false">IF(A395="","",IFERROR(INDEX(Execuções!$E$2:$E$97,MATCH(A395,Execuções!$A$2:$A$97,0)),"ID?"))</f>
        <v/>
      </c>
      <c r="E395" s="11" t="str">
        <f aca="false">IF(A395="","",IFERROR(INDEX(Execuções!$F$2:$F$97,MATCH(A395,Execuções!$A$2:$A$97,0)),"ID?"))</f>
        <v/>
      </c>
      <c r="F395" s="13"/>
      <c r="G395" s="13"/>
    </row>
    <row r="396" customFormat="false" ht="15" hidden="false" customHeight="false" outlineLevel="0" collapsed="false">
      <c r="A396" s="14"/>
      <c r="B396" s="14"/>
      <c r="C396" s="11" t="str">
        <f aca="false">IF(OR(A396="",B396=""),"",A396&amp;"-"&amp;TEXT(B396,"00"))</f>
        <v/>
      </c>
      <c r="D396" s="11" t="str">
        <f aca="false">IF(A396="","",IFERROR(INDEX(Execuções!$E$2:$E$97,MATCH(A396,Execuções!$A$2:$A$97,0)),"ID?"))</f>
        <v/>
      </c>
      <c r="E396" s="11" t="str">
        <f aca="false">IF(A396="","",IFERROR(INDEX(Execuções!$F$2:$F$97,MATCH(A396,Execuções!$A$2:$A$97,0)),"ID?"))</f>
        <v/>
      </c>
      <c r="F396" s="13"/>
      <c r="G396" s="13"/>
    </row>
    <row r="397" customFormat="false" ht="15" hidden="false" customHeight="false" outlineLevel="0" collapsed="false">
      <c r="A397" s="14"/>
      <c r="B397" s="14"/>
      <c r="C397" s="11" t="str">
        <f aca="false">IF(OR(A397="",B397=""),"",A397&amp;"-"&amp;TEXT(B397,"00"))</f>
        <v/>
      </c>
      <c r="D397" s="11" t="str">
        <f aca="false">IF(A397="","",IFERROR(INDEX(Execuções!$E$2:$E$97,MATCH(A397,Execuções!$A$2:$A$97,0)),"ID?"))</f>
        <v/>
      </c>
      <c r="E397" s="11" t="str">
        <f aca="false">IF(A397="","",IFERROR(INDEX(Execuções!$F$2:$F$97,MATCH(A397,Execuções!$A$2:$A$97,0)),"ID?"))</f>
        <v/>
      </c>
      <c r="F397" s="13"/>
      <c r="G397" s="13"/>
    </row>
    <row r="398" customFormat="false" ht="15" hidden="false" customHeight="false" outlineLevel="0" collapsed="false">
      <c r="A398" s="14"/>
      <c r="B398" s="14"/>
      <c r="C398" s="11" t="str">
        <f aca="false">IF(OR(A398="",B398=""),"",A398&amp;"-"&amp;TEXT(B398,"00"))</f>
        <v/>
      </c>
      <c r="D398" s="11" t="str">
        <f aca="false">IF(A398="","",IFERROR(INDEX(Execuções!$E$2:$E$97,MATCH(A398,Execuções!$A$2:$A$97,0)),"ID?"))</f>
        <v/>
      </c>
      <c r="E398" s="11" t="str">
        <f aca="false">IF(A398="","",IFERROR(INDEX(Execuções!$F$2:$F$97,MATCH(A398,Execuções!$A$2:$A$97,0)),"ID?"))</f>
        <v/>
      </c>
      <c r="F398" s="13"/>
      <c r="G398" s="13"/>
    </row>
    <row r="399" customFormat="false" ht="15" hidden="false" customHeight="false" outlineLevel="0" collapsed="false">
      <c r="A399" s="14"/>
      <c r="B399" s="14"/>
      <c r="C399" s="11" t="str">
        <f aca="false">IF(OR(A399="",B399=""),"",A399&amp;"-"&amp;TEXT(B399,"00"))</f>
        <v/>
      </c>
      <c r="D399" s="11" t="str">
        <f aca="false">IF(A399="","",IFERROR(INDEX(Execuções!$E$2:$E$97,MATCH(A399,Execuções!$A$2:$A$97,0)),"ID?"))</f>
        <v/>
      </c>
      <c r="E399" s="11" t="str">
        <f aca="false">IF(A399="","",IFERROR(INDEX(Execuções!$F$2:$F$97,MATCH(A399,Execuções!$A$2:$A$97,0)),"ID?"))</f>
        <v/>
      </c>
      <c r="F399" s="13"/>
      <c r="G399" s="13"/>
    </row>
    <row r="400" customFormat="false" ht="15" hidden="false" customHeight="false" outlineLevel="0" collapsed="false">
      <c r="A400" s="14"/>
      <c r="B400" s="14"/>
      <c r="C400" s="11" t="str">
        <f aca="false">IF(OR(A400="",B400=""),"",A400&amp;"-"&amp;TEXT(B400,"00"))</f>
        <v/>
      </c>
      <c r="D400" s="11" t="str">
        <f aca="false">IF(A400="","",IFERROR(INDEX(Execuções!$E$2:$E$97,MATCH(A400,Execuções!$A$2:$A$97,0)),"ID?"))</f>
        <v/>
      </c>
      <c r="E400" s="11" t="str">
        <f aca="false">IF(A400="","",IFERROR(INDEX(Execuções!$F$2:$F$97,MATCH(A400,Execuções!$A$2:$A$97,0)),"ID?"))</f>
        <v/>
      </c>
      <c r="F400" s="13"/>
      <c r="G400" s="13"/>
    </row>
    <row r="401" customFormat="false" ht="15" hidden="false" customHeight="false" outlineLevel="0" collapsed="false">
      <c r="A401" s="14"/>
      <c r="B401" s="14"/>
      <c r="C401" s="11" t="str">
        <f aca="false">IF(OR(A401="",B401=""),"",A401&amp;"-"&amp;TEXT(B401,"00"))</f>
        <v/>
      </c>
      <c r="D401" s="11" t="str">
        <f aca="false">IF(A401="","",IFERROR(INDEX(Execuções!$E$2:$E$97,MATCH(A401,Execuções!$A$2:$A$97,0)),"ID?"))</f>
        <v/>
      </c>
      <c r="E401" s="11" t="str">
        <f aca="false">IF(A401="","",IFERROR(INDEX(Execuções!$F$2:$F$97,MATCH(A401,Execuções!$A$2:$A$97,0)),"ID?"))</f>
        <v/>
      </c>
      <c r="F401" s="13"/>
      <c r="G401" s="13"/>
    </row>
    <row r="402" customFormat="false" ht="15" hidden="false" customHeight="false" outlineLevel="0" collapsed="false">
      <c r="A402" s="14"/>
      <c r="B402" s="14"/>
      <c r="C402" s="11" t="str">
        <f aca="false">IF(OR(A402="",B402=""),"",A402&amp;"-"&amp;TEXT(B402,"00"))</f>
        <v/>
      </c>
      <c r="D402" s="11" t="str">
        <f aca="false">IF(A402="","",IFERROR(INDEX(Execuções!$E$2:$E$97,MATCH(A402,Execuções!$A$2:$A$97,0)),"ID?"))</f>
        <v/>
      </c>
      <c r="E402" s="11" t="str">
        <f aca="false">IF(A402="","",IFERROR(INDEX(Execuções!$F$2:$F$97,MATCH(A402,Execuções!$A$2:$A$97,0)),"ID?"))</f>
        <v/>
      </c>
      <c r="F402" s="13"/>
      <c r="G402" s="13"/>
    </row>
    <row r="403" customFormat="false" ht="15" hidden="false" customHeight="false" outlineLevel="0" collapsed="false">
      <c r="A403" s="14"/>
      <c r="B403" s="14"/>
      <c r="C403" s="11" t="str">
        <f aca="false">IF(OR(A403="",B403=""),"",A403&amp;"-"&amp;TEXT(B403,"00"))</f>
        <v/>
      </c>
      <c r="D403" s="11" t="str">
        <f aca="false">IF(A403="","",IFERROR(INDEX(Execuções!$E$2:$E$97,MATCH(A403,Execuções!$A$2:$A$97,0)),"ID?"))</f>
        <v/>
      </c>
      <c r="E403" s="11" t="str">
        <f aca="false">IF(A403="","",IFERROR(INDEX(Execuções!$F$2:$F$97,MATCH(A403,Execuções!$A$2:$A$97,0)),"ID?"))</f>
        <v/>
      </c>
      <c r="F403" s="13"/>
      <c r="G403" s="13"/>
    </row>
    <row r="404" customFormat="false" ht="15" hidden="false" customHeight="false" outlineLevel="0" collapsed="false">
      <c r="A404" s="14"/>
      <c r="B404" s="14"/>
      <c r="C404" s="11" t="str">
        <f aca="false">IF(OR(A404="",B404=""),"",A404&amp;"-"&amp;TEXT(B404,"00"))</f>
        <v/>
      </c>
      <c r="D404" s="11" t="str">
        <f aca="false">IF(A404="","",IFERROR(INDEX(Execuções!$E$2:$E$97,MATCH(A404,Execuções!$A$2:$A$97,0)),"ID?"))</f>
        <v/>
      </c>
      <c r="E404" s="11" t="str">
        <f aca="false">IF(A404="","",IFERROR(INDEX(Execuções!$F$2:$F$97,MATCH(A404,Execuções!$A$2:$A$97,0)),"ID?"))</f>
        <v/>
      </c>
      <c r="F404" s="13"/>
      <c r="G404" s="13"/>
    </row>
    <row r="405" customFormat="false" ht="15" hidden="false" customHeight="false" outlineLevel="0" collapsed="false">
      <c r="A405" s="14"/>
      <c r="B405" s="14"/>
      <c r="C405" s="11" t="str">
        <f aca="false">IF(OR(A405="",B405=""),"",A405&amp;"-"&amp;TEXT(B405,"00"))</f>
        <v/>
      </c>
      <c r="D405" s="11" t="str">
        <f aca="false">IF(A405="","",IFERROR(INDEX(Execuções!$E$2:$E$97,MATCH(A405,Execuções!$A$2:$A$97,0)),"ID?"))</f>
        <v/>
      </c>
      <c r="E405" s="11" t="str">
        <f aca="false">IF(A405="","",IFERROR(INDEX(Execuções!$F$2:$F$97,MATCH(A405,Execuções!$A$2:$A$97,0)),"ID?"))</f>
        <v/>
      </c>
      <c r="F405" s="13"/>
      <c r="G405" s="13"/>
    </row>
    <row r="406" customFormat="false" ht="15" hidden="false" customHeight="false" outlineLevel="0" collapsed="false">
      <c r="A406" s="14"/>
      <c r="B406" s="14"/>
      <c r="C406" s="11" t="str">
        <f aca="false">IF(OR(A406="",B406=""),"",A406&amp;"-"&amp;TEXT(B406,"00"))</f>
        <v/>
      </c>
      <c r="D406" s="11" t="str">
        <f aca="false">IF(A406="","",IFERROR(INDEX(Execuções!$E$2:$E$97,MATCH(A406,Execuções!$A$2:$A$97,0)),"ID?"))</f>
        <v/>
      </c>
      <c r="E406" s="11" t="str">
        <f aca="false">IF(A406="","",IFERROR(INDEX(Execuções!$F$2:$F$97,MATCH(A406,Execuções!$A$2:$A$97,0)),"ID?"))</f>
        <v/>
      </c>
      <c r="F406" s="13"/>
      <c r="G406" s="13"/>
    </row>
    <row r="407" customFormat="false" ht="15" hidden="false" customHeight="false" outlineLevel="0" collapsed="false">
      <c r="A407" s="14"/>
      <c r="B407" s="14"/>
      <c r="C407" s="11" t="str">
        <f aca="false">IF(OR(A407="",B407=""),"",A407&amp;"-"&amp;TEXT(B407,"00"))</f>
        <v/>
      </c>
      <c r="D407" s="11" t="str">
        <f aca="false">IF(A407="","",IFERROR(INDEX(Execuções!$E$2:$E$97,MATCH(A407,Execuções!$A$2:$A$97,0)),"ID?"))</f>
        <v/>
      </c>
      <c r="E407" s="11" t="str">
        <f aca="false">IF(A407="","",IFERROR(INDEX(Execuções!$F$2:$F$97,MATCH(A407,Execuções!$A$2:$A$97,0)),"ID?"))</f>
        <v/>
      </c>
      <c r="F407" s="13"/>
      <c r="G407" s="13"/>
    </row>
    <row r="408" customFormat="false" ht="15" hidden="false" customHeight="false" outlineLevel="0" collapsed="false">
      <c r="A408" s="14"/>
      <c r="B408" s="14"/>
      <c r="C408" s="11" t="str">
        <f aca="false">IF(OR(A408="",B408=""),"",A408&amp;"-"&amp;TEXT(B408,"00"))</f>
        <v/>
      </c>
      <c r="D408" s="11" t="str">
        <f aca="false">IF(A408="","",IFERROR(INDEX(Execuções!$E$2:$E$97,MATCH(A408,Execuções!$A$2:$A$97,0)),"ID?"))</f>
        <v/>
      </c>
      <c r="E408" s="11" t="str">
        <f aca="false">IF(A408="","",IFERROR(INDEX(Execuções!$F$2:$F$97,MATCH(A408,Execuções!$A$2:$A$97,0)),"ID?"))</f>
        <v/>
      </c>
      <c r="F408" s="13"/>
      <c r="G408" s="13"/>
    </row>
    <row r="409" customFormat="false" ht="15" hidden="false" customHeight="false" outlineLevel="0" collapsed="false">
      <c r="A409" s="14"/>
      <c r="B409" s="14"/>
      <c r="C409" s="11" t="str">
        <f aca="false">IF(OR(A409="",B409=""),"",A409&amp;"-"&amp;TEXT(B409,"00"))</f>
        <v/>
      </c>
      <c r="D409" s="11" t="str">
        <f aca="false">IF(A409="","",IFERROR(INDEX(Execuções!$E$2:$E$97,MATCH(A409,Execuções!$A$2:$A$97,0)),"ID?"))</f>
        <v/>
      </c>
      <c r="E409" s="11" t="str">
        <f aca="false">IF(A409="","",IFERROR(INDEX(Execuções!$F$2:$F$97,MATCH(A409,Execuções!$A$2:$A$97,0)),"ID?"))</f>
        <v/>
      </c>
      <c r="F409" s="13"/>
      <c r="G409" s="13"/>
    </row>
    <row r="410" customFormat="false" ht="15" hidden="false" customHeight="false" outlineLevel="0" collapsed="false">
      <c r="A410" s="14"/>
      <c r="B410" s="14"/>
      <c r="C410" s="11" t="str">
        <f aca="false">IF(OR(A410="",B410=""),"",A410&amp;"-"&amp;TEXT(B410,"00"))</f>
        <v/>
      </c>
      <c r="D410" s="11" t="str">
        <f aca="false">IF(A410="","",IFERROR(INDEX(Execuções!$E$2:$E$97,MATCH(A410,Execuções!$A$2:$A$97,0)),"ID?"))</f>
        <v/>
      </c>
      <c r="E410" s="11" t="str">
        <f aca="false">IF(A410="","",IFERROR(INDEX(Execuções!$F$2:$F$97,MATCH(A410,Execuções!$A$2:$A$97,0)),"ID?"))</f>
        <v/>
      </c>
      <c r="F410" s="13"/>
      <c r="G410" s="13"/>
    </row>
    <row r="411" customFormat="false" ht="15" hidden="false" customHeight="false" outlineLevel="0" collapsed="false">
      <c r="A411" s="14"/>
      <c r="B411" s="14"/>
      <c r="C411" s="11" t="str">
        <f aca="false">IF(OR(A411="",B411=""),"",A411&amp;"-"&amp;TEXT(B411,"00"))</f>
        <v/>
      </c>
      <c r="D411" s="11" t="str">
        <f aca="false">IF(A411="","",IFERROR(INDEX(Execuções!$E$2:$E$97,MATCH(A411,Execuções!$A$2:$A$97,0)),"ID?"))</f>
        <v/>
      </c>
      <c r="E411" s="11" t="str">
        <f aca="false">IF(A411="","",IFERROR(INDEX(Execuções!$F$2:$F$97,MATCH(A411,Execuções!$A$2:$A$97,0)),"ID?"))</f>
        <v/>
      </c>
      <c r="F411" s="13"/>
      <c r="G411" s="13"/>
    </row>
    <row r="412" customFormat="false" ht="15" hidden="false" customHeight="false" outlineLevel="0" collapsed="false">
      <c r="A412" s="14"/>
      <c r="B412" s="14"/>
      <c r="C412" s="11" t="str">
        <f aca="false">IF(OR(A412="",B412=""),"",A412&amp;"-"&amp;TEXT(B412,"00"))</f>
        <v/>
      </c>
      <c r="D412" s="11" t="str">
        <f aca="false">IF(A412="","",IFERROR(INDEX(Execuções!$E$2:$E$97,MATCH(A412,Execuções!$A$2:$A$97,0)),"ID?"))</f>
        <v/>
      </c>
      <c r="E412" s="11" t="str">
        <f aca="false">IF(A412="","",IFERROR(INDEX(Execuções!$F$2:$F$97,MATCH(A412,Execuções!$A$2:$A$97,0)),"ID?"))</f>
        <v/>
      </c>
      <c r="F412" s="13"/>
      <c r="G412" s="13"/>
    </row>
    <row r="413" customFormat="false" ht="15" hidden="false" customHeight="false" outlineLevel="0" collapsed="false">
      <c r="A413" s="14"/>
      <c r="B413" s="14"/>
      <c r="C413" s="11" t="str">
        <f aca="false">IF(OR(A413="",B413=""),"",A413&amp;"-"&amp;TEXT(B413,"00"))</f>
        <v/>
      </c>
      <c r="D413" s="11" t="str">
        <f aca="false">IF(A413="","",IFERROR(INDEX(Execuções!$E$2:$E$97,MATCH(A413,Execuções!$A$2:$A$97,0)),"ID?"))</f>
        <v/>
      </c>
      <c r="E413" s="11" t="str">
        <f aca="false">IF(A413="","",IFERROR(INDEX(Execuções!$F$2:$F$97,MATCH(A413,Execuções!$A$2:$A$97,0)),"ID?"))</f>
        <v/>
      </c>
      <c r="F413" s="13"/>
      <c r="G413" s="13"/>
    </row>
    <row r="414" customFormat="false" ht="15" hidden="false" customHeight="false" outlineLevel="0" collapsed="false">
      <c r="A414" s="14"/>
      <c r="B414" s="14"/>
      <c r="C414" s="11" t="str">
        <f aca="false">IF(OR(A414="",B414=""),"",A414&amp;"-"&amp;TEXT(B414,"00"))</f>
        <v/>
      </c>
      <c r="D414" s="11" t="str">
        <f aca="false">IF(A414="","",IFERROR(INDEX(Execuções!$E$2:$E$97,MATCH(A414,Execuções!$A$2:$A$97,0)),"ID?"))</f>
        <v/>
      </c>
      <c r="E414" s="11" t="str">
        <f aca="false">IF(A414="","",IFERROR(INDEX(Execuções!$F$2:$F$97,MATCH(A414,Execuções!$A$2:$A$97,0)),"ID?"))</f>
        <v/>
      </c>
      <c r="F414" s="13"/>
      <c r="G414" s="13"/>
    </row>
    <row r="415" customFormat="false" ht="15" hidden="false" customHeight="false" outlineLevel="0" collapsed="false">
      <c r="A415" s="14"/>
      <c r="B415" s="14"/>
      <c r="C415" s="11" t="str">
        <f aca="false">IF(OR(A415="",B415=""),"",A415&amp;"-"&amp;TEXT(B415,"00"))</f>
        <v/>
      </c>
      <c r="D415" s="11" t="str">
        <f aca="false">IF(A415="","",IFERROR(INDEX(Execuções!$E$2:$E$97,MATCH(A415,Execuções!$A$2:$A$97,0)),"ID?"))</f>
        <v/>
      </c>
      <c r="E415" s="11" t="str">
        <f aca="false">IF(A415="","",IFERROR(INDEX(Execuções!$F$2:$F$97,MATCH(A415,Execuções!$A$2:$A$97,0)),"ID?"))</f>
        <v/>
      </c>
      <c r="F415" s="13"/>
      <c r="G415" s="13"/>
    </row>
    <row r="416" customFormat="false" ht="15" hidden="false" customHeight="false" outlineLevel="0" collapsed="false">
      <c r="A416" s="14"/>
      <c r="B416" s="14"/>
      <c r="C416" s="11" t="str">
        <f aca="false">IF(OR(A416="",B416=""),"",A416&amp;"-"&amp;TEXT(B416,"00"))</f>
        <v/>
      </c>
      <c r="D416" s="11" t="str">
        <f aca="false">IF(A416="","",IFERROR(INDEX(Execuções!$E$2:$E$97,MATCH(A416,Execuções!$A$2:$A$97,0)),"ID?"))</f>
        <v/>
      </c>
      <c r="E416" s="11" t="str">
        <f aca="false">IF(A416="","",IFERROR(INDEX(Execuções!$F$2:$F$97,MATCH(A416,Execuções!$A$2:$A$97,0)),"ID?"))</f>
        <v/>
      </c>
      <c r="F416" s="13"/>
      <c r="G416" s="13"/>
    </row>
    <row r="417" customFormat="false" ht="15" hidden="false" customHeight="false" outlineLevel="0" collapsed="false">
      <c r="A417" s="14"/>
      <c r="B417" s="14"/>
      <c r="C417" s="11" t="str">
        <f aca="false">IF(OR(A417="",B417=""),"",A417&amp;"-"&amp;TEXT(B417,"00"))</f>
        <v/>
      </c>
      <c r="D417" s="11" t="str">
        <f aca="false">IF(A417="","",IFERROR(INDEX(Execuções!$E$2:$E$97,MATCH(A417,Execuções!$A$2:$A$97,0)),"ID?"))</f>
        <v/>
      </c>
      <c r="E417" s="11" t="str">
        <f aca="false">IF(A417="","",IFERROR(INDEX(Execuções!$F$2:$F$97,MATCH(A417,Execuções!$A$2:$A$97,0)),"ID?"))</f>
        <v/>
      </c>
      <c r="F417" s="13"/>
      <c r="G417" s="13"/>
    </row>
    <row r="418" customFormat="false" ht="15" hidden="false" customHeight="false" outlineLevel="0" collapsed="false">
      <c r="A418" s="14"/>
      <c r="B418" s="14"/>
      <c r="C418" s="11" t="str">
        <f aca="false">IF(OR(A418="",B418=""),"",A418&amp;"-"&amp;TEXT(B418,"00"))</f>
        <v/>
      </c>
      <c r="D418" s="11" t="str">
        <f aca="false">IF(A418="","",IFERROR(INDEX(Execuções!$E$2:$E$97,MATCH(A418,Execuções!$A$2:$A$97,0)),"ID?"))</f>
        <v/>
      </c>
      <c r="E418" s="11" t="str">
        <f aca="false">IF(A418="","",IFERROR(INDEX(Execuções!$F$2:$F$97,MATCH(A418,Execuções!$A$2:$A$97,0)),"ID?"))</f>
        <v/>
      </c>
      <c r="F418" s="13"/>
      <c r="G418" s="13"/>
    </row>
    <row r="419" customFormat="false" ht="15" hidden="false" customHeight="false" outlineLevel="0" collapsed="false">
      <c r="A419" s="14"/>
      <c r="B419" s="14"/>
      <c r="C419" s="11" t="str">
        <f aca="false">IF(OR(A419="",B419=""),"",A419&amp;"-"&amp;TEXT(B419,"00"))</f>
        <v/>
      </c>
      <c r="D419" s="11" t="str">
        <f aca="false">IF(A419="","",IFERROR(INDEX(Execuções!$E$2:$E$97,MATCH(A419,Execuções!$A$2:$A$97,0)),"ID?"))</f>
        <v/>
      </c>
      <c r="E419" s="11" t="str">
        <f aca="false">IF(A419="","",IFERROR(INDEX(Execuções!$F$2:$F$97,MATCH(A419,Execuções!$A$2:$A$97,0)),"ID?"))</f>
        <v/>
      </c>
      <c r="F419" s="13"/>
      <c r="G419" s="13"/>
    </row>
    <row r="420" customFormat="false" ht="15" hidden="false" customHeight="false" outlineLevel="0" collapsed="false">
      <c r="A420" s="14"/>
      <c r="B420" s="14"/>
      <c r="C420" s="11" t="str">
        <f aca="false">IF(OR(A420="",B420=""),"",A420&amp;"-"&amp;TEXT(B420,"00"))</f>
        <v/>
      </c>
      <c r="D420" s="11" t="str">
        <f aca="false">IF(A420="","",IFERROR(INDEX(Execuções!$E$2:$E$97,MATCH(A420,Execuções!$A$2:$A$97,0)),"ID?"))</f>
        <v/>
      </c>
      <c r="E420" s="11" t="str">
        <f aca="false">IF(A420="","",IFERROR(INDEX(Execuções!$F$2:$F$97,MATCH(A420,Execuções!$A$2:$A$97,0)),"ID?"))</f>
        <v/>
      </c>
      <c r="F420" s="13"/>
      <c r="G420" s="13"/>
    </row>
    <row r="421" customFormat="false" ht="15" hidden="false" customHeight="false" outlineLevel="0" collapsed="false">
      <c r="A421" s="14"/>
      <c r="B421" s="14"/>
      <c r="C421" s="11" t="str">
        <f aca="false">IF(OR(A421="",B421=""),"",A421&amp;"-"&amp;TEXT(B421,"00"))</f>
        <v/>
      </c>
      <c r="D421" s="11" t="str">
        <f aca="false">IF(A421="","",IFERROR(INDEX(Execuções!$E$2:$E$97,MATCH(A421,Execuções!$A$2:$A$97,0)),"ID?"))</f>
        <v/>
      </c>
      <c r="E421" s="11" t="str">
        <f aca="false">IF(A421="","",IFERROR(INDEX(Execuções!$F$2:$F$97,MATCH(A421,Execuções!$A$2:$A$97,0)),"ID?"))</f>
        <v/>
      </c>
      <c r="F421" s="13"/>
      <c r="G421" s="13"/>
    </row>
    <row r="422" customFormat="false" ht="15" hidden="false" customHeight="false" outlineLevel="0" collapsed="false">
      <c r="A422" s="14"/>
      <c r="B422" s="14"/>
      <c r="C422" s="11" t="str">
        <f aca="false">IF(OR(A422="",B422=""),"",A422&amp;"-"&amp;TEXT(B422,"00"))</f>
        <v/>
      </c>
      <c r="D422" s="11" t="str">
        <f aca="false">IF(A422="","",IFERROR(INDEX(Execuções!$E$2:$E$97,MATCH(A422,Execuções!$A$2:$A$97,0)),"ID?"))</f>
        <v/>
      </c>
      <c r="E422" s="11" t="str">
        <f aca="false">IF(A422="","",IFERROR(INDEX(Execuções!$F$2:$F$97,MATCH(A422,Execuções!$A$2:$A$97,0)),"ID?"))</f>
        <v/>
      </c>
      <c r="F422" s="13"/>
      <c r="G422" s="13"/>
    </row>
    <row r="423" customFormat="false" ht="15" hidden="false" customHeight="false" outlineLevel="0" collapsed="false">
      <c r="A423" s="14"/>
      <c r="B423" s="14"/>
      <c r="C423" s="11" t="str">
        <f aca="false">IF(OR(A423="",B423=""),"",A423&amp;"-"&amp;TEXT(B423,"00"))</f>
        <v/>
      </c>
      <c r="D423" s="11" t="str">
        <f aca="false">IF(A423="","",IFERROR(INDEX(Execuções!$E$2:$E$97,MATCH(A423,Execuções!$A$2:$A$97,0)),"ID?"))</f>
        <v/>
      </c>
      <c r="E423" s="11" t="str">
        <f aca="false">IF(A423="","",IFERROR(INDEX(Execuções!$F$2:$F$97,MATCH(A423,Execuções!$A$2:$A$97,0)),"ID?"))</f>
        <v/>
      </c>
      <c r="F423" s="13"/>
      <c r="G423" s="13"/>
    </row>
    <row r="424" customFormat="false" ht="15" hidden="false" customHeight="false" outlineLevel="0" collapsed="false">
      <c r="A424" s="14"/>
      <c r="B424" s="14"/>
      <c r="C424" s="11" t="str">
        <f aca="false">IF(OR(A424="",B424=""),"",A424&amp;"-"&amp;TEXT(B424,"00"))</f>
        <v/>
      </c>
      <c r="D424" s="11" t="str">
        <f aca="false">IF(A424="","",IFERROR(INDEX(Execuções!$E$2:$E$97,MATCH(A424,Execuções!$A$2:$A$97,0)),"ID?"))</f>
        <v/>
      </c>
      <c r="E424" s="11" t="str">
        <f aca="false">IF(A424="","",IFERROR(INDEX(Execuções!$F$2:$F$97,MATCH(A424,Execuções!$A$2:$A$97,0)),"ID?"))</f>
        <v/>
      </c>
      <c r="F424" s="13"/>
      <c r="G424" s="13"/>
    </row>
    <row r="425" customFormat="false" ht="15" hidden="false" customHeight="false" outlineLevel="0" collapsed="false">
      <c r="A425" s="14"/>
      <c r="B425" s="14"/>
      <c r="C425" s="11" t="str">
        <f aca="false">IF(OR(A425="",B425=""),"",A425&amp;"-"&amp;TEXT(B425,"00"))</f>
        <v/>
      </c>
      <c r="D425" s="11" t="str">
        <f aca="false">IF(A425="","",IFERROR(INDEX(Execuções!$E$2:$E$97,MATCH(A425,Execuções!$A$2:$A$97,0)),"ID?"))</f>
        <v/>
      </c>
      <c r="E425" s="11" t="str">
        <f aca="false">IF(A425="","",IFERROR(INDEX(Execuções!$F$2:$F$97,MATCH(A425,Execuções!$A$2:$A$97,0)),"ID?"))</f>
        <v/>
      </c>
      <c r="F425" s="13"/>
      <c r="G425" s="13"/>
    </row>
    <row r="426" customFormat="false" ht="15" hidden="false" customHeight="false" outlineLevel="0" collapsed="false">
      <c r="A426" s="14"/>
      <c r="B426" s="14"/>
      <c r="C426" s="11" t="str">
        <f aca="false">IF(OR(A426="",B426=""),"",A426&amp;"-"&amp;TEXT(B426,"00"))</f>
        <v/>
      </c>
      <c r="D426" s="11" t="str">
        <f aca="false">IF(A426="","",IFERROR(INDEX(Execuções!$E$2:$E$97,MATCH(A426,Execuções!$A$2:$A$97,0)),"ID?"))</f>
        <v/>
      </c>
      <c r="E426" s="11" t="str">
        <f aca="false">IF(A426="","",IFERROR(INDEX(Execuções!$F$2:$F$97,MATCH(A426,Execuções!$A$2:$A$97,0)),"ID?"))</f>
        <v/>
      </c>
      <c r="F426" s="13"/>
      <c r="G426" s="13"/>
    </row>
    <row r="427" customFormat="false" ht="15" hidden="false" customHeight="false" outlineLevel="0" collapsed="false">
      <c r="A427" s="14"/>
      <c r="B427" s="14"/>
      <c r="C427" s="11" t="str">
        <f aca="false">IF(OR(A427="",B427=""),"",A427&amp;"-"&amp;TEXT(B427,"00"))</f>
        <v/>
      </c>
      <c r="D427" s="11" t="str">
        <f aca="false">IF(A427="","",IFERROR(INDEX(Execuções!$E$2:$E$97,MATCH(A427,Execuções!$A$2:$A$97,0)),"ID?"))</f>
        <v/>
      </c>
      <c r="E427" s="11" t="str">
        <f aca="false">IF(A427="","",IFERROR(INDEX(Execuções!$F$2:$F$97,MATCH(A427,Execuções!$A$2:$A$97,0)),"ID?"))</f>
        <v/>
      </c>
      <c r="F427" s="13"/>
      <c r="G427" s="13"/>
    </row>
    <row r="428" customFormat="false" ht="15" hidden="false" customHeight="false" outlineLevel="0" collapsed="false">
      <c r="A428" s="14"/>
      <c r="B428" s="14"/>
      <c r="C428" s="11" t="str">
        <f aca="false">IF(OR(A428="",B428=""),"",A428&amp;"-"&amp;TEXT(B428,"00"))</f>
        <v/>
      </c>
      <c r="D428" s="11" t="str">
        <f aca="false">IF(A428="","",IFERROR(INDEX(Execuções!$E$2:$E$97,MATCH(A428,Execuções!$A$2:$A$97,0)),"ID?"))</f>
        <v/>
      </c>
      <c r="E428" s="11" t="str">
        <f aca="false">IF(A428="","",IFERROR(INDEX(Execuções!$F$2:$F$97,MATCH(A428,Execuções!$A$2:$A$97,0)),"ID?"))</f>
        <v/>
      </c>
      <c r="F428" s="13"/>
      <c r="G428" s="13"/>
    </row>
    <row r="429" customFormat="false" ht="15" hidden="false" customHeight="false" outlineLevel="0" collapsed="false">
      <c r="A429" s="14"/>
      <c r="B429" s="14"/>
      <c r="C429" s="11" t="str">
        <f aca="false">IF(OR(A429="",B429=""),"",A429&amp;"-"&amp;TEXT(B429,"00"))</f>
        <v/>
      </c>
      <c r="D429" s="11" t="str">
        <f aca="false">IF(A429="","",IFERROR(INDEX(Execuções!$E$2:$E$97,MATCH(A429,Execuções!$A$2:$A$97,0)),"ID?"))</f>
        <v/>
      </c>
      <c r="E429" s="11" t="str">
        <f aca="false">IF(A429="","",IFERROR(INDEX(Execuções!$F$2:$F$97,MATCH(A429,Execuções!$A$2:$A$97,0)),"ID?"))</f>
        <v/>
      </c>
      <c r="F429" s="13"/>
      <c r="G429" s="13"/>
    </row>
    <row r="430" customFormat="false" ht="15" hidden="false" customHeight="false" outlineLevel="0" collapsed="false">
      <c r="A430" s="14"/>
      <c r="B430" s="14"/>
      <c r="C430" s="11" t="str">
        <f aca="false">IF(OR(A430="",B430=""),"",A430&amp;"-"&amp;TEXT(B430,"00"))</f>
        <v/>
      </c>
      <c r="D430" s="11" t="str">
        <f aca="false">IF(A430="","",IFERROR(INDEX(Execuções!$E$2:$E$97,MATCH(A430,Execuções!$A$2:$A$97,0)),"ID?"))</f>
        <v/>
      </c>
      <c r="E430" s="11" t="str">
        <f aca="false">IF(A430="","",IFERROR(INDEX(Execuções!$F$2:$F$97,MATCH(A430,Execuções!$A$2:$A$97,0)),"ID?"))</f>
        <v/>
      </c>
      <c r="F430" s="13"/>
      <c r="G430" s="13"/>
    </row>
    <row r="431" customFormat="false" ht="15" hidden="false" customHeight="false" outlineLevel="0" collapsed="false">
      <c r="A431" s="14"/>
      <c r="B431" s="14"/>
      <c r="C431" s="11" t="str">
        <f aca="false">IF(OR(A431="",B431=""),"",A431&amp;"-"&amp;TEXT(B431,"00"))</f>
        <v/>
      </c>
      <c r="D431" s="11" t="str">
        <f aca="false">IF(A431="","",IFERROR(INDEX(Execuções!$E$2:$E$97,MATCH(A431,Execuções!$A$2:$A$97,0)),"ID?"))</f>
        <v/>
      </c>
      <c r="E431" s="11" t="str">
        <f aca="false">IF(A431="","",IFERROR(INDEX(Execuções!$F$2:$F$97,MATCH(A431,Execuções!$A$2:$A$97,0)),"ID?"))</f>
        <v/>
      </c>
      <c r="F431" s="13"/>
      <c r="G431" s="13"/>
    </row>
    <row r="432" customFormat="false" ht="15" hidden="false" customHeight="false" outlineLevel="0" collapsed="false">
      <c r="A432" s="14"/>
      <c r="B432" s="14"/>
      <c r="C432" s="11" t="str">
        <f aca="false">IF(OR(A432="",B432=""),"",A432&amp;"-"&amp;TEXT(B432,"00"))</f>
        <v/>
      </c>
      <c r="D432" s="11" t="str">
        <f aca="false">IF(A432="","",IFERROR(INDEX(Execuções!$E$2:$E$97,MATCH(A432,Execuções!$A$2:$A$97,0)),"ID?"))</f>
        <v/>
      </c>
      <c r="E432" s="11" t="str">
        <f aca="false">IF(A432="","",IFERROR(INDEX(Execuções!$F$2:$F$97,MATCH(A432,Execuções!$A$2:$A$97,0)),"ID?"))</f>
        <v/>
      </c>
      <c r="F432" s="13"/>
      <c r="G432" s="13"/>
    </row>
    <row r="433" customFormat="false" ht="15" hidden="false" customHeight="false" outlineLevel="0" collapsed="false">
      <c r="A433" s="14"/>
      <c r="B433" s="14"/>
      <c r="C433" s="11" t="str">
        <f aca="false">IF(OR(A433="",B433=""),"",A433&amp;"-"&amp;TEXT(B433,"00"))</f>
        <v/>
      </c>
      <c r="D433" s="11" t="str">
        <f aca="false">IF(A433="","",IFERROR(INDEX(Execuções!$E$2:$E$97,MATCH(A433,Execuções!$A$2:$A$97,0)),"ID?"))</f>
        <v/>
      </c>
      <c r="E433" s="11" t="str">
        <f aca="false">IF(A433="","",IFERROR(INDEX(Execuções!$F$2:$F$97,MATCH(A433,Execuções!$A$2:$A$97,0)),"ID?"))</f>
        <v/>
      </c>
      <c r="F433" s="13"/>
      <c r="G433" s="13"/>
    </row>
    <row r="434" customFormat="false" ht="15" hidden="false" customHeight="false" outlineLevel="0" collapsed="false">
      <c r="A434" s="14"/>
      <c r="B434" s="14"/>
      <c r="C434" s="11" t="str">
        <f aca="false">IF(OR(A434="",B434=""),"",A434&amp;"-"&amp;TEXT(B434,"00"))</f>
        <v/>
      </c>
      <c r="D434" s="11" t="str">
        <f aca="false">IF(A434="","",IFERROR(INDEX(Execuções!$E$2:$E$97,MATCH(A434,Execuções!$A$2:$A$97,0)),"ID?"))</f>
        <v/>
      </c>
      <c r="E434" s="11" t="str">
        <f aca="false">IF(A434="","",IFERROR(INDEX(Execuções!$F$2:$F$97,MATCH(A434,Execuções!$A$2:$A$97,0)),"ID?"))</f>
        <v/>
      </c>
      <c r="F434" s="13"/>
      <c r="G434" s="13"/>
    </row>
    <row r="435" customFormat="false" ht="15" hidden="false" customHeight="false" outlineLevel="0" collapsed="false">
      <c r="A435" s="14"/>
      <c r="B435" s="14"/>
      <c r="C435" s="11" t="str">
        <f aca="false">IF(OR(A435="",B435=""),"",A435&amp;"-"&amp;TEXT(B435,"00"))</f>
        <v/>
      </c>
      <c r="D435" s="11" t="str">
        <f aca="false">IF(A435="","",IFERROR(INDEX(Execuções!$E$2:$E$97,MATCH(A435,Execuções!$A$2:$A$97,0)),"ID?"))</f>
        <v/>
      </c>
      <c r="E435" s="11" t="str">
        <f aca="false">IF(A435="","",IFERROR(INDEX(Execuções!$F$2:$F$97,MATCH(A435,Execuções!$A$2:$A$97,0)),"ID?"))</f>
        <v/>
      </c>
      <c r="F435" s="13"/>
      <c r="G435" s="13"/>
    </row>
    <row r="436" customFormat="false" ht="15" hidden="false" customHeight="false" outlineLevel="0" collapsed="false">
      <c r="A436" s="14"/>
      <c r="B436" s="14"/>
      <c r="C436" s="11" t="str">
        <f aca="false">IF(OR(A436="",B436=""),"",A436&amp;"-"&amp;TEXT(B436,"00"))</f>
        <v/>
      </c>
      <c r="D436" s="11" t="str">
        <f aca="false">IF(A436="","",IFERROR(INDEX(Execuções!$E$2:$E$97,MATCH(A436,Execuções!$A$2:$A$97,0)),"ID?"))</f>
        <v/>
      </c>
      <c r="E436" s="11" t="str">
        <f aca="false">IF(A436="","",IFERROR(INDEX(Execuções!$F$2:$F$97,MATCH(A436,Execuções!$A$2:$A$97,0)),"ID?"))</f>
        <v/>
      </c>
      <c r="F436" s="13"/>
      <c r="G436" s="13"/>
    </row>
    <row r="437" customFormat="false" ht="15" hidden="false" customHeight="false" outlineLevel="0" collapsed="false">
      <c r="A437" s="14"/>
      <c r="B437" s="14"/>
      <c r="C437" s="11" t="str">
        <f aca="false">IF(OR(A437="",B437=""),"",A437&amp;"-"&amp;TEXT(B437,"00"))</f>
        <v/>
      </c>
      <c r="D437" s="11" t="str">
        <f aca="false">IF(A437="","",IFERROR(INDEX(Execuções!$E$2:$E$97,MATCH(A437,Execuções!$A$2:$A$97,0)),"ID?"))</f>
        <v/>
      </c>
      <c r="E437" s="11" t="str">
        <f aca="false">IF(A437="","",IFERROR(INDEX(Execuções!$F$2:$F$97,MATCH(A437,Execuções!$A$2:$A$97,0)),"ID?"))</f>
        <v/>
      </c>
      <c r="F437" s="13"/>
      <c r="G437" s="13"/>
    </row>
    <row r="438" customFormat="false" ht="15" hidden="false" customHeight="false" outlineLevel="0" collapsed="false">
      <c r="A438" s="14"/>
      <c r="B438" s="14"/>
      <c r="C438" s="11" t="str">
        <f aca="false">IF(OR(A438="",B438=""),"",A438&amp;"-"&amp;TEXT(B438,"00"))</f>
        <v/>
      </c>
      <c r="D438" s="11" t="str">
        <f aca="false">IF(A438="","",IFERROR(INDEX(Execuções!$E$2:$E$97,MATCH(A438,Execuções!$A$2:$A$97,0)),"ID?"))</f>
        <v/>
      </c>
      <c r="E438" s="11" t="str">
        <f aca="false">IF(A438="","",IFERROR(INDEX(Execuções!$F$2:$F$97,MATCH(A438,Execuções!$A$2:$A$97,0)),"ID?"))</f>
        <v/>
      </c>
      <c r="F438" s="13"/>
      <c r="G438" s="13"/>
    </row>
    <row r="439" customFormat="false" ht="15" hidden="false" customHeight="false" outlineLevel="0" collapsed="false">
      <c r="A439" s="14"/>
      <c r="B439" s="14"/>
      <c r="C439" s="11" t="str">
        <f aca="false">IF(OR(A439="",B439=""),"",A439&amp;"-"&amp;TEXT(B439,"00"))</f>
        <v/>
      </c>
      <c r="D439" s="11" t="str">
        <f aca="false">IF(A439="","",IFERROR(INDEX(Execuções!$E$2:$E$97,MATCH(A439,Execuções!$A$2:$A$97,0)),"ID?"))</f>
        <v/>
      </c>
      <c r="E439" s="11" t="str">
        <f aca="false">IF(A439="","",IFERROR(INDEX(Execuções!$F$2:$F$97,MATCH(A439,Execuções!$A$2:$A$97,0)),"ID?"))</f>
        <v/>
      </c>
      <c r="F439" s="13"/>
      <c r="G439" s="13"/>
    </row>
    <row r="440" customFormat="false" ht="15" hidden="false" customHeight="false" outlineLevel="0" collapsed="false">
      <c r="A440" s="14"/>
      <c r="B440" s="14"/>
      <c r="C440" s="11" t="str">
        <f aca="false">IF(OR(A440="",B440=""),"",A440&amp;"-"&amp;TEXT(B440,"00"))</f>
        <v/>
      </c>
      <c r="D440" s="11" t="str">
        <f aca="false">IF(A440="","",IFERROR(INDEX(Execuções!$E$2:$E$97,MATCH(A440,Execuções!$A$2:$A$97,0)),"ID?"))</f>
        <v/>
      </c>
      <c r="E440" s="11" t="str">
        <f aca="false">IF(A440="","",IFERROR(INDEX(Execuções!$F$2:$F$97,MATCH(A440,Execuções!$A$2:$A$97,0)),"ID?"))</f>
        <v/>
      </c>
      <c r="F440" s="13"/>
      <c r="G440" s="13"/>
    </row>
    <row r="441" customFormat="false" ht="15" hidden="false" customHeight="false" outlineLevel="0" collapsed="false">
      <c r="A441" s="14"/>
      <c r="B441" s="14"/>
      <c r="C441" s="11" t="str">
        <f aca="false">IF(OR(A441="",B441=""),"",A441&amp;"-"&amp;TEXT(B441,"00"))</f>
        <v/>
      </c>
      <c r="D441" s="11" t="str">
        <f aca="false">IF(A441="","",IFERROR(INDEX(Execuções!$E$2:$E$97,MATCH(A441,Execuções!$A$2:$A$97,0)),"ID?"))</f>
        <v/>
      </c>
      <c r="E441" s="11" t="str">
        <f aca="false">IF(A441="","",IFERROR(INDEX(Execuções!$F$2:$F$97,MATCH(A441,Execuções!$A$2:$A$97,0)),"ID?"))</f>
        <v/>
      </c>
      <c r="F441" s="13"/>
      <c r="G441" s="13"/>
    </row>
    <row r="442" customFormat="false" ht="15" hidden="false" customHeight="false" outlineLevel="0" collapsed="false">
      <c r="A442" s="14"/>
      <c r="B442" s="14"/>
      <c r="C442" s="11" t="str">
        <f aca="false">IF(OR(A442="",B442=""),"",A442&amp;"-"&amp;TEXT(B442,"00"))</f>
        <v/>
      </c>
      <c r="D442" s="11" t="str">
        <f aca="false">IF(A442="","",IFERROR(INDEX(Execuções!$E$2:$E$97,MATCH(A442,Execuções!$A$2:$A$97,0)),"ID?"))</f>
        <v/>
      </c>
      <c r="E442" s="11" t="str">
        <f aca="false">IF(A442="","",IFERROR(INDEX(Execuções!$F$2:$F$97,MATCH(A442,Execuções!$A$2:$A$97,0)),"ID?"))</f>
        <v/>
      </c>
      <c r="F442" s="13"/>
      <c r="G442" s="13"/>
    </row>
    <row r="443" customFormat="false" ht="15" hidden="false" customHeight="false" outlineLevel="0" collapsed="false">
      <c r="A443" s="14"/>
      <c r="B443" s="14"/>
      <c r="C443" s="11" t="str">
        <f aca="false">IF(OR(A443="",B443=""),"",A443&amp;"-"&amp;TEXT(B443,"00"))</f>
        <v/>
      </c>
      <c r="D443" s="11" t="str">
        <f aca="false">IF(A443="","",IFERROR(INDEX(Execuções!$E$2:$E$97,MATCH(A443,Execuções!$A$2:$A$97,0)),"ID?"))</f>
        <v/>
      </c>
      <c r="E443" s="11" t="str">
        <f aca="false">IF(A443="","",IFERROR(INDEX(Execuções!$F$2:$F$97,MATCH(A443,Execuções!$A$2:$A$97,0)),"ID?"))</f>
        <v/>
      </c>
      <c r="F443" s="13"/>
      <c r="G443" s="13"/>
    </row>
    <row r="444" customFormat="false" ht="15" hidden="false" customHeight="false" outlineLevel="0" collapsed="false">
      <c r="A444" s="14"/>
      <c r="B444" s="14"/>
      <c r="C444" s="11" t="str">
        <f aca="false">IF(OR(A444="",B444=""),"",A444&amp;"-"&amp;TEXT(B444,"00"))</f>
        <v/>
      </c>
      <c r="D444" s="11" t="str">
        <f aca="false">IF(A444="","",IFERROR(INDEX(Execuções!$E$2:$E$97,MATCH(A444,Execuções!$A$2:$A$97,0)),"ID?"))</f>
        <v/>
      </c>
      <c r="E444" s="11" t="str">
        <f aca="false">IF(A444="","",IFERROR(INDEX(Execuções!$F$2:$F$97,MATCH(A444,Execuções!$A$2:$A$97,0)),"ID?"))</f>
        <v/>
      </c>
      <c r="F444" s="13"/>
      <c r="G444" s="13"/>
    </row>
    <row r="445" customFormat="false" ht="15" hidden="false" customHeight="false" outlineLevel="0" collapsed="false">
      <c r="A445" s="14"/>
      <c r="B445" s="14"/>
      <c r="C445" s="11" t="str">
        <f aca="false">IF(OR(A445="",B445=""),"",A445&amp;"-"&amp;TEXT(B445,"00"))</f>
        <v/>
      </c>
      <c r="D445" s="11" t="str">
        <f aca="false">IF(A445="","",IFERROR(INDEX(Execuções!$E$2:$E$97,MATCH(A445,Execuções!$A$2:$A$97,0)),"ID?"))</f>
        <v/>
      </c>
      <c r="E445" s="11" t="str">
        <f aca="false">IF(A445="","",IFERROR(INDEX(Execuções!$F$2:$F$97,MATCH(A445,Execuções!$A$2:$A$97,0)),"ID?"))</f>
        <v/>
      </c>
      <c r="F445" s="13"/>
      <c r="G445" s="13"/>
    </row>
    <row r="446" customFormat="false" ht="15" hidden="false" customHeight="false" outlineLevel="0" collapsed="false">
      <c r="A446" s="14"/>
      <c r="B446" s="14"/>
      <c r="C446" s="11" t="str">
        <f aca="false">IF(OR(A446="",B446=""),"",A446&amp;"-"&amp;TEXT(B446,"00"))</f>
        <v/>
      </c>
      <c r="D446" s="11" t="str">
        <f aca="false">IF(A446="","",IFERROR(INDEX(Execuções!$E$2:$E$97,MATCH(A446,Execuções!$A$2:$A$97,0)),"ID?"))</f>
        <v/>
      </c>
      <c r="E446" s="11" t="str">
        <f aca="false">IF(A446="","",IFERROR(INDEX(Execuções!$F$2:$F$97,MATCH(A446,Execuções!$A$2:$A$97,0)),"ID?"))</f>
        <v/>
      </c>
      <c r="F446" s="13"/>
      <c r="G446" s="13"/>
    </row>
    <row r="447" customFormat="false" ht="15" hidden="false" customHeight="false" outlineLevel="0" collapsed="false">
      <c r="A447" s="14"/>
      <c r="B447" s="14"/>
      <c r="C447" s="11" t="str">
        <f aca="false">IF(OR(A447="",B447=""),"",A447&amp;"-"&amp;TEXT(B447,"00"))</f>
        <v/>
      </c>
      <c r="D447" s="11" t="str">
        <f aca="false">IF(A447="","",IFERROR(INDEX(Execuções!$E$2:$E$97,MATCH(A447,Execuções!$A$2:$A$97,0)),"ID?"))</f>
        <v/>
      </c>
      <c r="E447" s="11" t="str">
        <f aca="false">IF(A447="","",IFERROR(INDEX(Execuções!$F$2:$F$97,MATCH(A447,Execuções!$A$2:$A$97,0)),"ID?"))</f>
        <v/>
      </c>
      <c r="F447" s="13"/>
      <c r="G447" s="13"/>
    </row>
    <row r="448" customFormat="false" ht="15" hidden="false" customHeight="false" outlineLevel="0" collapsed="false">
      <c r="A448" s="14"/>
      <c r="B448" s="14"/>
      <c r="C448" s="11" t="str">
        <f aca="false">IF(OR(A448="",B448=""),"",A448&amp;"-"&amp;TEXT(B448,"00"))</f>
        <v/>
      </c>
      <c r="D448" s="11" t="str">
        <f aca="false">IF(A448="","",IFERROR(INDEX(Execuções!$E$2:$E$97,MATCH(A448,Execuções!$A$2:$A$97,0)),"ID?"))</f>
        <v/>
      </c>
      <c r="E448" s="11" t="str">
        <f aca="false">IF(A448="","",IFERROR(INDEX(Execuções!$F$2:$F$97,MATCH(A448,Execuções!$A$2:$A$97,0)),"ID?"))</f>
        <v/>
      </c>
      <c r="F448" s="13"/>
      <c r="G448" s="13"/>
    </row>
    <row r="449" customFormat="false" ht="15" hidden="false" customHeight="false" outlineLevel="0" collapsed="false">
      <c r="A449" s="14"/>
      <c r="B449" s="14"/>
      <c r="C449" s="11" t="str">
        <f aca="false">IF(OR(A449="",B449=""),"",A449&amp;"-"&amp;TEXT(B449,"00"))</f>
        <v/>
      </c>
      <c r="D449" s="11" t="str">
        <f aca="false">IF(A449="","",IFERROR(INDEX(Execuções!$E$2:$E$97,MATCH(A449,Execuções!$A$2:$A$97,0)),"ID?"))</f>
        <v/>
      </c>
      <c r="E449" s="11" t="str">
        <f aca="false">IF(A449="","",IFERROR(INDEX(Execuções!$F$2:$F$97,MATCH(A449,Execuções!$A$2:$A$97,0)),"ID?"))</f>
        <v/>
      </c>
      <c r="F449" s="13"/>
      <c r="G449" s="13"/>
    </row>
    <row r="450" customFormat="false" ht="15" hidden="false" customHeight="false" outlineLevel="0" collapsed="false">
      <c r="A450" s="14"/>
      <c r="B450" s="14"/>
      <c r="C450" s="11" t="str">
        <f aca="false">IF(OR(A450="",B450=""),"",A450&amp;"-"&amp;TEXT(B450,"00"))</f>
        <v/>
      </c>
      <c r="D450" s="11" t="str">
        <f aca="false">IF(A450="","",IFERROR(INDEX(Execuções!$E$2:$E$97,MATCH(A450,Execuções!$A$2:$A$97,0)),"ID?"))</f>
        <v/>
      </c>
      <c r="E450" s="11" t="str">
        <f aca="false">IF(A450="","",IFERROR(INDEX(Execuções!$F$2:$F$97,MATCH(A450,Execuções!$A$2:$A$97,0)),"ID?"))</f>
        <v/>
      </c>
      <c r="F450" s="13"/>
      <c r="G450" s="13"/>
    </row>
    <row r="451" customFormat="false" ht="15" hidden="false" customHeight="false" outlineLevel="0" collapsed="false">
      <c r="A451" s="14"/>
      <c r="B451" s="14"/>
      <c r="C451" s="11" t="str">
        <f aca="false">IF(OR(A451="",B451=""),"",A451&amp;"-"&amp;TEXT(B451,"00"))</f>
        <v/>
      </c>
      <c r="D451" s="11" t="str">
        <f aca="false">IF(A451="","",IFERROR(INDEX(Execuções!$E$2:$E$97,MATCH(A451,Execuções!$A$2:$A$97,0)),"ID?"))</f>
        <v/>
      </c>
      <c r="E451" s="11" t="str">
        <f aca="false">IF(A451="","",IFERROR(INDEX(Execuções!$F$2:$F$97,MATCH(A451,Execuções!$A$2:$A$97,0)),"ID?"))</f>
        <v/>
      </c>
      <c r="F451" s="13"/>
      <c r="G451" s="13"/>
    </row>
    <row r="452" customFormat="false" ht="15" hidden="false" customHeight="false" outlineLevel="0" collapsed="false">
      <c r="A452" s="14"/>
      <c r="B452" s="14"/>
      <c r="C452" s="11" t="str">
        <f aca="false">IF(OR(A452="",B452=""),"",A452&amp;"-"&amp;TEXT(B452,"00"))</f>
        <v/>
      </c>
      <c r="D452" s="11" t="str">
        <f aca="false">IF(A452="","",IFERROR(INDEX(Execuções!$E$2:$E$97,MATCH(A452,Execuções!$A$2:$A$97,0)),"ID?"))</f>
        <v/>
      </c>
      <c r="E452" s="11" t="str">
        <f aca="false">IF(A452="","",IFERROR(INDEX(Execuções!$F$2:$F$97,MATCH(A452,Execuções!$A$2:$A$97,0)),"ID?"))</f>
        <v/>
      </c>
      <c r="F452" s="13"/>
      <c r="G452" s="13"/>
    </row>
    <row r="453" customFormat="false" ht="15" hidden="false" customHeight="false" outlineLevel="0" collapsed="false">
      <c r="A453" s="14"/>
      <c r="B453" s="14"/>
      <c r="C453" s="11" t="str">
        <f aca="false">IF(OR(A453="",B453=""),"",A453&amp;"-"&amp;TEXT(B453,"00"))</f>
        <v/>
      </c>
      <c r="D453" s="11" t="str">
        <f aca="false">IF(A453="","",IFERROR(INDEX(Execuções!$E$2:$E$97,MATCH(A453,Execuções!$A$2:$A$97,0)),"ID?"))</f>
        <v/>
      </c>
      <c r="E453" s="11" t="str">
        <f aca="false">IF(A453="","",IFERROR(INDEX(Execuções!$F$2:$F$97,MATCH(A453,Execuções!$A$2:$A$97,0)),"ID?"))</f>
        <v/>
      </c>
      <c r="F453" s="13"/>
      <c r="G453" s="13"/>
    </row>
    <row r="454" customFormat="false" ht="15" hidden="false" customHeight="false" outlineLevel="0" collapsed="false">
      <c r="A454" s="14"/>
      <c r="B454" s="14"/>
      <c r="C454" s="11" t="str">
        <f aca="false">IF(OR(A454="",B454=""),"",A454&amp;"-"&amp;TEXT(B454,"00"))</f>
        <v/>
      </c>
      <c r="D454" s="11" t="str">
        <f aca="false">IF(A454="","",IFERROR(INDEX(Execuções!$E$2:$E$97,MATCH(A454,Execuções!$A$2:$A$97,0)),"ID?"))</f>
        <v/>
      </c>
      <c r="E454" s="11" t="str">
        <f aca="false">IF(A454="","",IFERROR(INDEX(Execuções!$F$2:$F$97,MATCH(A454,Execuções!$A$2:$A$97,0)),"ID?"))</f>
        <v/>
      </c>
      <c r="F454" s="13"/>
      <c r="G454" s="13"/>
    </row>
    <row r="455" customFormat="false" ht="15" hidden="false" customHeight="false" outlineLevel="0" collapsed="false">
      <c r="A455" s="14"/>
      <c r="B455" s="14"/>
      <c r="C455" s="11" t="str">
        <f aca="false">IF(OR(A455="",B455=""),"",A455&amp;"-"&amp;TEXT(B455,"00"))</f>
        <v/>
      </c>
      <c r="D455" s="11" t="str">
        <f aca="false">IF(A455="","",IFERROR(INDEX(Execuções!$E$2:$E$97,MATCH(A455,Execuções!$A$2:$A$97,0)),"ID?"))</f>
        <v/>
      </c>
      <c r="E455" s="11" t="str">
        <f aca="false">IF(A455="","",IFERROR(INDEX(Execuções!$F$2:$F$97,MATCH(A455,Execuções!$A$2:$A$97,0)),"ID?"))</f>
        <v/>
      </c>
      <c r="F455" s="13"/>
      <c r="G455" s="13"/>
    </row>
    <row r="456" customFormat="false" ht="15" hidden="false" customHeight="false" outlineLevel="0" collapsed="false">
      <c r="A456" s="14"/>
      <c r="B456" s="14"/>
      <c r="C456" s="11" t="str">
        <f aca="false">IF(OR(A456="",B456=""),"",A456&amp;"-"&amp;TEXT(B456,"00"))</f>
        <v/>
      </c>
      <c r="D456" s="11" t="str">
        <f aca="false">IF(A456="","",IFERROR(INDEX(Execuções!$E$2:$E$97,MATCH(A456,Execuções!$A$2:$A$97,0)),"ID?"))</f>
        <v/>
      </c>
      <c r="E456" s="11" t="str">
        <f aca="false">IF(A456="","",IFERROR(INDEX(Execuções!$F$2:$F$97,MATCH(A456,Execuções!$A$2:$A$97,0)),"ID?"))</f>
        <v/>
      </c>
      <c r="F456" s="13"/>
      <c r="G456" s="13"/>
    </row>
    <row r="457" customFormat="false" ht="15" hidden="false" customHeight="false" outlineLevel="0" collapsed="false">
      <c r="A457" s="14"/>
      <c r="B457" s="14"/>
      <c r="C457" s="11" t="str">
        <f aca="false">IF(OR(A457="",B457=""),"",A457&amp;"-"&amp;TEXT(B457,"00"))</f>
        <v/>
      </c>
      <c r="D457" s="11" t="str">
        <f aca="false">IF(A457="","",IFERROR(INDEX(Execuções!$E$2:$E$97,MATCH(A457,Execuções!$A$2:$A$97,0)),"ID?"))</f>
        <v/>
      </c>
      <c r="E457" s="11" t="str">
        <f aca="false">IF(A457="","",IFERROR(INDEX(Execuções!$F$2:$F$97,MATCH(A457,Execuções!$A$2:$A$97,0)),"ID?"))</f>
        <v/>
      </c>
      <c r="F457" s="13"/>
      <c r="G457" s="13"/>
    </row>
    <row r="458" customFormat="false" ht="15" hidden="false" customHeight="false" outlineLevel="0" collapsed="false">
      <c r="A458" s="14"/>
      <c r="B458" s="14"/>
      <c r="C458" s="11" t="str">
        <f aca="false">IF(OR(A458="",B458=""),"",A458&amp;"-"&amp;TEXT(B458,"00"))</f>
        <v/>
      </c>
      <c r="D458" s="11" t="str">
        <f aca="false">IF(A458="","",IFERROR(INDEX(Execuções!$E$2:$E$97,MATCH(A458,Execuções!$A$2:$A$97,0)),"ID?"))</f>
        <v/>
      </c>
      <c r="E458" s="11" t="str">
        <f aca="false">IF(A458="","",IFERROR(INDEX(Execuções!$F$2:$F$97,MATCH(A458,Execuções!$A$2:$A$97,0)),"ID?"))</f>
        <v/>
      </c>
      <c r="F458" s="13"/>
      <c r="G458" s="13"/>
    </row>
    <row r="459" customFormat="false" ht="15" hidden="false" customHeight="false" outlineLevel="0" collapsed="false">
      <c r="A459" s="14"/>
      <c r="B459" s="14"/>
      <c r="C459" s="11" t="str">
        <f aca="false">IF(OR(A459="",B459=""),"",A459&amp;"-"&amp;TEXT(B459,"00"))</f>
        <v/>
      </c>
      <c r="D459" s="11" t="str">
        <f aca="false">IF(A459="","",IFERROR(INDEX(Execuções!$E$2:$E$97,MATCH(A459,Execuções!$A$2:$A$97,0)),"ID?"))</f>
        <v/>
      </c>
      <c r="E459" s="11" t="str">
        <f aca="false">IF(A459="","",IFERROR(INDEX(Execuções!$F$2:$F$97,MATCH(A459,Execuções!$A$2:$A$97,0)),"ID?"))</f>
        <v/>
      </c>
      <c r="F459" s="13"/>
      <c r="G459" s="13"/>
    </row>
    <row r="460" customFormat="false" ht="15" hidden="false" customHeight="false" outlineLevel="0" collapsed="false">
      <c r="A460" s="14"/>
      <c r="B460" s="14"/>
      <c r="C460" s="11" t="str">
        <f aca="false">IF(OR(A460="",B460=""),"",A460&amp;"-"&amp;TEXT(B460,"00"))</f>
        <v/>
      </c>
      <c r="D460" s="11" t="str">
        <f aca="false">IF(A460="","",IFERROR(INDEX(Execuções!$E$2:$E$97,MATCH(A460,Execuções!$A$2:$A$97,0)),"ID?"))</f>
        <v/>
      </c>
      <c r="E460" s="11" t="str">
        <f aca="false">IF(A460="","",IFERROR(INDEX(Execuções!$F$2:$F$97,MATCH(A460,Execuções!$A$2:$A$97,0)),"ID?"))</f>
        <v/>
      </c>
      <c r="F460" s="13"/>
      <c r="G460" s="13"/>
    </row>
    <row r="461" customFormat="false" ht="15" hidden="false" customHeight="false" outlineLevel="0" collapsed="false">
      <c r="A461" s="14"/>
      <c r="B461" s="14"/>
      <c r="C461" s="11" t="str">
        <f aca="false">IF(OR(A461="",B461=""),"",A461&amp;"-"&amp;TEXT(B461,"00"))</f>
        <v/>
      </c>
      <c r="D461" s="11" t="str">
        <f aca="false">IF(A461="","",IFERROR(INDEX(Execuções!$E$2:$E$97,MATCH(A461,Execuções!$A$2:$A$97,0)),"ID?"))</f>
        <v/>
      </c>
      <c r="E461" s="11" t="str">
        <f aca="false">IF(A461="","",IFERROR(INDEX(Execuções!$F$2:$F$97,MATCH(A461,Execuções!$A$2:$A$97,0)),"ID?"))</f>
        <v/>
      </c>
      <c r="F461" s="13"/>
      <c r="G461" s="13"/>
    </row>
    <row r="462" customFormat="false" ht="15" hidden="false" customHeight="false" outlineLevel="0" collapsed="false">
      <c r="A462" s="14"/>
      <c r="B462" s="14"/>
      <c r="C462" s="11" t="str">
        <f aca="false">IF(OR(A462="",B462=""),"",A462&amp;"-"&amp;TEXT(B462,"00"))</f>
        <v/>
      </c>
      <c r="D462" s="11" t="str">
        <f aca="false">IF(A462="","",IFERROR(INDEX(Execuções!$E$2:$E$97,MATCH(A462,Execuções!$A$2:$A$97,0)),"ID?"))</f>
        <v/>
      </c>
      <c r="E462" s="11" t="str">
        <f aca="false">IF(A462="","",IFERROR(INDEX(Execuções!$F$2:$F$97,MATCH(A462,Execuções!$A$2:$A$97,0)),"ID?"))</f>
        <v/>
      </c>
      <c r="F462" s="13"/>
      <c r="G462" s="13"/>
    </row>
    <row r="463" customFormat="false" ht="15" hidden="false" customHeight="false" outlineLevel="0" collapsed="false">
      <c r="A463" s="14"/>
      <c r="B463" s="14"/>
      <c r="C463" s="11" t="str">
        <f aca="false">IF(OR(A463="",B463=""),"",A463&amp;"-"&amp;TEXT(B463,"00"))</f>
        <v/>
      </c>
      <c r="D463" s="11" t="str">
        <f aca="false">IF(A463="","",IFERROR(INDEX(Execuções!$E$2:$E$97,MATCH(A463,Execuções!$A$2:$A$97,0)),"ID?"))</f>
        <v/>
      </c>
      <c r="E463" s="11" t="str">
        <f aca="false">IF(A463="","",IFERROR(INDEX(Execuções!$F$2:$F$97,MATCH(A463,Execuções!$A$2:$A$97,0)),"ID?"))</f>
        <v/>
      </c>
      <c r="F463" s="13"/>
      <c r="G463" s="13"/>
    </row>
    <row r="464" customFormat="false" ht="15" hidden="false" customHeight="false" outlineLevel="0" collapsed="false">
      <c r="A464" s="14"/>
      <c r="B464" s="14"/>
      <c r="C464" s="11" t="str">
        <f aca="false">IF(OR(A464="",B464=""),"",A464&amp;"-"&amp;TEXT(B464,"00"))</f>
        <v/>
      </c>
      <c r="D464" s="11" t="str">
        <f aca="false">IF(A464="","",IFERROR(INDEX(Execuções!$E$2:$E$97,MATCH(A464,Execuções!$A$2:$A$97,0)),"ID?"))</f>
        <v/>
      </c>
      <c r="E464" s="11" t="str">
        <f aca="false">IF(A464="","",IFERROR(INDEX(Execuções!$F$2:$F$97,MATCH(A464,Execuções!$A$2:$A$97,0)),"ID?"))</f>
        <v/>
      </c>
      <c r="F464" s="13"/>
      <c r="G464" s="13"/>
    </row>
    <row r="465" customFormat="false" ht="15" hidden="false" customHeight="false" outlineLevel="0" collapsed="false">
      <c r="A465" s="14"/>
      <c r="B465" s="14"/>
      <c r="C465" s="11" t="str">
        <f aca="false">IF(OR(A465="",B465=""),"",A465&amp;"-"&amp;TEXT(B465,"00"))</f>
        <v/>
      </c>
      <c r="D465" s="11" t="str">
        <f aca="false">IF(A465="","",IFERROR(INDEX(Execuções!$E$2:$E$97,MATCH(A465,Execuções!$A$2:$A$97,0)),"ID?"))</f>
        <v/>
      </c>
      <c r="E465" s="11" t="str">
        <f aca="false">IF(A465="","",IFERROR(INDEX(Execuções!$F$2:$F$97,MATCH(A465,Execuções!$A$2:$A$97,0)),"ID?"))</f>
        <v/>
      </c>
      <c r="F465" s="13"/>
      <c r="G465" s="13"/>
    </row>
    <row r="466" customFormat="false" ht="15" hidden="false" customHeight="false" outlineLevel="0" collapsed="false">
      <c r="A466" s="14"/>
      <c r="B466" s="14"/>
      <c r="C466" s="11" t="str">
        <f aca="false">IF(OR(A466="",B466=""),"",A466&amp;"-"&amp;TEXT(B466,"00"))</f>
        <v/>
      </c>
      <c r="D466" s="11" t="str">
        <f aca="false">IF(A466="","",IFERROR(INDEX(Execuções!$E$2:$E$97,MATCH(A466,Execuções!$A$2:$A$97,0)),"ID?"))</f>
        <v/>
      </c>
      <c r="E466" s="11" t="str">
        <f aca="false">IF(A466="","",IFERROR(INDEX(Execuções!$F$2:$F$97,MATCH(A466,Execuções!$A$2:$A$97,0)),"ID?"))</f>
        <v/>
      </c>
      <c r="F466" s="13"/>
      <c r="G466" s="13"/>
    </row>
    <row r="467" customFormat="false" ht="15" hidden="false" customHeight="false" outlineLevel="0" collapsed="false">
      <c r="A467" s="14"/>
      <c r="B467" s="14"/>
      <c r="C467" s="11" t="str">
        <f aca="false">IF(OR(A467="",B467=""),"",A467&amp;"-"&amp;TEXT(B467,"00"))</f>
        <v/>
      </c>
      <c r="D467" s="11" t="str">
        <f aca="false">IF(A467="","",IFERROR(INDEX(Execuções!$E$2:$E$97,MATCH(A467,Execuções!$A$2:$A$97,0)),"ID?"))</f>
        <v/>
      </c>
      <c r="E467" s="11" t="str">
        <f aca="false">IF(A467="","",IFERROR(INDEX(Execuções!$F$2:$F$97,MATCH(A467,Execuções!$A$2:$A$97,0)),"ID?"))</f>
        <v/>
      </c>
      <c r="F467" s="13"/>
      <c r="G467" s="13"/>
    </row>
    <row r="468" customFormat="false" ht="15" hidden="false" customHeight="false" outlineLevel="0" collapsed="false">
      <c r="A468" s="14"/>
      <c r="B468" s="14"/>
      <c r="C468" s="11" t="str">
        <f aca="false">IF(OR(A468="",B468=""),"",A468&amp;"-"&amp;TEXT(B468,"00"))</f>
        <v/>
      </c>
      <c r="D468" s="11" t="str">
        <f aca="false">IF(A468="","",IFERROR(INDEX(Execuções!$E$2:$E$97,MATCH(A468,Execuções!$A$2:$A$97,0)),"ID?"))</f>
        <v/>
      </c>
      <c r="E468" s="11" t="str">
        <f aca="false">IF(A468="","",IFERROR(INDEX(Execuções!$F$2:$F$97,MATCH(A468,Execuções!$A$2:$A$97,0)),"ID?"))</f>
        <v/>
      </c>
      <c r="F468" s="13"/>
      <c r="G468" s="13"/>
    </row>
    <row r="469" customFormat="false" ht="15" hidden="false" customHeight="false" outlineLevel="0" collapsed="false">
      <c r="A469" s="14"/>
      <c r="B469" s="14"/>
      <c r="C469" s="11" t="str">
        <f aca="false">IF(OR(A469="",B469=""),"",A469&amp;"-"&amp;TEXT(B469,"00"))</f>
        <v/>
      </c>
      <c r="D469" s="11" t="str">
        <f aca="false">IF(A469="","",IFERROR(INDEX(Execuções!$E$2:$E$97,MATCH(A469,Execuções!$A$2:$A$97,0)),"ID?"))</f>
        <v/>
      </c>
      <c r="E469" s="11" t="str">
        <f aca="false">IF(A469="","",IFERROR(INDEX(Execuções!$F$2:$F$97,MATCH(A469,Execuções!$A$2:$A$97,0)),"ID?"))</f>
        <v/>
      </c>
      <c r="F469" s="13"/>
      <c r="G469" s="13"/>
    </row>
    <row r="470" customFormat="false" ht="15" hidden="false" customHeight="false" outlineLevel="0" collapsed="false">
      <c r="A470" s="14"/>
      <c r="B470" s="14"/>
      <c r="C470" s="11" t="str">
        <f aca="false">IF(OR(A470="",B470=""),"",A470&amp;"-"&amp;TEXT(B470,"00"))</f>
        <v/>
      </c>
      <c r="D470" s="11" t="str">
        <f aca="false">IF(A470="","",IFERROR(INDEX(Execuções!$E$2:$E$97,MATCH(A470,Execuções!$A$2:$A$97,0)),"ID?"))</f>
        <v/>
      </c>
      <c r="E470" s="11" t="str">
        <f aca="false">IF(A470="","",IFERROR(INDEX(Execuções!$F$2:$F$97,MATCH(A470,Execuções!$A$2:$A$97,0)),"ID?"))</f>
        <v/>
      </c>
      <c r="F470" s="13"/>
      <c r="G470" s="13"/>
    </row>
    <row r="471" customFormat="false" ht="15" hidden="false" customHeight="false" outlineLevel="0" collapsed="false">
      <c r="A471" s="14"/>
      <c r="B471" s="14"/>
      <c r="C471" s="11" t="str">
        <f aca="false">IF(OR(A471="",B471=""),"",A471&amp;"-"&amp;TEXT(B471,"00"))</f>
        <v/>
      </c>
      <c r="D471" s="11" t="str">
        <f aca="false">IF(A471="","",IFERROR(INDEX(Execuções!$E$2:$E$97,MATCH(A471,Execuções!$A$2:$A$97,0)),"ID?"))</f>
        <v/>
      </c>
      <c r="E471" s="11" t="str">
        <f aca="false">IF(A471="","",IFERROR(INDEX(Execuções!$F$2:$F$97,MATCH(A471,Execuções!$A$2:$A$97,0)),"ID?"))</f>
        <v/>
      </c>
      <c r="F471" s="13"/>
      <c r="G471" s="13"/>
    </row>
    <row r="472" customFormat="false" ht="15" hidden="false" customHeight="false" outlineLevel="0" collapsed="false">
      <c r="A472" s="14"/>
      <c r="B472" s="14"/>
      <c r="C472" s="11" t="str">
        <f aca="false">IF(OR(A472="",B472=""),"",A472&amp;"-"&amp;TEXT(B472,"00"))</f>
        <v/>
      </c>
      <c r="D472" s="11" t="str">
        <f aca="false">IF(A472="","",IFERROR(INDEX(Execuções!$E$2:$E$97,MATCH(A472,Execuções!$A$2:$A$97,0)),"ID?"))</f>
        <v/>
      </c>
      <c r="E472" s="11" t="str">
        <f aca="false">IF(A472="","",IFERROR(INDEX(Execuções!$F$2:$F$97,MATCH(A472,Execuções!$A$2:$A$97,0)),"ID?"))</f>
        <v/>
      </c>
      <c r="F472" s="13"/>
      <c r="G472" s="13"/>
    </row>
    <row r="473" customFormat="false" ht="15" hidden="false" customHeight="false" outlineLevel="0" collapsed="false">
      <c r="A473" s="14"/>
      <c r="B473" s="14"/>
      <c r="C473" s="11" t="str">
        <f aca="false">IF(OR(A473="",B473=""),"",A473&amp;"-"&amp;TEXT(B473,"00"))</f>
        <v/>
      </c>
      <c r="D473" s="11" t="str">
        <f aca="false">IF(A473="","",IFERROR(INDEX(Execuções!$E$2:$E$97,MATCH(A473,Execuções!$A$2:$A$97,0)),"ID?"))</f>
        <v/>
      </c>
      <c r="E473" s="11" t="str">
        <f aca="false">IF(A473="","",IFERROR(INDEX(Execuções!$F$2:$F$97,MATCH(A473,Execuções!$A$2:$A$97,0)),"ID?"))</f>
        <v/>
      </c>
      <c r="F473" s="13"/>
      <c r="G473" s="13"/>
    </row>
    <row r="474" customFormat="false" ht="15" hidden="false" customHeight="false" outlineLevel="0" collapsed="false">
      <c r="A474" s="14"/>
      <c r="B474" s="14"/>
      <c r="C474" s="11" t="str">
        <f aca="false">IF(OR(A474="",B474=""),"",A474&amp;"-"&amp;TEXT(B474,"00"))</f>
        <v/>
      </c>
      <c r="D474" s="11" t="str">
        <f aca="false">IF(A474="","",IFERROR(INDEX(Execuções!$E$2:$E$97,MATCH(A474,Execuções!$A$2:$A$97,0)),"ID?"))</f>
        <v/>
      </c>
      <c r="E474" s="11" t="str">
        <f aca="false">IF(A474="","",IFERROR(INDEX(Execuções!$F$2:$F$97,MATCH(A474,Execuções!$A$2:$A$97,0)),"ID?"))</f>
        <v/>
      </c>
      <c r="F474" s="13"/>
      <c r="G474" s="13"/>
    </row>
    <row r="475" customFormat="false" ht="15" hidden="false" customHeight="false" outlineLevel="0" collapsed="false">
      <c r="A475" s="14"/>
      <c r="B475" s="14"/>
      <c r="C475" s="11" t="str">
        <f aca="false">IF(OR(A475="",B475=""),"",A475&amp;"-"&amp;TEXT(B475,"00"))</f>
        <v/>
      </c>
      <c r="D475" s="11" t="str">
        <f aca="false">IF(A475="","",IFERROR(INDEX(Execuções!$E$2:$E$97,MATCH(A475,Execuções!$A$2:$A$97,0)),"ID?"))</f>
        <v/>
      </c>
      <c r="E475" s="11" t="str">
        <f aca="false">IF(A475="","",IFERROR(INDEX(Execuções!$F$2:$F$97,MATCH(A475,Execuções!$A$2:$A$97,0)),"ID?"))</f>
        <v/>
      </c>
      <c r="F475" s="13"/>
      <c r="G475" s="13"/>
    </row>
    <row r="476" customFormat="false" ht="15" hidden="false" customHeight="false" outlineLevel="0" collapsed="false">
      <c r="A476" s="14"/>
      <c r="B476" s="14"/>
      <c r="C476" s="11" t="str">
        <f aca="false">IF(OR(A476="",B476=""),"",A476&amp;"-"&amp;TEXT(B476,"00"))</f>
        <v/>
      </c>
      <c r="D476" s="11" t="str">
        <f aca="false">IF(A476="","",IFERROR(INDEX(Execuções!$E$2:$E$97,MATCH(A476,Execuções!$A$2:$A$97,0)),"ID?"))</f>
        <v/>
      </c>
      <c r="E476" s="11" t="str">
        <f aca="false">IF(A476="","",IFERROR(INDEX(Execuções!$F$2:$F$97,MATCH(A476,Execuções!$A$2:$A$97,0)),"ID?"))</f>
        <v/>
      </c>
      <c r="F476" s="13"/>
      <c r="G476" s="13"/>
    </row>
    <row r="477" customFormat="false" ht="15" hidden="false" customHeight="false" outlineLevel="0" collapsed="false">
      <c r="A477" s="14"/>
      <c r="B477" s="14"/>
      <c r="C477" s="11" t="str">
        <f aca="false">IF(OR(A477="",B477=""),"",A477&amp;"-"&amp;TEXT(B477,"00"))</f>
        <v/>
      </c>
      <c r="D477" s="11" t="str">
        <f aca="false">IF(A477="","",IFERROR(INDEX(Execuções!$E$2:$E$97,MATCH(A477,Execuções!$A$2:$A$97,0)),"ID?"))</f>
        <v/>
      </c>
      <c r="E477" s="11" t="str">
        <f aca="false">IF(A477="","",IFERROR(INDEX(Execuções!$F$2:$F$97,MATCH(A477,Execuções!$A$2:$A$97,0)),"ID?"))</f>
        <v/>
      </c>
      <c r="F477" s="13"/>
      <c r="G477" s="13"/>
    </row>
    <row r="478" customFormat="false" ht="15" hidden="false" customHeight="false" outlineLevel="0" collapsed="false">
      <c r="A478" s="14"/>
      <c r="B478" s="14"/>
      <c r="C478" s="11" t="str">
        <f aca="false">IF(OR(A478="",B478=""),"",A478&amp;"-"&amp;TEXT(B478,"00"))</f>
        <v/>
      </c>
      <c r="D478" s="11" t="str">
        <f aca="false">IF(A478="","",IFERROR(INDEX(Execuções!$E$2:$E$97,MATCH(A478,Execuções!$A$2:$A$97,0)),"ID?"))</f>
        <v/>
      </c>
      <c r="E478" s="11" t="str">
        <f aca="false">IF(A478="","",IFERROR(INDEX(Execuções!$F$2:$F$97,MATCH(A478,Execuções!$A$2:$A$97,0)),"ID?"))</f>
        <v/>
      </c>
      <c r="F478" s="13"/>
      <c r="G478" s="13"/>
    </row>
    <row r="479" customFormat="false" ht="15" hidden="false" customHeight="false" outlineLevel="0" collapsed="false">
      <c r="A479" s="14"/>
      <c r="B479" s="14"/>
      <c r="C479" s="11" t="str">
        <f aca="false">IF(OR(A479="",B479=""),"",A479&amp;"-"&amp;TEXT(B479,"00"))</f>
        <v/>
      </c>
      <c r="D479" s="11" t="str">
        <f aca="false">IF(A479="","",IFERROR(INDEX(Execuções!$E$2:$E$97,MATCH(A479,Execuções!$A$2:$A$97,0)),"ID?"))</f>
        <v/>
      </c>
      <c r="E479" s="11" t="str">
        <f aca="false">IF(A479="","",IFERROR(INDEX(Execuções!$F$2:$F$97,MATCH(A479,Execuções!$A$2:$A$97,0)),"ID?"))</f>
        <v/>
      </c>
      <c r="F479" s="13"/>
      <c r="G479" s="13"/>
    </row>
    <row r="480" customFormat="false" ht="15" hidden="false" customHeight="false" outlineLevel="0" collapsed="false">
      <c r="A480" s="14"/>
      <c r="B480" s="14"/>
      <c r="C480" s="11" t="str">
        <f aca="false">IF(OR(A480="",B480=""),"",A480&amp;"-"&amp;TEXT(B480,"00"))</f>
        <v/>
      </c>
      <c r="D480" s="11" t="str">
        <f aca="false">IF(A480="","",IFERROR(INDEX(Execuções!$E$2:$E$97,MATCH(A480,Execuções!$A$2:$A$97,0)),"ID?"))</f>
        <v/>
      </c>
      <c r="E480" s="11" t="str">
        <f aca="false">IF(A480="","",IFERROR(INDEX(Execuções!$F$2:$F$97,MATCH(A480,Execuções!$A$2:$A$97,0)),"ID?"))</f>
        <v/>
      </c>
      <c r="F480" s="13"/>
      <c r="G480" s="13"/>
    </row>
    <row r="481" customFormat="false" ht="15" hidden="false" customHeight="false" outlineLevel="0" collapsed="false">
      <c r="A481" s="14"/>
      <c r="B481" s="14"/>
      <c r="C481" s="11" t="str">
        <f aca="false">IF(OR(A481="",B481=""),"",A481&amp;"-"&amp;TEXT(B481,"00"))</f>
        <v/>
      </c>
      <c r="D481" s="11" t="str">
        <f aca="false">IF(A481="","",IFERROR(INDEX(Execuções!$E$2:$E$97,MATCH(A481,Execuções!$A$2:$A$97,0)),"ID?"))</f>
        <v/>
      </c>
      <c r="E481" s="11" t="str">
        <f aca="false">IF(A481="","",IFERROR(INDEX(Execuções!$F$2:$F$97,MATCH(A481,Execuções!$A$2:$A$97,0)),"ID?"))</f>
        <v/>
      </c>
      <c r="F481" s="13"/>
      <c r="G481" s="13"/>
    </row>
    <row r="482" customFormat="false" ht="15" hidden="false" customHeight="false" outlineLevel="0" collapsed="false">
      <c r="A482" s="14"/>
      <c r="B482" s="14"/>
      <c r="C482" s="11" t="str">
        <f aca="false">IF(OR(A482="",B482=""),"",A482&amp;"-"&amp;TEXT(B482,"00"))</f>
        <v/>
      </c>
      <c r="D482" s="11" t="str">
        <f aca="false">IF(A482="","",IFERROR(INDEX(Execuções!$E$2:$E$97,MATCH(A482,Execuções!$A$2:$A$97,0)),"ID?"))</f>
        <v/>
      </c>
      <c r="E482" s="11" t="str">
        <f aca="false">IF(A482="","",IFERROR(INDEX(Execuções!$F$2:$F$97,MATCH(A482,Execuções!$A$2:$A$97,0)),"ID?"))</f>
        <v/>
      </c>
      <c r="F482" s="13"/>
      <c r="G482" s="13"/>
    </row>
    <row r="483" customFormat="false" ht="15" hidden="false" customHeight="false" outlineLevel="0" collapsed="false">
      <c r="A483" s="14"/>
      <c r="B483" s="14"/>
      <c r="C483" s="11" t="str">
        <f aca="false">IF(OR(A483="",B483=""),"",A483&amp;"-"&amp;TEXT(B483,"00"))</f>
        <v/>
      </c>
      <c r="D483" s="11" t="str">
        <f aca="false">IF(A483="","",IFERROR(INDEX(Execuções!$E$2:$E$97,MATCH(A483,Execuções!$A$2:$A$97,0)),"ID?"))</f>
        <v/>
      </c>
      <c r="E483" s="11" t="str">
        <f aca="false">IF(A483="","",IFERROR(INDEX(Execuções!$F$2:$F$97,MATCH(A483,Execuções!$A$2:$A$97,0)),"ID?"))</f>
        <v/>
      </c>
      <c r="F483" s="13"/>
      <c r="G483" s="13"/>
    </row>
    <row r="484" customFormat="false" ht="15" hidden="false" customHeight="false" outlineLevel="0" collapsed="false">
      <c r="A484" s="14"/>
      <c r="B484" s="14"/>
      <c r="C484" s="11" t="str">
        <f aca="false">IF(OR(A484="",B484=""),"",A484&amp;"-"&amp;TEXT(B484,"00"))</f>
        <v/>
      </c>
      <c r="D484" s="11" t="str">
        <f aca="false">IF(A484="","",IFERROR(INDEX(Execuções!$E$2:$E$97,MATCH(A484,Execuções!$A$2:$A$97,0)),"ID?"))</f>
        <v/>
      </c>
      <c r="E484" s="11" t="str">
        <f aca="false">IF(A484="","",IFERROR(INDEX(Execuções!$F$2:$F$97,MATCH(A484,Execuções!$A$2:$A$97,0)),"ID?"))</f>
        <v/>
      </c>
      <c r="F484" s="13"/>
      <c r="G484" s="13"/>
    </row>
    <row r="485" customFormat="false" ht="15" hidden="false" customHeight="false" outlineLevel="0" collapsed="false">
      <c r="A485" s="14"/>
      <c r="B485" s="14"/>
      <c r="C485" s="11" t="str">
        <f aca="false">IF(OR(A485="",B485=""),"",A485&amp;"-"&amp;TEXT(B485,"00"))</f>
        <v/>
      </c>
      <c r="D485" s="11" t="str">
        <f aca="false">IF(A485="","",IFERROR(INDEX(Execuções!$E$2:$E$97,MATCH(A485,Execuções!$A$2:$A$97,0)),"ID?"))</f>
        <v/>
      </c>
      <c r="E485" s="11" t="str">
        <f aca="false">IF(A485="","",IFERROR(INDEX(Execuções!$F$2:$F$97,MATCH(A485,Execuções!$A$2:$A$97,0)),"ID?"))</f>
        <v/>
      </c>
      <c r="F485" s="13"/>
      <c r="G485" s="13"/>
    </row>
    <row r="486" customFormat="false" ht="15" hidden="false" customHeight="false" outlineLevel="0" collapsed="false">
      <c r="A486" s="14"/>
      <c r="B486" s="14"/>
      <c r="C486" s="11" t="str">
        <f aca="false">IF(OR(A486="",B486=""),"",A486&amp;"-"&amp;TEXT(B486,"00"))</f>
        <v/>
      </c>
      <c r="D486" s="11" t="str">
        <f aca="false">IF(A486="","",IFERROR(INDEX(Execuções!$E$2:$E$97,MATCH(A486,Execuções!$A$2:$A$97,0)),"ID?"))</f>
        <v/>
      </c>
      <c r="E486" s="11" t="str">
        <f aca="false">IF(A486="","",IFERROR(INDEX(Execuções!$F$2:$F$97,MATCH(A486,Execuções!$A$2:$A$97,0)),"ID?"))</f>
        <v/>
      </c>
      <c r="F486" s="13"/>
      <c r="G486" s="13"/>
    </row>
    <row r="487" customFormat="false" ht="15" hidden="false" customHeight="false" outlineLevel="0" collapsed="false">
      <c r="A487" s="14"/>
      <c r="B487" s="14"/>
      <c r="C487" s="11" t="str">
        <f aca="false">IF(OR(A487="",B487=""),"",A487&amp;"-"&amp;TEXT(B487,"00"))</f>
        <v/>
      </c>
      <c r="D487" s="11" t="str">
        <f aca="false">IF(A487="","",IFERROR(INDEX(Execuções!$E$2:$E$97,MATCH(A487,Execuções!$A$2:$A$97,0)),"ID?"))</f>
        <v/>
      </c>
      <c r="E487" s="11" t="str">
        <f aca="false">IF(A487="","",IFERROR(INDEX(Execuções!$F$2:$F$97,MATCH(A487,Execuções!$A$2:$A$97,0)),"ID?"))</f>
        <v/>
      </c>
      <c r="F487" s="13"/>
      <c r="G487" s="13"/>
    </row>
    <row r="488" customFormat="false" ht="15" hidden="false" customHeight="false" outlineLevel="0" collapsed="false">
      <c r="A488" s="14"/>
      <c r="B488" s="14"/>
      <c r="C488" s="11" t="str">
        <f aca="false">IF(OR(A488="",B488=""),"",A488&amp;"-"&amp;TEXT(B488,"00"))</f>
        <v/>
      </c>
      <c r="D488" s="11" t="str">
        <f aca="false">IF(A488="","",IFERROR(INDEX(Execuções!$E$2:$E$97,MATCH(A488,Execuções!$A$2:$A$97,0)),"ID?"))</f>
        <v/>
      </c>
      <c r="E488" s="11" t="str">
        <f aca="false">IF(A488="","",IFERROR(INDEX(Execuções!$F$2:$F$97,MATCH(A488,Execuções!$A$2:$A$97,0)),"ID?"))</f>
        <v/>
      </c>
      <c r="F488" s="13"/>
      <c r="G488" s="13"/>
    </row>
    <row r="489" customFormat="false" ht="15" hidden="false" customHeight="false" outlineLevel="0" collapsed="false">
      <c r="A489" s="14"/>
      <c r="B489" s="14"/>
      <c r="C489" s="11" t="str">
        <f aca="false">IF(OR(A489="",B489=""),"",A489&amp;"-"&amp;TEXT(B489,"00"))</f>
        <v/>
      </c>
      <c r="D489" s="11" t="str">
        <f aca="false">IF(A489="","",IFERROR(INDEX(Execuções!$E$2:$E$97,MATCH(A489,Execuções!$A$2:$A$97,0)),"ID?"))</f>
        <v/>
      </c>
      <c r="E489" s="11" t="str">
        <f aca="false">IF(A489="","",IFERROR(INDEX(Execuções!$F$2:$F$97,MATCH(A489,Execuções!$A$2:$A$97,0)),"ID?"))</f>
        <v/>
      </c>
      <c r="F489" s="13"/>
      <c r="G489" s="13"/>
    </row>
    <row r="490" customFormat="false" ht="15" hidden="false" customHeight="false" outlineLevel="0" collapsed="false">
      <c r="A490" s="14"/>
      <c r="B490" s="14"/>
      <c r="C490" s="11" t="str">
        <f aca="false">IF(OR(A490="",B490=""),"",A490&amp;"-"&amp;TEXT(B490,"00"))</f>
        <v/>
      </c>
      <c r="D490" s="11" t="str">
        <f aca="false">IF(A490="","",IFERROR(INDEX(Execuções!$E$2:$E$97,MATCH(A490,Execuções!$A$2:$A$97,0)),"ID?"))</f>
        <v/>
      </c>
      <c r="E490" s="11" t="str">
        <f aca="false">IF(A490="","",IFERROR(INDEX(Execuções!$F$2:$F$97,MATCH(A490,Execuções!$A$2:$A$97,0)),"ID?"))</f>
        <v/>
      </c>
      <c r="F490" s="13"/>
      <c r="G490" s="13"/>
    </row>
    <row r="491" customFormat="false" ht="15" hidden="false" customHeight="false" outlineLevel="0" collapsed="false">
      <c r="A491" s="14"/>
      <c r="B491" s="14"/>
      <c r="C491" s="11" t="str">
        <f aca="false">IF(OR(A491="",B491=""),"",A491&amp;"-"&amp;TEXT(B491,"00"))</f>
        <v/>
      </c>
      <c r="D491" s="11" t="str">
        <f aca="false">IF(A491="","",IFERROR(INDEX(Execuções!$E$2:$E$97,MATCH(A491,Execuções!$A$2:$A$97,0)),"ID?"))</f>
        <v/>
      </c>
      <c r="E491" s="11" t="str">
        <f aca="false">IF(A491="","",IFERROR(INDEX(Execuções!$F$2:$F$97,MATCH(A491,Execuções!$A$2:$A$97,0)),"ID?"))</f>
        <v/>
      </c>
      <c r="F491" s="13"/>
      <c r="G491" s="13"/>
    </row>
    <row r="492" customFormat="false" ht="15" hidden="false" customHeight="false" outlineLevel="0" collapsed="false">
      <c r="A492" s="14"/>
      <c r="B492" s="14"/>
      <c r="C492" s="11" t="str">
        <f aca="false">IF(OR(A492="",B492=""),"",A492&amp;"-"&amp;TEXT(B492,"00"))</f>
        <v/>
      </c>
      <c r="D492" s="11" t="str">
        <f aca="false">IF(A492="","",IFERROR(INDEX(Execuções!$E$2:$E$97,MATCH(A492,Execuções!$A$2:$A$97,0)),"ID?"))</f>
        <v/>
      </c>
      <c r="E492" s="11" t="str">
        <f aca="false">IF(A492="","",IFERROR(INDEX(Execuções!$F$2:$F$97,MATCH(A492,Execuções!$A$2:$A$97,0)),"ID?"))</f>
        <v/>
      </c>
      <c r="F492" s="13"/>
      <c r="G492" s="13"/>
    </row>
    <row r="493" customFormat="false" ht="15" hidden="false" customHeight="false" outlineLevel="0" collapsed="false">
      <c r="A493" s="14"/>
      <c r="B493" s="14"/>
      <c r="C493" s="11" t="str">
        <f aca="false">IF(OR(A493="",B493=""),"",A493&amp;"-"&amp;TEXT(B493,"00"))</f>
        <v/>
      </c>
      <c r="D493" s="11" t="str">
        <f aca="false">IF(A493="","",IFERROR(INDEX(Execuções!$E$2:$E$97,MATCH(A493,Execuções!$A$2:$A$97,0)),"ID?"))</f>
        <v/>
      </c>
      <c r="E493" s="11" t="str">
        <f aca="false">IF(A493="","",IFERROR(INDEX(Execuções!$F$2:$F$97,MATCH(A493,Execuções!$A$2:$A$97,0)),"ID?"))</f>
        <v/>
      </c>
      <c r="F493" s="13"/>
      <c r="G493" s="13"/>
    </row>
    <row r="494" customFormat="false" ht="15" hidden="false" customHeight="false" outlineLevel="0" collapsed="false">
      <c r="A494" s="14"/>
      <c r="B494" s="14"/>
      <c r="C494" s="11" t="str">
        <f aca="false">IF(OR(A494="",B494=""),"",A494&amp;"-"&amp;TEXT(B494,"00"))</f>
        <v/>
      </c>
      <c r="D494" s="11" t="str">
        <f aca="false">IF(A494="","",IFERROR(INDEX(Execuções!$E$2:$E$97,MATCH(A494,Execuções!$A$2:$A$97,0)),"ID?"))</f>
        <v/>
      </c>
      <c r="E494" s="11" t="str">
        <f aca="false">IF(A494="","",IFERROR(INDEX(Execuções!$F$2:$F$97,MATCH(A494,Execuções!$A$2:$A$97,0)),"ID?"))</f>
        <v/>
      </c>
      <c r="F494" s="13"/>
      <c r="G494" s="13"/>
    </row>
    <row r="495" customFormat="false" ht="15" hidden="false" customHeight="false" outlineLevel="0" collapsed="false">
      <c r="A495" s="14"/>
      <c r="B495" s="14"/>
      <c r="C495" s="11" t="str">
        <f aca="false">IF(OR(A495="",B495=""),"",A495&amp;"-"&amp;TEXT(B495,"00"))</f>
        <v/>
      </c>
      <c r="D495" s="11" t="str">
        <f aca="false">IF(A495="","",IFERROR(INDEX(Execuções!$E$2:$E$97,MATCH(A495,Execuções!$A$2:$A$97,0)),"ID?"))</f>
        <v/>
      </c>
      <c r="E495" s="11" t="str">
        <f aca="false">IF(A495="","",IFERROR(INDEX(Execuções!$F$2:$F$97,MATCH(A495,Execuções!$A$2:$A$97,0)),"ID?"))</f>
        <v/>
      </c>
      <c r="F495" s="13"/>
      <c r="G495" s="13"/>
    </row>
    <row r="496" customFormat="false" ht="15" hidden="false" customHeight="false" outlineLevel="0" collapsed="false">
      <c r="A496" s="14"/>
      <c r="B496" s="14"/>
      <c r="C496" s="11" t="str">
        <f aca="false">IF(OR(A496="",B496=""),"",A496&amp;"-"&amp;TEXT(B496,"00"))</f>
        <v/>
      </c>
      <c r="D496" s="11" t="str">
        <f aca="false">IF(A496="","",IFERROR(INDEX(Execuções!$E$2:$E$97,MATCH(A496,Execuções!$A$2:$A$97,0)),"ID?"))</f>
        <v/>
      </c>
      <c r="E496" s="11" t="str">
        <f aca="false">IF(A496="","",IFERROR(INDEX(Execuções!$F$2:$F$97,MATCH(A496,Execuções!$A$2:$A$97,0)),"ID?"))</f>
        <v/>
      </c>
      <c r="F496" s="13"/>
      <c r="G496" s="13"/>
    </row>
    <row r="497" customFormat="false" ht="15" hidden="false" customHeight="false" outlineLevel="0" collapsed="false">
      <c r="A497" s="14"/>
      <c r="B497" s="14"/>
      <c r="C497" s="11" t="str">
        <f aca="false">IF(OR(A497="",B497=""),"",A497&amp;"-"&amp;TEXT(B497,"00"))</f>
        <v/>
      </c>
      <c r="D497" s="11" t="str">
        <f aca="false">IF(A497="","",IFERROR(INDEX(Execuções!$E$2:$E$97,MATCH(A497,Execuções!$A$2:$A$97,0)),"ID?"))</f>
        <v/>
      </c>
      <c r="E497" s="11" t="str">
        <f aca="false">IF(A497="","",IFERROR(INDEX(Execuções!$F$2:$F$97,MATCH(A497,Execuções!$A$2:$A$97,0)),"ID?"))</f>
        <v/>
      </c>
      <c r="F497" s="13"/>
      <c r="G497" s="13"/>
    </row>
    <row r="498" customFormat="false" ht="15" hidden="false" customHeight="false" outlineLevel="0" collapsed="false">
      <c r="A498" s="14"/>
      <c r="B498" s="14"/>
      <c r="C498" s="11" t="str">
        <f aca="false">IF(OR(A498="",B498=""),"",A498&amp;"-"&amp;TEXT(B498,"00"))</f>
        <v/>
      </c>
      <c r="D498" s="11" t="str">
        <f aca="false">IF(A498="","",IFERROR(INDEX(Execuções!$E$2:$E$97,MATCH(A498,Execuções!$A$2:$A$97,0)),"ID?"))</f>
        <v/>
      </c>
      <c r="E498" s="11" t="str">
        <f aca="false">IF(A498="","",IFERROR(INDEX(Execuções!$F$2:$F$97,MATCH(A498,Execuções!$A$2:$A$97,0)),"ID?"))</f>
        <v/>
      </c>
      <c r="F498" s="13"/>
      <c r="G498" s="13"/>
    </row>
    <row r="499" customFormat="false" ht="15" hidden="false" customHeight="false" outlineLevel="0" collapsed="false">
      <c r="A499" s="14"/>
      <c r="B499" s="14"/>
      <c r="C499" s="11" t="str">
        <f aca="false">IF(OR(A499="",B499=""),"",A499&amp;"-"&amp;TEXT(B499,"00"))</f>
        <v/>
      </c>
      <c r="D499" s="11" t="str">
        <f aca="false">IF(A499="","",IFERROR(INDEX(Execuções!$E$2:$E$97,MATCH(A499,Execuções!$A$2:$A$97,0)),"ID?"))</f>
        <v/>
      </c>
      <c r="E499" s="11" t="str">
        <f aca="false">IF(A499="","",IFERROR(INDEX(Execuções!$F$2:$F$97,MATCH(A499,Execuções!$A$2:$A$97,0)),"ID?"))</f>
        <v/>
      </c>
      <c r="F499" s="13"/>
      <c r="G499" s="13"/>
    </row>
    <row r="500" customFormat="false" ht="15" hidden="false" customHeight="false" outlineLevel="0" collapsed="false">
      <c r="A500" s="14"/>
      <c r="B500" s="14"/>
      <c r="C500" s="11" t="str">
        <f aca="false">IF(OR(A500="",B500=""),"",A500&amp;"-"&amp;TEXT(B500,"00"))</f>
        <v/>
      </c>
      <c r="D500" s="11" t="str">
        <f aca="false">IF(A500="","",IFERROR(INDEX(Execuções!$E$2:$E$97,MATCH(A500,Execuções!$A$2:$A$97,0)),"ID?"))</f>
        <v/>
      </c>
      <c r="E500" s="11" t="str">
        <f aca="false">IF(A500="","",IFERROR(INDEX(Execuções!$F$2:$F$97,MATCH(A500,Execuções!$A$2:$A$97,0)),"ID?"))</f>
        <v/>
      </c>
      <c r="F500" s="13"/>
      <c r="G500" s="13"/>
    </row>
    <row r="501" customFormat="false" ht="15" hidden="false" customHeight="false" outlineLevel="0" collapsed="false">
      <c r="A501" s="14"/>
      <c r="B501" s="14"/>
      <c r="C501" s="11" t="str">
        <f aca="false">IF(OR(A501="",B501=""),"",A501&amp;"-"&amp;TEXT(B501,"00"))</f>
        <v/>
      </c>
      <c r="D501" s="11" t="str">
        <f aca="false">IF(A501="","",IFERROR(INDEX(Execuções!$E$2:$E$97,MATCH(A501,Execuções!$A$2:$A$97,0)),"ID?"))</f>
        <v/>
      </c>
      <c r="E501" s="11" t="str">
        <f aca="false">IF(A501="","",IFERROR(INDEX(Execuções!$F$2:$F$97,MATCH(A501,Execuções!$A$2:$A$97,0)),"ID?"))</f>
        <v/>
      </c>
      <c r="F501" s="13"/>
      <c r="G501" s="13"/>
    </row>
    <row r="502" customFormat="false" ht="15" hidden="false" customHeight="false" outlineLevel="0" collapsed="false">
      <c r="A502" s="14"/>
      <c r="B502" s="14"/>
      <c r="C502" s="11" t="str">
        <f aca="false">IF(OR(A502="",B502=""),"",A502&amp;"-"&amp;TEXT(B502,"00"))</f>
        <v/>
      </c>
      <c r="D502" s="11" t="str">
        <f aca="false">IF(A502="","",IFERROR(INDEX(Execuções!$E$2:$E$97,MATCH(A502,Execuções!$A$2:$A$97,0)),"ID?"))</f>
        <v/>
      </c>
      <c r="E502" s="11" t="str">
        <f aca="false">IF(A502="","",IFERROR(INDEX(Execuções!$F$2:$F$97,MATCH(A502,Execuções!$A$2:$A$97,0)),"ID?"))</f>
        <v/>
      </c>
      <c r="F502" s="13"/>
      <c r="G502" s="13"/>
    </row>
    <row r="503" customFormat="false" ht="15" hidden="false" customHeight="false" outlineLevel="0" collapsed="false">
      <c r="A503" s="14"/>
      <c r="B503" s="14"/>
      <c r="C503" s="11" t="str">
        <f aca="false">IF(OR(A503="",B503=""),"",A503&amp;"-"&amp;TEXT(B503,"00"))</f>
        <v/>
      </c>
      <c r="D503" s="11" t="str">
        <f aca="false">IF(A503="","",IFERROR(INDEX(Execuções!$E$2:$E$97,MATCH(A503,Execuções!$A$2:$A$97,0)),"ID?"))</f>
        <v/>
      </c>
      <c r="E503" s="11" t="str">
        <f aca="false">IF(A503="","",IFERROR(INDEX(Execuções!$F$2:$F$97,MATCH(A503,Execuções!$A$2:$A$97,0)),"ID?"))</f>
        <v/>
      </c>
      <c r="F503" s="13"/>
      <c r="G503" s="13"/>
    </row>
    <row r="504" customFormat="false" ht="15" hidden="false" customHeight="false" outlineLevel="0" collapsed="false">
      <c r="A504" s="14"/>
      <c r="B504" s="14"/>
      <c r="C504" s="11" t="str">
        <f aca="false">IF(OR(A504="",B504=""),"",A504&amp;"-"&amp;TEXT(B504,"00"))</f>
        <v/>
      </c>
      <c r="D504" s="11" t="str">
        <f aca="false">IF(A504="","",IFERROR(INDEX(Execuções!$E$2:$E$97,MATCH(A504,Execuções!$A$2:$A$97,0)),"ID?"))</f>
        <v/>
      </c>
      <c r="E504" s="11" t="str">
        <f aca="false">IF(A504="","",IFERROR(INDEX(Execuções!$F$2:$F$97,MATCH(A504,Execuções!$A$2:$A$97,0)),"ID?"))</f>
        <v/>
      </c>
      <c r="F504" s="13"/>
      <c r="G504" s="13"/>
    </row>
    <row r="505" customFormat="false" ht="15" hidden="false" customHeight="false" outlineLevel="0" collapsed="false">
      <c r="A505" s="14"/>
      <c r="B505" s="14"/>
      <c r="C505" s="11" t="str">
        <f aca="false">IF(OR(A505="",B505=""),"",A505&amp;"-"&amp;TEXT(B505,"00"))</f>
        <v/>
      </c>
      <c r="D505" s="11" t="str">
        <f aca="false">IF(A505="","",IFERROR(INDEX(Execuções!$E$2:$E$97,MATCH(A505,Execuções!$A$2:$A$97,0)),"ID?"))</f>
        <v/>
      </c>
      <c r="E505" s="11" t="str">
        <f aca="false">IF(A505="","",IFERROR(INDEX(Execuções!$F$2:$F$97,MATCH(A505,Execuções!$A$2:$A$97,0)),"ID?"))</f>
        <v/>
      </c>
      <c r="F505" s="13"/>
      <c r="G505" s="13"/>
    </row>
    <row r="506" customFormat="false" ht="15" hidden="false" customHeight="false" outlineLevel="0" collapsed="false">
      <c r="A506" s="14"/>
      <c r="B506" s="14"/>
      <c r="C506" s="11" t="str">
        <f aca="false">IF(OR(A506="",B506=""),"",A506&amp;"-"&amp;TEXT(B506,"00"))</f>
        <v/>
      </c>
      <c r="D506" s="11" t="str">
        <f aca="false">IF(A506="","",IFERROR(INDEX(Execuções!$E$2:$E$97,MATCH(A506,Execuções!$A$2:$A$97,0)),"ID?"))</f>
        <v/>
      </c>
      <c r="E506" s="11" t="str">
        <f aca="false">IF(A506="","",IFERROR(INDEX(Execuções!$F$2:$F$97,MATCH(A506,Execuções!$A$2:$A$97,0)),"ID?"))</f>
        <v/>
      </c>
      <c r="F506" s="13"/>
      <c r="G506" s="13"/>
    </row>
    <row r="507" customFormat="false" ht="15" hidden="false" customHeight="false" outlineLevel="0" collapsed="false">
      <c r="A507" s="14"/>
      <c r="B507" s="14"/>
      <c r="C507" s="11" t="str">
        <f aca="false">IF(OR(A507="",B507=""),"",A507&amp;"-"&amp;TEXT(B507,"00"))</f>
        <v/>
      </c>
      <c r="D507" s="11" t="str">
        <f aca="false">IF(A507="","",IFERROR(INDEX(Execuções!$E$2:$E$97,MATCH(A507,Execuções!$A$2:$A$97,0)),"ID?"))</f>
        <v/>
      </c>
      <c r="E507" s="11" t="str">
        <f aca="false">IF(A507="","",IFERROR(INDEX(Execuções!$F$2:$F$97,MATCH(A507,Execuções!$A$2:$A$97,0)),"ID?"))</f>
        <v/>
      </c>
      <c r="F507" s="13"/>
      <c r="G507" s="13"/>
    </row>
    <row r="508" customFormat="false" ht="15" hidden="false" customHeight="false" outlineLevel="0" collapsed="false">
      <c r="A508" s="14"/>
      <c r="B508" s="14"/>
      <c r="C508" s="11" t="str">
        <f aca="false">IF(OR(A508="",B508=""),"",A508&amp;"-"&amp;TEXT(B508,"00"))</f>
        <v/>
      </c>
      <c r="D508" s="11" t="str">
        <f aca="false">IF(A508="","",IFERROR(INDEX(Execuções!$E$2:$E$97,MATCH(A508,Execuções!$A$2:$A$97,0)),"ID?"))</f>
        <v/>
      </c>
      <c r="E508" s="11" t="str">
        <f aca="false">IF(A508="","",IFERROR(INDEX(Execuções!$F$2:$F$97,MATCH(A508,Execuções!$A$2:$A$97,0)),"ID?"))</f>
        <v/>
      </c>
      <c r="F508" s="13"/>
      <c r="G508" s="13"/>
    </row>
    <row r="509" customFormat="false" ht="15" hidden="false" customHeight="false" outlineLevel="0" collapsed="false">
      <c r="A509" s="14"/>
      <c r="B509" s="14"/>
      <c r="C509" s="11" t="str">
        <f aca="false">IF(OR(A509="",B509=""),"",A509&amp;"-"&amp;TEXT(B509,"00"))</f>
        <v/>
      </c>
      <c r="D509" s="11" t="str">
        <f aca="false">IF(A509="","",IFERROR(INDEX(Execuções!$E$2:$E$97,MATCH(A509,Execuções!$A$2:$A$97,0)),"ID?"))</f>
        <v/>
      </c>
      <c r="E509" s="11" t="str">
        <f aca="false">IF(A509="","",IFERROR(INDEX(Execuções!$F$2:$F$97,MATCH(A509,Execuções!$A$2:$A$97,0)),"ID?"))</f>
        <v/>
      </c>
      <c r="F509" s="13"/>
      <c r="G509" s="13"/>
    </row>
    <row r="510" customFormat="false" ht="15" hidden="false" customHeight="false" outlineLevel="0" collapsed="false">
      <c r="A510" s="14"/>
      <c r="B510" s="14"/>
      <c r="C510" s="11" t="str">
        <f aca="false">IF(OR(A510="",B510=""),"",A510&amp;"-"&amp;TEXT(B510,"00"))</f>
        <v/>
      </c>
      <c r="D510" s="11" t="str">
        <f aca="false">IF(A510="","",IFERROR(INDEX(Execuções!$E$2:$E$97,MATCH(A510,Execuções!$A$2:$A$97,0)),"ID?"))</f>
        <v/>
      </c>
      <c r="E510" s="11" t="str">
        <f aca="false">IF(A510="","",IFERROR(INDEX(Execuções!$F$2:$F$97,MATCH(A510,Execuções!$A$2:$A$97,0)),"ID?"))</f>
        <v/>
      </c>
      <c r="F510" s="13"/>
      <c r="G510" s="13"/>
    </row>
    <row r="511" customFormat="false" ht="15" hidden="false" customHeight="false" outlineLevel="0" collapsed="false">
      <c r="A511" s="14"/>
      <c r="B511" s="14"/>
      <c r="C511" s="11" t="str">
        <f aca="false">IF(OR(A511="",B511=""),"",A511&amp;"-"&amp;TEXT(B511,"00"))</f>
        <v/>
      </c>
      <c r="D511" s="11" t="str">
        <f aca="false">IF(A511="","",IFERROR(INDEX(Execuções!$E$2:$E$97,MATCH(A511,Execuções!$A$2:$A$97,0)),"ID?"))</f>
        <v/>
      </c>
      <c r="E511" s="11" t="str">
        <f aca="false">IF(A511="","",IFERROR(INDEX(Execuções!$F$2:$F$97,MATCH(A511,Execuções!$A$2:$A$97,0)),"ID?"))</f>
        <v/>
      </c>
      <c r="F511" s="13"/>
      <c r="G511" s="13"/>
    </row>
    <row r="512" customFormat="false" ht="15" hidden="false" customHeight="false" outlineLevel="0" collapsed="false">
      <c r="A512" s="14"/>
      <c r="B512" s="14"/>
      <c r="C512" s="11" t="str">
        <f aca="false">IF(OR(A512="",B512=""),"",A512&amp;"-"&amp;TEXT(B512,"00"))</f>
        <v/>
      </c>
      <c r="D512" s="11" t="str">
        <f aca="false">IF(A512="","",IFERROR(INDEX(Execuções!$E$2:$E$97,MATCH(A512,Execuções!$A$2:$A$97,0)),"ID?"))</f>
        <v/>
      </c>
      <c r="E512" s="11" t="str">
        <f aca="false">IF(A512="","",IFERROR(INDEX(Execuções!$F$2:$F$97,MATCH(A512,Execuções!$A$2:$A$97,0)),"ID?"))</f>
        <v/>
      </c>
      <c r="F512" s="13"/>
      <c r="G512" s="13"/>
    </row>
    <row r="513" customFormat="false" ht="15" hidden="false" customHeight="false" outlineLevel="0" collapsed="false">
      <c r="A513" s="14"/>
      <c r="B513" s="14"/>
      <c r="C513" s="11" t="str">
        <f aca="false">IF(OR(A513="",B513=""),"",A513&amp;"-"&amp;TEXT(B513,"00"))</f>
        <v/>
      </c>
      <c r="D513" s="11" t="str">
        <f aca="false">IF(A513="","",IFERROR(INDEX(Execuções!$E$2:$E$97,MATCH(A513,Execuções!$A$2:$A$97,0)),"ID?"))</f>
        <v/>
      </c>
      <c r="E513" s="11" t="str">
        <f aca="false">IF(A513="","",IFERROR(INDEX(Execuções!$F$2:$F$97,MATCH(A513,Execuções!$A$2:$A$97,0)),"ID?"))</f>
        <v/>
      </c>
      <c r="F513" s="13"/>
      <c r="G513" s="13"/>
    </row>
    <row r="514" customFormat="false" ht="15" hidden="false" customHeight="false" outlineLevel="0" collapsed="false">
      <c r="A514" s="14"/>
      <c r="B514" s="14"/>
      <c r="C514" s="11" t="str">
        <f aca="false">IF(OR(A514="",B514=""),"",A514&amp;"-"&amp;TEXT(B514,"00"))</f>
        <v/>
      </c>
      <c r="D514" s="11" t="str">
        <f aca="false">IF(A514="","",IFERROR(INDEX(Execuções!$E$2:$E$97,MATCH(A514,Execuções!$A$2:$A$97,0)),"ID?"))</f>
        <v/>
      </c>
      <c r="E514" s="11" t="str">
        <f aca="false">IF(A514="","",IFERROR(INDEX(Execuções!$F$2:$F$97,MATCH(A514,Execuções!$A$2:$A$97,0)),"ID?"))</f>
        <v/>
      </c>
      <c r="F514" s="13"/>
      <c r="G514" s="13"/>
    </row>
    <row r="515" customFormat="false" ht="15" hidden="false" customHeight="false" outlineLevel="0" collapsed="false">
      <c r="A515" s="14"/>
      <c r="B515" s="14"/>
      <c r="C515" s="11" t="str">
        <f aca="false">IF(OR(A515="",B515=""),"",A515&amp;"-"&amp;TEXT(B515,"00"))</f>
        <v/>
      </c>
      <c r="D515" s="11" t="str">
        <f aca="false">IF(A515="","",IFERROR(INDEX(Execuções!$E$2:$E$97,MATCH(A515,Execuções!$A$2:$A$97,0)),"ID?"))</f>
        <v/>
      </c>
      <c r="E515" s="11" t="str">
        <f aca="false">IF(A515="","",IFERROR(INDEX(Execuções!$F$2:$F$97,MATCH(A515,Execuções!$A$2:$A$97,0)),"ID?"))</f>
        <v/>
      </c>
      <c r="F515" s="13"/>
      <c r="G515" s="13"/>
    </row>
    <row r="516" customFormat="false" ht="15" hidden="false" customHeight="false" outlineLevel="0" collapsed="false">
      <c r="A516" s="14"/>
      <c r="B516" s="14"/>
      <c r="C516" s="11" t="str">
        <f aca="false">IF(OR(A516="",B516=""),"",A516&amp;"-"&amp;TEXT(B516,"00"))</f>
        <v/>
      </c>
      <c r="D516" s="11" t="str">
        <f aca="false">IF(A516="","",IFERROR(INDEX(Execuções!$E$2:$E$97,MATCH(A516,Execuções!$A$2:$A$97,0)),"ID?"))</f>
        <v/>
      </c>
      <c r="E516" s="11" t="str">
        <f aca="false">IF(A516="","",IFERROR(INDEX(Execuções!$F$2:$F$97,MATCH(A516,Execuções!$A$2:$A$97,0)),"ID?"))</f>
        <v/>
      </c>
      <c r="F516" s="13"/>
      <c r="G516" s="13"/>
    </row>
    <row r="517" customFormat="false" ht="15" hidden="false" customHeight="false" outlineLevel="0" collapsed="false">
      <c r="A517" s="14"/>
      <c r="B517" s="14"/>
      <c r="C517" s="11" t="str">
        <f aca="false">IF(OR(A517="",B517=""),"",A517&amp;"-"&amp;TEXT(B517,"00"))</f>
        <v/>
      </c>
      <c r="D517" s="11" t="str">
        <f aca="false">IF(A517="","",IFERROR(INDEX(Execuções!$E$2:$E$97,MATCH(A517,Execuções!$A$2:$A$97,0)),"ID?"))</f>
        <v/>
      </c>
      <c r="E517" s="11" t="str">
        <f aca="false">IF(A517="","",IFERROR(INDEX(Execuções!$F$2:$F$97,MATCH(A517,Execuções!$A$2:$A$97,0)),"ID?"))</f>
        <v/>
      </c>
      <c r="F517" s="13"/>
      <c r="G517" s="13"/>
    </row>
    <row r="518" customFormat="false" ht="15" hidden="false" customHeight="false" outlineLevel="0" collapsed="false">
      <c r="A518" s="14"/>
      <c r="B518" s="14"/>
      <c r="C518" s="11" t="str">
        <f aca="false">IF(OR(A518="",B518=""),"",A518&amp;"-"&amp;TEXT(B518,"00"))</f>
        <v/>
      </c>
      <c r="D518" s="11" t="str">
        <f aca="false">IF(A518="","",IFERROR(INDEX(Execuções!$E$2:$E$97,MATCH(A518,Execuções!$A$2:$A$97,0)),"ID?"))</f>
        <v/>
      </c>
      <c r="E518" s="11" t="str">
        <f aca="false">IF(A518="","",IFERROR(INDEX(Execuções!$F$2:$F$97,MATCH(A518,Execuções!$A$2:$A$97,0)),"ID?"))</f>
        <v/>
      </c>
      <c r="F518" s="13"/>
      <c r="G518" s="13"/>
    </row>
    <row r="519" customFormat="false" ht="15" hidden="false" customHeight="false" outlineLevel="0" collapsed="false">
      <c r="A519" s="14"/>
      <c r="B519" s="14"/>
      <c r="C519" s="11" t="str">
        <f aca="false">IF(OR(A519="",B519=""),"",A519&amp;"-"&amp;TEXT(B519,"00"))</f>
        <v/>
      </c>
      <c r="D519" s="11" t="str">
        <f aca="false">IF(A519="","",IFERROR(INDEX(Execuções!$E$2:$E$97,MATCH(A519,Execuções!$A$2:$A$97,0)),"ID?"))</f>
        <v/>
      </c>
      <c r="E519" s="11" t="str">
        <f aca="false">IF(A519="","",IFERROR(INDEX(Execuções!$F$2:$F$97,MATCH(A519,Execuções!$A$2:$A$97,0)),"ID?"))</f>
        <v/>
      </c>
      <c r="F519" s="13"/>
      <c r="G519" s="13"/>
    </row>
    <row r="520" customFormat="false" ht="15" hidden="false" customHeight="false" outlineLevel="0" collapsed="false">
      <c r="A520" s="14"/>
      <c r="B520" s="14"/>
      <c r="C520" s="11" t="str">
        <f aca="false">IF(OR(A520="",B520=""),"",A520&amp;"-"&amp;TEXT(B520,"00"))</f>
        <v/>
      </c>
      <c r="D520" s="11" t="str">
        <f aca="false">IF(A520="","",IFERROR(INDEX(Execuções!$E$2:$E$97,MATCH(A520,Execuções!$A$2:$A$97,0)),"ID?"))</f>
        <v/>
      </c>
      <c r="E520" s="11" t="str">
        <f aca="false">IF(A520="","",IFERROR(INDEX(Execuções!$F$2:$F$97,MATCH(A520,Execuções!$A$2:$A$97,0)),"ID?"))</f>
        <v/>
      </c>
      <c r="F520" s="13"/>
      <c r="G520" s="13"/>
    </row>
    <row r="521" customFormat="false" ht="15" hidden="false" customHeight="false" outlineLevel="0" collapsed="false">
      <c r="A521" s="14"/>
      <c r="B521" s="14"/>
      <c r="C521" s="11" t="str">
        <f aca="false">IF(OR(A521="",B521=""),"",A521&amp;"-"&amp;TEXT(B521,"00"))</f>
        <v/>
      </c>
      <c r="D521" s="11" t="str">
        <f aca="false">IF(A521="","",IFERROR(INDEX(Execuções!$E$2:$E$97,MATCH(A521,Execuções!$A$2:$A$97,0)),"ID?"))</f>
        <v/>
      </c>
      <c r="E521" s="11" t="str">
        <f aca="false">IF(A521="","",IFERROR(INDEX(Execuções!$F$2:$F$97,MATCH(A521,Execuções!$A$2:$A$97,0)),"ID?"))</f>
        <v/>
      </c>
      <c r="F521" s="13"/>
      <c r="G521" s="13"/>
    </row>
    <row r="522" customFormat="false" ht="15" hidden="false" customHeight="false" outlineLevel="0" collapsed="false">
      <c r="A522" s="14"/>
      <c r="B522" s="14"/>
      <c r="C522" s="11" t="str">
        <f aca="false">IF(OR(A522="",B522=""),"",A522&amp;"-"&amp;TEXT(B522,"00"))</f>
        <v/>
      </c>
      <c r="D522" s="11" t="str">
        <f aca="false">IF(A522="","",IFERROR(INDEX(Execuções!$E$2:$E$97,MATCH(A522,Execuções!$A$2:$A$97,0)),"ID?"))</f>
        <v/>
      </c>
      <c r="E522" s="11" t="str">
        <f aca="false">IF(A522="","",IFERROR(INDEX(Execuções!$F$2:$F$97,MATCH(A522,Execuções!$A$2:$A$97,0)),"ID?"))</f>
        <v/>
      </c>
      <c r="F522" s="13"/>
      <c r="G522" s="13"/>
    </row>
    <row r="523" customFormat="false" ht="15" hidden="false" customHeight="false" outlineLevel="0" collapsed="false">
      <c r="A523" s="14"/>
      <c r="B523" s="14"/>
      <c r="C523" s="11" t="str">
        <f aca="false">IF(OR(A523="",B523=""),"",A523&amp;"-"&amp;TEXT(B523,"00"))</f>
        <v/>
      </c>
      <c r="D523" s="11" t="str">
        <f aca="false">IF(A523="","",IFERROR(INDEX(Execuções!$E$2:$E$97,MATCH(A523,Execuções!$A$2:$A$97,0)),"ID?"))</f>
        <v/>
      </c>
      <c r="E523" s="11" t="str">
        <f aca="false">IF(A523="","",IFERROR(INDEX(Execuções!$F$2:$F$97,MATCH(A523,Execuções!$A$2:$A$97,0)),"ID?"))</f>
        <v/>
      </c>
      <c r="F523" s="13"/>
      <c r="G523" s="13"/>
    </row>
    <row r="524" customFormat="false" ht="15" hidden="false" customHeight="false" outlineLevel="0" collapsed="false">
      <c r="A524" s="14"/>
      <c r="B524" s="14"/>
      <c r="C524" s="11" t="str">
        <f aca="false">IF(OR(A524="",B524=""),"",A524&amp;"-"&amp;TEXT(B524,"00"))</f>
        <v/>
      </c>
      <c r="D524" s="11" t="str">
        <f aca="false">IF(A524="","",IFERROR(INDEX(Execuções!$E$2:$E$97,MATCH(A524,Execuções!$A$2:$A$97,0)),"ID?"))</f>
        <v/>
      </c>
      <c r="E524" s="11" t="str">
        <f aca="false">IF(A524="","",IFERROR(INDEX(Execuções!$F$2:$F$97,MATCH(A524,Execuções!$A$2:$A$97,0)),"ID?"))</f>
        <v/>
      </c>
      <c r="F524" s="13"/>
      <c r="G524" s="13"/>
    </row>
    <row r="525" customFormat="false" ht="15" hidden="false" customHeight="false" outlineLevel="0" collapsed="false">
      <c r="A525" s="14"/>
      <c r="B525" s="14"/>
      <c r="C525" s="11" t="str">
        <f aca="false">IF(OR(A525="",B525=""),"",A525&amp;"-"&amp;TEXT(B525,"00"))</f>
        <v/>
      </c>
      <c r="D525" s="11" t="str">
        <f aca="false">IF(A525="","",IFERROR(INDEX(Execuções!$E$2:$E$97,MATCH(A525,Execuções!$A$2:$A$97,0)),"ID?"))</f>
        <v/>
      </c>
      <c r="E525" s="11" t="str">
        <f aca="false">IF(A525="","",IFERROR(INDEX(Execuções!$F$2:$F$97,MATCH(A525,Execuções!$A$2:$A$97,0)),"ID?"))</f>
        <v/>
      </c>
      <c r="F525" s="13"/>
      <c r="G525" s="13"/>
    </row>
    <row r="526" customFormat="false" ht="15" hidden="false" customHeight="false" outlineLevel="0" collapsed="false">
      <c r="A526" s="14"/>
      <c r="B526" s="14"/>
      <c r="C526" s="11" t="str">
        <f aca="false">IF(OR(A526="",B526=""),"",A526&amp;"-"&amp;TEXT(B526,"00"))</f>
        <v/>
      </c>
      <c r="D526" s="11" t="str">
        <f aca="false">IF(A526="","",IFERROR(INDEX(Execuções!$E$2:$E$97,MATCH(A526,Execuções!$A$2:$A$97,0)),"ID?"))</f>
        <v/>
      </c>
      <c r="E526" s="11" t="str">
        <f aca="false">IF(A526="","",IFERROR(INDEX(Execuções!$F$2:$F$97,MATCH(A526,Execuções!$A$2:$A$97,0)),"ID?"))</f>
        <v/>
      </c>
      <c r="F526" s="13"/>
      <c r="G526" s="13"/>
    </row>
    <row r="527" customFormat="false" ht="15" hidden="false" customHeight="false" outlineLevel="0" collapsed="false">
      <c r="A527" s="14"/>
      <c r="B527" s="14"/>
      <c r="C527" s="11" t="str">
        <f aca="false">IF(OR(A527="",B527=""),"",A527&amp;"-"&amp;TEXT(B527,"00"))</f>
        <v/>
      </c>
      <c r="D527" s="11" t="str">
        <f aca="false">IF(A527="","",IFERROR(INDEX(Execuções!$E$2:$E$97,MATCH(A527,Execuções!$A$2:$A$97,0)),"ID?"))</f>
        <v/>
      </c>
      <c r="E527" s="11" t="str">
        <f aca="false">IF(A527="","",IFERROR(INDEX(Execuções!$F$2:$F$97,MATCH(A527,Execuções!$A$2:$A$97,0)),"ID?"))</f>
        <v/>
      </c>
      <c r="F527" s="13"/>
      <c r="G527" s="13"/>
    </row>
    <row r="528" customFormat="false" ht="15" hidden="false" customHeight="false" outlineLevel="0" collapsed="false">
      <c r="A528" s="14"/>
      <c r="B528" s="14"/>
      <c r="C528" s="11" t="str">
        <f aca="false">IF(OR(A528="",B528=""),"",A528&amp;"-"&amp;TEXT(B528,"00"))</f>
        <v/>
      </c>
      <c r="D528" s="11" t="str">
        <f aca="false">IF(A528="","",IFERROR(INDEX(Execuções!$E$2:$E$97,MATCH(A528,Execuções!$A$2:$A$97,0)),"ID?"))</f>
        <v/>
      </c>
      <c r="E528" s="11" t="str">
        <f aca="false">IF(A528="","",IFERROR(INDEX(Execuções!$F$2:$F$97,MATCH(A528,Execuções!$A$2:$A$97,0)),"ID?"))</f>
        <v/>
      </c>
      <c r="F528" s="13"/>
      <c r="G528" s="13"/>
    </row>
    <row r="529" customFormat="false" ht="15" hidden="false" customHeight="false" outlineLevel="0" collapsed="false">
      <c r="A529" s="14"/>
      <c r="B529" s="14"/>
      <c r="C529" s="11" t="str">
        <f aca="false">IF(OR(A529="",B529=""),"",A529&amp;"-"&amp;TEXT(B529,"00"))</f>
        <v/>
      </c>
      <c r="D529" s="11" t="str">
        <f aca="false">IF(A529="","",IFERROR(INDEX(Execuções!$E$2:$E$97,MATCH(A529,Execuções!$A$2:$A$97,0)),"ID?"))</f>
        <v/>
      </c>
      <c r="E529" s="11" t="str">
        <f aca="false">IF(A529="","",IFERROR(INDEX(Execuções!$F$2:$F$97,MATCH(A529,Execuções!$A$2:$A$97,0)),"ID?"))</f>
        <v/>
      </c>
      <c r="F529" s="13"/>
      <c r="G529" s="13"/>
    </row>
    <row r="530" customFormat="false" ht="15" hidden="false" customHeight="false" outlineLevel="0" collapsed="false">
      <c r="A530" s="14"/>
      <c r="B530" s="14"/>
      <c r="C530" s="11" t="str">
        <f aca="false">IF(OR(A530="",B530=""),"",A530&amp;"-"&amp;TEXT(B530,"00"))</f>
        <v/>
      </c>
      <c r="D530" s="11" t="str">
        <f aca="false">IF(A530="","",IFERROR(INDEX(Execuções!$E$2:$E$97,MATCH(A530,Execuções!$A$2:$A$97,0)),"ID?"))</f>
        <v/>
      </c>
      <c r="E530" s="11" t="str">
        <f aca="false">IF(A530="","",IFERROR(INDEX(Execuções!$F$2:$F$97,MATCH(A530,Execuções!$A$2:$A$97,0)),"ID?"))</f>
        <v/>
      </c>
      <c r="F530" s="13"/>
      <c r="G530" s="13"/>
    </row>
    <row r="531" customFormat="false" ht="15" hidden="false" customHeight="false" outlineLevel="0" collapsed="false">
      <c r="A531" s="14"/>
      <c r="B531" s="14"/>
      <c r="C531" s="11" t="str">
        <f aca="false">IF(OR(A531="",B531=""),"",A531&amp;"-"&amp;TEXT(B531,"00"))</f>
        <v/>
      </c>
      <c r="D531" s="11" t="str">
        <f aca="false">IF(A531="","",IFERROR(INDEX(Execuções!$E$2:$E$97,MATCH(A531,Execuções!$A$2:$A$97,0)),"ID?"))</f>
        <v/>
      </c>
      <c r="E531" s="11" t="str">
        <f aca="false">IF(A531="","",IFERROR(INDEX(Execuções!$F$2:$F$97,MATCH(A531,Execuções!$A$2:$A$97,0)),"ID?"))</f>
        <v/>
      </c>
      <c r="F531" s="13"/>
      <c r="G531" s="13"/>
    </row>
    <row r="532" customFormat="false" ht="15" hidden="false" customHeight="false" outlineLevel="0" collapsed="false">
      <c r="A532" s="14"/>
      <c r="B532" s="14"/>
      <c r="C532" s="11" t="str">
        <f aca="false">IF(OR(A532="",B532=""),"",A532&amp;"-"&amp;TEXT(B532,"00"))</f>
        <v/>
      </c>
      <c r="D532" s="11" t="str">
        <f aca="false">IF(A532="","",IFERROR(INDEX(Execuções!$E$2:$E$97,MATCH(A532,Execuções!$A$2:$A$97,0)),"ID?"))</f>
        <v/>
      </c>
      <c r="E532" s="11" t="str">
        <f aca="false">IF(A532="","",IFERROR(INDEX(Execuções!$F$2:$F$97,MATCH(A532,Execuções!$A$2:$A$97,0)),"ID?"))</f>
        <v/>
      </c>
      <c r="F532" s="13"/>
      <c r="G532" s="13"/>
    </row>
    <row r="533" customFormat="false" ht="15" hidden="false" customHeight="false" outlineLevel="0" collapsed="false">
      <c r="A533" s="14"/>
      <c r="B533" s="14"/>
      <c r="C533" s="11" t="str">
        <f aca="false">IF(OR(A533="",B533=""),"",A533&amp;"-"&amp;TEXT(B533,"00"))</f>
        <v/>
      </c>
      <c r="D533" s="11" t="str">
        <f aca="false">IF(A533="","",IFERROR(INDEX(Execuções!$E$2:$E$97,MATCH(A533,Execuções!$A$2:$A$97,0)),"ID?"))</f>
        <v/>
      </c>
      <c r="E533" s="11" t="str">
        <f aca="false">IF(A533="","",IFERROR(INDEX(Execuções!$F$2:$F$97,MATCH(A533,Execuções!$A$2:$A$97,0)),"ID?"))</f>
        <v/>
      </c>
      <c r="F533" s="13"/>
      <c r="G533" s="13"/>
    </row>
    <row r="534" customFormat="false" ht="15" hidden="false" customHeight="false" outlineLevel="0" collapsed="false">
      <c r="A534" s="14"/>
      <c r="B534" s="14"/>
      <c r="C534" s="11" t="str">
        <f aca="false">IF(OR(A534="",B534=""),"",A534&amp;"-"&amp;TEXT(B534,"00"))</f>
        <v/>
      </c>
      <c r="D534" s="11" t="str">
        <f aca="false">IF(A534="","",IFERROR(INDEX(Execuções!$E$2:$E$97,MATCH(A534,Execuções!$A$2:$A$97,0)),"ID?"))</f>
        <v/>
      </c>
      <c r="E534" s="11" t="str">
        <f aca="false">IF(A534="","",IFERROR(INDEX(Execuções!$F$2:$F$97,MATCH(A534,Execuções!$A$2:$A$97,0)),"ID?"))</f>
        <v/>
      </c>
      <c r="F534" s="13"/>
      <c r="G534" s="13"/>
    </row>
    <row r="535" customFormat="false" ht="15" hidden="false" customHeight="false" outlineLevel="0" collapsed="false">
      <c r="A535" s="14"/>
      <c r="B535" s="14"/>
      <c r="C535" s="11" t="str">
        <f aca="false">IF(OR(A535="",B535=""),"",A535&amp;"-"&amp;TEXT(B535,"00"))</f>
        <v/>
      </c>
      <c r="D535" s="11" t="str">
        <f aca="false">IF(A535="","",IFERROR(INDEX(Execuções!$E$2:$E$97,MATCH(A535,Execuções!$A$2:$A$97,0)),"ID?"))</f>
        <v/>
      </c>
      <c r="E535" s="11" t="str">
        <f aca="false">IF(A535="","",IFERROR(INDEX(Execuções!$F$2:$F$97,MATCH(A535,Execuções!$A$2:$A$97,0)),"ID?"))</f>
        <v/>
      </c>
      <c r="F535" s="13"/>
      <c r="G535" s="13"/>
    </row>
    <row r="536" customFormat="false" ht="15" hidden="false" customHeight="false" outlineLevel="0" collapsed="false">
      <c r="A536" s="14"/>
      <c r="B536" s="14"/>
      <c r="C536" s="11" t="str">
        <f aca="false">IF(OR(A536="",B536=""),"",A536&amp;"-"&amp;TEXT(B536,"00"))</f>
        <v/>
      </c>
      <c r="D536" s="11" t="str">
        <f aca="false">IF(A536="","",IFERROR(INDEX(Execuções!$E$2:$E$97,MATCH(A536,Execuções!$A$2:$A$97,0)),"ID?"))</f>
        <v/>
      </c>
      <c r="E536" s="11" t="str">
        <f aca="false">IF(A536="","",IFERROR(INDEX(Execuções!$F$2:$F$97,MATCH(A536,Execuções!$A$2:$A$97,0)),"ID?"))</f>
        <v/>
      </c>
      <c r="F536" s="13"/>
      <c r="G536" s="13"/>
    </row>
    <row r="537" customFormat="false" ht="15" hidden="false" customHeight="false" outlineLevel="0" collapsed="false">
      <c r="A537" s="14"/>
      <c r="B537" s="14"/>
      <c r="C537" s="11" t="str">
        <f aca="false">IF(OR(A537="",B537=""),"",A537&amp;"-"&amp;TEXT(B537,"00"))</f>
        <v/>
      </c>
      <c r="D537" s="11" t="str">
        <f aca="false">IF(A537="","",IFERROR(INDEX(Execuções!$E$2:$E$97,MATCH(A537,Execuções!$A$2:$A$97,0)),"ID?"))</f>
        <v/>
      </c>
      <c r="E537" s="11" t="str">
        <f aca="false">IF(A537="","",IFERROR(INDEX(Execuções!$F$2:$F$97,MATCH(A537,Execuções!$A$2:$A$97,0)),"ID?"))</f>
        <v/>
      </c>
      <c r="F537" s="13"/>
      <c r="G537" s="13"/>
    </row>
    <row r="538" customFormat="false" ht="15" hidden="false" customHeight="false" outlineLevel="0" collapsed="false">
      <c r="A538" s="14"/>
      <c r="B538" s="14"/>
      <c r="C538" s="11" t="str">
        <f aca="false">IF(OR(A538="",B538=""),"",A538&amp;"-"&amp;TEXT(B538,"00"))</f>
        <v/>
      </c>
      <c r="D538" s="11" t="str">
        <f aca="false">IF(A538="","",IFERROR(INDEX(Execuções!$E$2:$E$97,MATCH(A538,Execuções!$A$2:$A$97,0)),"ID?"))</f>
        <v/>
      </c>
      <c r="E538" s="11" t="str">
        <f aca="false">IF(A538="","",IFERROR(INDEX(Execuções!$F$2:$F$97,MATCH(A538,Execuções!$A$2:$A$97,0)),"ID?"))</f>
        <v/>
      </c>
      <c r="F538" s="13"/>
      <c r="G538" s="13"/>
    </row>
    <row r="539" customFormat="false" ht="15" hidden="false" customHeight="false" outlineLevel="0" collapsed="false">
      <c r="A539" s="14"/>
      <c r="B539" s="14"/>
      <c r="C539" s="11" t="str">
        <f aca="false">IF(OR(A539="",B539=""),"",A539&amp;"-"&amp;TEXT(B539,"00"))</f>
        <v/>
      </c>
      <c r="D539" s="11" t="str">
        <f aca="false">IF(A539="","",IFERROR(INDEX(Execuções!$E$2:$E$97,MATCH(A539,Execuções!$A$2:$A$97,0)),"ID?"))</f>
        <v/>
      </c>
      <c r="E539" s="11" t="str">
        <f aca="false">IF(A539="","",IFERROR(INDEX(Execuções!$F$2:$F$97,MATCH(A539,Execuções!$A$2:$A$97,0)),"ID?"))</f>
        <v/>
      </c>
      <c r="F539" s="13"/>
      <c r="G539" s="13"/>
    </row>
    <row r="540" customFormat="false" ht="15" hidden="false" customHeight="false" outlineLevel="0" collapsed="false">
      <c r="A540" s="14"/>
      <c r="B540" s="14"/>
      <c r="C540" s="11" t="str">
        <f aca="false">IF(OR(A540="",B540=""),"",A540&amp;"-"&amp;TEXT(B540,"00"))</f>
        <v/>
      </c>
      <c r="D540" s="11" t="str">
        <f aca="false">IF(A540="","",IFERROR(INDEX(Execuções!$E$2:$E$97,MATCH(A540,Execuções!$A$2:$A$97,0)),"ID?"))</f>
        <v/>
      </c>
      <c r="E540" s="11" t="str">
        <f aca="false">IF(A540="","",IFERROR(INDEX(Execuções!$F$2:$F$97,MATCH(A540,Execuções!$A$2:$A$97,0)),"ID?"))</f>
        <v/>
      </c>
      <c r="F540" s="13"/>
      <c r="G540" s="13"/>
    </row>
    <row r="541" customFormat="false" ht="15" hidden="false" customHeight="false" outlineLevel="0" collapsed="false">
      <c r="A541" s="14"/>
      <c r="B541" s="14"/>
      <c r="C541" s="11" t="str">
        <f aca="false">IF(OR(A541="",B541=""),"",A541&amp;"-"&amp;TEXT(B541,"00"))</f>
        <v/>
      </c>
      <c r="D541" s="11" t="str">
        <f aca="false">IF(A541="","",IFERROR(INDEX(Execuções!$E$2:$E$97,MATCH(A541,Execuções!$A$2:$A$97,0)),"ID?"))</f>
        <v/>
      </c>
      <c r="E541" s="11" t="str">
        <f aca="false">IF(A541="","",IFERROR(INDEX(Execuções!$F$2:$F$97,MATCH(A541,Execuções!$A$2:$A$97,0)),"ID?"))</f>
        <v/>
      </c>
      <c r="F541" s="13"/>
      <c r="G541" s="13"/>
    </row>
    <row r="542" customFormat="false" ht="15" hidden="false" customHeight="false" outlineLevel="0" collapsed="false">
      <c r="A542" s="14"/>
      <c r="B542" s="14"/>
      <c r="C542" s="11" t="str">
        <f aca="false">IF(OR(A542="",B542=""),"",A542&amp;"-"&amp;TEXT(B542,"00"))</f>
        <v/>
      </c>
      <c r="D542" s="11" t="str">
        <f aca="false">IF(A542="","",IFERROR(INDEX(Execuções!$E$2:$E$97,MATCH(A542,Execuções!$A$2:$A$97,0)),"ID?"))</f>
        <v/>
      </c>
      <c r="E542" s="11" t="str">
        <f aca="false">IF(A542="","",IFERROR(INDEX(Execuções!$F$2:$F$97,MATCH(A542,Execuções!$A$2:$A$97,0)),"ID?"))</f>
        <v/>
      </c>
      <c r="F542" s="13"/>
      <c r="G542" s="13"/>
    </row>
    <row r="543" customFormat="false" ht="15" hidden="false" customHeight="false" outlineLevel="0" collapsed="false">
      <c r="A543" s="14"/>
      <c r="B543" s="14"/>
      <c r="C543" s="11" t="str">
        <f aca="false">IF(OR(A543="",B543=""),"",A543&amp;"-"&amp;TEXT(B543,"00"))</f>
        <v/>
      </c>
      <c r="D543" s="11" t="str">
        <f aca="false">IF(A543="","",IFERROR(INDEX(Execuções!$E$2:$E$97,MATCH(A543,Execuções!$A$2:$A$97,0)),"ID?"))</f>
        <v/>
      </c>
      <c r="E543" s="11" t="str">
        <f aca="false">IF(A543="","",IFERROR(INDEX(Execuções!$F$2:$F$97,MATCH(A543,Execuções!$A$2:$A$97,0)),"ID?"))</f>
        <v/>
      </c>
      <c r="F543" s="13"/>
      <c r="G543" s="13"/>
    </row>
    <row r="544" customFormat="false" ht="15" hidden="false" customHeight="false" outlineLevel="0" collapsed="false">
      <c r="A544" s="14"/>
      <c r="B544" s="14"/>
      <c r="C544" s="11" t="str">
        <f aca="false">IF(OR(A544="",B544=""),"",A544&amp;"-"&amp;TEXT(B544,"00"))</f>
        <v/>
      </c>
      <c r="D544" s="11" t="str">
        <f aca="false">IF(A544="","",IFERROR(INDEX(Execuções!$E$2:$E$97,MATCH(A544,Execuções!$A$2:$A$97,0)),"ID?"))</f>
        <v/>
      </c>
      <c r="E544" s="11" t="str">
        <f aca="false">IF(A544="","",IFERROR(INDEX(Execuções!$F$2:$F$97,MATCH(A544,Execuções!$A$2:$A$97,0)),"ID?"))</f>
        <v/>
      </c>
      <c r="F544" s="13"/>
      <c r="G544" s="13"/>
    </row>
    <row r="545" customFormat="false" ht="15" hidden="false" customHeight="false" outlineLevel="0" collapsed="false">
      <c r="A545" s="14"/>
      <c r="B545" s="14"/>
      <c r="C545" s="11" t="str">
        <f aca="false">IF(OR(A545="",B545=""),"",A545&amp;"-"&amp;TEXT(B545,"00"))</f>
        <v/>
      </c>
      <c r="D545" s="11" t="str">
        <f aca="false">IF(A545="","",IFERROR(INDEX(Execuções!$E$2:$E$97,MATCH(A545,Execuções!$A$2:$A$97,0)),"ID?"))</f>
        <v/>
      </c>
      <c r="E545" s="11" t="str">
        <f aca="false">IF(A545="","",IFERROR(INDEX(Execuções!$F$2:$F$97,MATCH(A545,Execuções!$A$2:$A$97,0)),"ID?"))</f>
        <v/>
      </c>
      <c r="F545" s="13"/>
      <c r="G545" s="13"/>
    </row>
    <row r="546" customFormat="false" ht="15" hidden="false" customHeight="false" outlineLevel="0" collapsed="false">
      <c r="A546" s="14"/>
      <c r="B546" s="14"/>
      <c r="C546" s="11" t="str">
        <f aca="false">IF(OR(A546="",B546=""),"",A546&amp;"-"&amp;TEXT(B546,"00"))</f>
        <v/>
      </c>
      <c r="D546" s="11" t="str">
        <f aca="false">IF(A546="","",IFERROR(INDEX(Execuções!$E$2:$E$97,MATCH(A546,Execuções!$A$2:$A$97,0)),"ID?"))</f>
        <v/>
      </c>
      <c r="E546" s="11" t="str">
        <f aca="false">IF(A546="","",IFERROR(INDEX(Execuções!$F$2:$F$97,MATCH(A546,Execuções!$A$2:$A$97,0)),"ID?"))</f>
        <v/>
      </c>
      <c r="F546" s="13"/>
      <c r="G546" s="13"/>
    </row>
    <row r="547" customFormat="false" ht="15" hidden="false" customHeight="false" outlineLevel="0" collapsed="false">
      <c r="A547" s="14"/>
      <c r="B547" s="14"/>
      <c r="C547" s="11" t="str">
        <f aca="false">IF(OR(A547="",B547=""),"",A547&amp;"-"&amp;TEXT(B547,"00"))</f>
        <v/>
      </c>
      <c r="D547" s="11" t="str">
        <f aca="false">IF(A547="","",IFERROR(INDEX(Execuções!$E$2:$E$97,MATCH(A547,Execuções!$A$2:$A$97,0)),"ID?"))</f>
        <v/>
      </c>
      <c r="E547" s="11" t="str">
        <f aca="false">IF(A547="","",IFERROR(INDEX(Execuções!$F$2:$F$97,MATCH(A547,Execuções!$A$2:$A$97,0)),"ID?"))</f>
        <v/>
      </c>
      <c r="F547" s="13"/>
      <c r="G547" s="13"/>
    </row>
    <row r="548" customFormat="false" ht="15" hidden="false" customHeight="false" outlineLevel="0" collapsed="false">
      <c r="A548" s="14"/>
      <c r="B548" s="14"/>
      <c r="C548" s="11" t="str">
        <f aca="false">IF(OR(A548="",B548=""),"",A548&amp;"-"&amp;TEXT(B548,"00"))</f>
        <v/>
      </c>
      <c r="D548" s="11" t="str">
        <f aca="false">IF(A548="","",IFERROR(INDEX(Execuções!$E$2:$E$97,MATCH(A548,Execuções!$A$2:$A$97,0)),"ID?"))</f>
        <v/>
      </c>
      <c r="E548" s="11" t="str">
        <f aca="false">IF(A548="","",IFERROR(INDEX(Execuções!$F$2:$F$97,MATCH(A548,Execuções!$A$2:$A$97,0)),"ID?"))</f>
        <v/>
      </c>
      <c r="F548" s="13"/>
      <c r="G548" s="13"/>
    </row>
    <row r="549" customFormat="false" ht="15" hidden="false" customHeight="false" outlineLevel="0" collapsed="false">
      <c r="A549" s="14"/>
      <c r="B549" s="14"/>
      <c r="C549" s="11" t="str">
        <f aca="false">IF(OR(A549="",B549=""),"",A549&amp;"-"&amp;TEXT(B549,"00"))</f>
        <v/>
      </c>
      <c r="D549" s="11" t="str">
        <f aca="false">IF(A549="","",IFERROR(INDEX(Execuções!$E$2:$E$97,MATCH(A549,Execuções!$A$2:$A$97,0)),"ID?"))</f>
        <v/>
      </c>
      <c r="E549" s="11" t="str">
        <f aca="false">IF(A549="","",IFERROR(INDEX(Execuções!$F$2:$F$97,MATCH(A549,Execuções!$A$2:$A$97,0)),"ID?"))</f>
        <v/>
      </c>
      <c r="F549" s="13"/>
      <c r="G549" s="13"/>
    </row>
    <row r="550" customFormat="false" ht="15" hidden="false" customHeight="false" outlineLevel="0" collapsed="false">
      <c r="A550" s="14"/>
      <c r="B550" s="14"/>
      <c r="C550" s="11" t="str">
        <f aca="false">IF(OR(A550="",B550=""),"",A550&amp;"-"&amp;TEXT(B550,"00"))</f>
        <v/>
      </c>
      <c r="D550" s="11" t="str">
        <f aca="false">IF(A550="","",IFERROR(INDEX(Execuções!$E$2:$E$97,MATCH(A550,Execuções!$A$2:$A$97,0)),"ID?"))</f>
        <v/>
      </c>
      <c r="E550" s="11" t="str">
        <f aca="false">IF(A550="","",IFERROR(INDEX(Execuções!$F$2:$F$97,MATCH(A550,Execuções!$A$2:$A$97,0)),"ID?"))</f>
        <v/>
      </c>
      <c r="F550" s="13"/>
      <c r="G550" s="13"/>
    </row>
    <row r="551" customFormat="false" ht="15" hidden="false" customHeight="false" outlineLevel="0" collapsed="false">
      <c r="A551" s="14"/>
      <c r="B551" s="14"/>
      <c r="C551" s="11" t="str">
        <f aca="false">IF(OR(A551="",B551=""),"",A551&amp;"-"&amp;TEXT(B551,"00"))</f>
        <v/>
      </c>
      <c r="D551" s="11" t="str">
        <f aca="false">IF(A551="","",IFERROR(INDEX(Execuções!$E$2:$E$97,MATCH(A551,Execuções!$A$2:$A$97,0)),"ID?"))</f>
        <v/>
      </c>
      <c r="E551" s="11" t="str">
        <f aca="false">IF(A551="","",IFERROR(INDEX(Execuções!$F$2:$F$97,MATCH(A551,Execuções!$A$2:$A$97,0)),"ID?"))</f>
        <v/>
      </c>
      <c r="F551" s="13"/>
      <c r="G551" s="13"/>
    </row>
    <row r="552" customFormat="false" ht="15" hidden="false" customHeight="false" outlineLevel="0" collapsed="false">
      <c r="A552" s="14"/>
      <c r="B552" s="14"/>
      <c r="C552" s="11" t="str">
        <f aca="false">IF(OR(A552="",B552=""),"",A552&amp;"-"&amp;TEXT(B552,"00"))</f>
        <v/>
      </c>
      <c r="D552" s="11" t="str">
        <f aca="false">IF(A552="","",IFERROR(INDEX(Execuções!$E$2:$E$97,MATCH(A552,Execuções!$A$2:$A$97,0)),"ID?"))</f>
        <v/>
      </c>
      <c r="E552" s="11" t="str">
        <f aca="false">IF(A552="","",IFERROR(INDEX(Execuções!$F$2:$F$97,MATCH(A552,Execuções!$A$2:$A$97,0)),"ID?"))</f>
        <v/>
      </c>
      <c r="F552" s="13"/>
      <c r="G552" s="13"/>
    </row>
    <row r="553" customFormat="false" ht="15" hidden="false" customHeight="false" outlineLevel="0" collapsed="false">
      <c r="A553" s="14"/>
      <c r="B553" s="14"/>
      <c r="C553" s="11" t="str">
        <f aca="false">IF(OR(A553="",B553=""),"",A553&amp;"-"&amp;TEXT(B553,"00"))</f>
        <v/>
      </c>
      <c r="D553" s="11" t="str">
        <f aca="false">IF(A553="","",IFERROR(INDEX(Execuções!$E$2:$E$97,MATCH(A553,Execuções!$A$2:$A$97,0)),"ID?"))</f>
        <v/>
      </c>
      <c r="E553" s="11" t="str">
        <f aca="false">IF(A553="","",IFERROR(INDEX(Execuções!$F$2:$F$97,MATCH(A553,Execuções!$A$2:$A$97,0)),"ID?"))</f>
        <v/>
      </c>
      <c r="F553" s="13"/>
      <c r="G553" s="13"/>
    </row>
    <row r="554" customFormat="false" ht="15" hidden="false" customHeight="false" outlineLevel="0" collapsed="false">
      <c r="A554" s="14"/>
      <c r="B554" s="14"/>
      <c r="C554" s="11" t="str">
        <f aca="false">IF(OR(A554="",B554=""),"",A554&amp;"-"&amp;TEXT(B554,"00"))</f>
        <v/>
      </c>
      <c r="D554" s="11" t="str">
        <f aca="false">IF(A554="","",IFERROR(INDEX(Execuções!$E$2:$E$97,MATCH(A554,Execuções!$A$2:$A$97,0)),"ID?"))</f>
        <v/>
      </c>
      <c r="E554" s="11" t="str">
        <f aca="false">IF(A554="","",IFERROR(INDEX(Execuções!$F$2:$F$97,MATCH(A554,Execuções!$A$2:$A$97,0)),"ID?"))</f>
        <v/>
      </c>
      <c r="F554" s="13"/>
      <c r="G554" s="13"/>
    </row>
    <row r="555" customFormat="false" ht="15" hidden="false" customHeight="false" outlineLevel="0" collapsed="false">
      <c r="A555" s="14"/>
      <c r="B555" s="14"/>
      <c r="C555" s="11" t="str">
        <f aca="false">IF(OR(A555="",B555=""),"",A555&amp;"-"&amp;TEXT(B555,"00"))</f>
        <v/>
      </c>
      <c r="D555" s="11" t="str">
        <f aca="false">IF(A555="","",IFERROR(INDEX(Execuções!$E$2:$E$97,MATCH(A555,Execuções!$A$2:$A$97,0)),"ID?"))</f>
        <v/>
      </c>
      <c r="E555" s="11" t="str">
        <f aca="false">IF(A555="","",IFERROR(INDEX(Execuções!$F$2:$F$97,MATCH(A555,Execuções!$A$2:$A$97,0)),"ID?"))</f>
        <v/>
      </c>
      <c r="F555" s="13"/>
      <c r="G555" s="13"/>
    </row>
    <row r="556" customFormat="false" ht="15" hidden="false" customHeight="false" outlineLevel="0" collapsed="false">
      <c r="A556" s="14"/>
      <c r="B556" s="14"/>
      <c r="C556" s="11" t="str">
        <f aca="false">IF(OR(A556="",B556=""),"",A556&amp;"-"&amp;TEXT(B556,"00"))</f>
        <v/>
      </c>
      <c r="D556" s="11" t="str">
        <f aca="false">IF(A556="","",IFERROR(INDEX(Execuções!$E$2:$E$97,MATCH(A556,Execuções!$A$2:$A$97,0)),"ID?"))</f>
        <v/>
      </c>
      <c r="E556" s="11" t="str">
        <f aca="false">IF(A556="","",IFERROR(INDEX(Execuções!$F$2:$F$97,MATCH(A556,Execuções!$A$2:$A$97,0)),"ID?"))</f>
        <v/>
      </c>
      <c r="F556" s="13"/>
      <c r="G556" s="13"/>
    </row>
    <row r="557" customFormat="false" ht="15" hidden="false" customHeight="false" outlineLevel="0" collapsed="false">
      <c r="A557" s="14"/>
      <c r="B557" s="14"/>
      <c r="C557" s="11" t="str">
        <f aca="false">IF(OR(A557="",B557=""),"",A557&amp;"-"&amp;TEXT(B557,"00"))</f>
        <v/>
      </c>
      <c r="D557" s="11" t="str">
        <f aca="false">IF(A557="","",IFERROR(INDEX(Execuções!$E$2:$E$97,MATCH(A557,Execuções!$A$2:$A$97,0)),"ID?"))</f>
        <v/>
      </c>
      <c r="E557" s="11" t="str">
        <f aca="false">IF(A557="","",IFERROR(INDEX(Execuções!$F$2:$F$97,MATCH(A557,Execuções!$A$2:$A$97,0)),"ID?"))</f>
        <v/>
      </c>
      <c r="F557" s="13"/>
      <c r="G557" s="13"/>
    </row>
    <row r="558" customFormat="false" ht="15" hidden="false" customHeight="false" outlineLevel="0" collapsed="false">
      <c r="A558" s="14"/>
      <c r="B558" s="14"/>
      <c r="C558" s="11" t="str">
        <f aca="false">IF(OR(A558="",B558=""),"",A558&amp;"-"&amp;TEXT(B558,"00"))</f>
        <v/>
      </c>
      <c r="D558" s="11" t="str">
        <f aca="false">IF(A558="","",IFERROR(INDEX(Execuções!$E$2:$E$97,MATCH(A558,Execuções!$A$2:$A$97,0)),"ID?"))</f>
        <v/>
      </c>
      <c r="E558" s="11" t="str">
        <f aca="false">IF(A558="","",IFERROR(INDEX(Execuções!$F$2:$F$97,MATCH(A558,Execuções!$A$2:$A$97,0)),"ID?"))</f>
        <v/>
      </c>
      <c r="F558" s="13"/>
      <c r="G558" s="13"/>
    </row>
    <row r="559" customFormat="false" ht="15" hidden="false" customHeight="false" outlineLevel="0" collapsed="false">
      <c r="A559" s="14"/>
      <c r="B559" s="14"/>
      <c r="C559" s="11" t="str">
        <f aca="false">IF(OR(A559="",B559=""),"",A559&amp;"-"&amp;TEXT(B559,"00"))</f>
        <v/>
      </c>
      <c r="D559" s="11" t="str">
        <f aca="false">IF(A559="","",IFERROR(INDEX(Execuções!$E$2:$E$97,MATCH(A559,Execuções!$A$2:$A$97,0)),"ID?"))</f>
        <v/>
      </c>
      <c r="E559" s="11" t="str">
        <f aca="false">IF(A559="","",IFERROR(INDEX(Execuções!$F$2:$F$97,MATCH(A559,Execuções!$A$2:$A$97,0)),"ID?"))</f>
        <v/>
      </c>
      <c r="F559" s="13"/>
      <c r="G559" s="13"/>
    </row>
    <row r="560" customFormat="false" ht="15" hidden="false" customHeight="false" outlineLevel="0" collapsed="false">
      <c r="A560" s="14"/>
      <c r="B560" s="14"/>
      <c r="C560" s="11" t="str">
        <f aca="false">IF(OR(A560="",B560=""),"",A560&amp;"-"&amp;TEXT(B560,"00"))</f>
        <v/>
      </c>
      <c r="D560" s="11" t="str">
        <f aca="false">IF(A560="","",IFERROR(INDEX(Execuções!$E$2:$E$97,MATCH(A560,Execuções!$A$2:$A$97,0)),"ID?"))</f>
        <v/>
      </c>
      <c r="E560" s="11" t="str">
        <f aca="false">IF(A560="","",IFERROR(INDEX(Execuções!$F$2:$F$97,MATCH(A560,Execuções!$A$2:$A$97,0)),"ID?"))</f>
        <v/>
      </c>
      <c r="F560" s="13"/>
      <c r="G560" s="13"/>
    </row>
    <row r="561" customFormat="false" ht="15" hidden="false" customHeight="false" outlineLevel="0" collapsed="false">
      <c r="A561" s="14"/>
      <c r="B561" s="14"/>
      <c r="C561" s="11" t="str">
        <f aca="false">IF(OR(A561="",B561=""),"",A561&amp;"-"&amp;TEXT(B561,"00"))</f>
        <v/>
      </c>
      <c r="D561" s="11" t="str">
        <f aca="false">IF(A561="","",IFERROR(INDEX(Execuções!$E$2:$E$97,MATCH(A561,Execuções!$A$2:$A$97,0)),"ID?"))</f>
        <v/>
      </c>
      <c r="E561" s="11" t="str">
        <f aca="false">IF(A561="","",IFERROR(INDEX(Execuções!$F$2:$F$97,MATCH(A561,Execuções!$A$2:$A$97,0)),"ID?"))</f>
        <v/>
      </c>
      <c r="F561" s="13"/>
      <c r="G561" s="13"/>
    </row>
    <row r="562" customFormat="false" ht="15" hidden="false" customHeight="false" outlineLevel="0" collapsed="false">
      <c r="A562" s="14"/>
      <c r="B562" s="14"/>
      <c r="C562" s="11" t="str">
        <f aca="false">IF(OR(A562="",B562=""),"",A562&amp;"-"&amp;TEXT(B562,"00"))</f>
        <v/>
      </c>
      <c r="D562" s="11" t="str">
        <f aca="false">IF(A562="","",IFERROR(INDEX(Execuções!$E$2:$E$97,MATCH(A562,Execuções!$A$2:$A$97,0)),"ID?"))</f>
        <v/>
      </c>
      <c r="E562" s="11" t="str">
        <f aca="false">IF(A562="","",IFERROR(INDEX(Execuções!$F$2:$F$97,MATCH(A562,Execuções!$A$2:$A$97,0)),"ID?"))</f>
        <v/>
      </c>
      <c r="F562" s="13"/>
      <c r="G562" s="13"/>
    </row>
    <row r="563" customFormat="false" ht="15" hidden="false" customHeight="false" outlineLevel="0" collapsed="false">
      <c r="A563" s="14"/>
      <c r="B563" s="14"/>
      <c r="C563" s="11" t="str">
        <f aca="false">IF(OR(A563="",B563=""),"",A563&amp;"-"&amp;TEXT(B563,"00"))</f>
        <v/>
      </c>
      <c r="D563" s="11" t="str">
        <f aca="false">IF(A563="","",IFERROR(INDEX(Execuções!$E$2:$E$97,MATCH(A563,Execuções!$A$2:$A$97,0)),"ID?"))</f>
        <v/>
      </c>
      <c r="E563" s="11" t="str">
        <f aca="false">IF(A563="","",IFERROR(INDEX(Execuções!$F$2:$F$97,MATCH(A563,Execuções!$A$2:$A$97,0)),"ID?"))</f>
        <v/>
      </c>
      <c r="F563" s="13"/>
      <c r="G563" s="13"/>
    </row>
    <row r="564" customFormat="false" ht="15" hidden="false" customHeight="false" outlineLevel="0" collapsed="false">
      <c r="A564" s="14"/>
      <c r="B564" s="14"/>
      <c r="C564" s="11" t="str">
        <f aca="false">IF(OR(A564="",B564=""),"",A564&amp;"-"&amp;TEXT(B564,"00"))</f>
        <v/>
      </c>
      <c r="D564" s="11" t="str">
        <f aca="false">IF(A564="","",IFERROR(INDEX(Execuções!$E$2:$E$97,MATCH(A564,Execuções!$A$2:$A$97,0)),"ID?"))</f>
        <v/>
      </c>
      <c r="E564" s="11" t="str">
        <f aca="false">IF(A564="","",IFERROR(INDEX(Execuções!$F$2:$F$97,MATCH(A564,Execuções!$A$2:$A$97,0)),"ID?"))</f>
        <v/>
      </c>
      <c r="F564" s="13"/>
      <c r="G564" s="13"/>
    </row>
    <row r="565" customFormat="false" ht="15" hidden="false" customHeight="false" outlineLevel="0" collapsed="false">
      <c r="A565" s="14"/>
      <c r="B565" s="14"/>
      <c r="C565" s="11" t="str">
        <f aca="false">IF(OR(A565="",B565=""),"",A565&amp;"-"&amp;TEXT(B565,"00"))</f>
        <v/>
      </c>
      <c r="D565" s="11" t="str">
        <f aca="false">IF(A565="","",IFERROR(INDEX(Execuções!$E$2:$E$97,MATCH(A565,Execuções!$A$2:$A$97,0)),"ID?"))</f>
        <v/>
      </c>
      <c r="E565" s="11" t="str">
        <f aca="false">IF(A565="","",IFERROR(INDEX(Execuções!$F$2:$F$97,MATCH(A565,Execuções!$A$2:$A$97,0)),"ID?"))</f>
        <v/>
      </c>
      <c r="F565" s="13"/>
      <c r="G565" s="13"/>
    </row>
    <row r="566" customFormat="false" ht="15" hidden="false" customHeight="false" outlineLevel="0" collapsed="false">
      <c r="A566" s="14"/>
      <c r="B566" s="14"/>
      <c r="C566" s="11" t="str">
        <f aca="false">IF(OR(A566="",B566=""),"",A566&amp;"-"&amp;TEXT(B566,"00"))</f>
        <v/>
      </c>
      <c r="D566" s="11" t="str">
        <f aca="false">IF(A566="","",IFERROR(INDEX(Execuções!$E$2:$E$97,MATCH(A566,Execuções!$A$2:$A$97,0)),"ID?"))</f>
        <v/>
      </c>
      <c r="E566" s="11" t="str">
        <f aca="false">IF(A566="","",IFERROR(INDEX(Execuções!$F$2:$F$97,MATCH(A566,Execuções!$A$2:$A$97,0)),"ID?"))</f>
        <v/>
      </c>
      <c r="F566" s="13"/>
      <c r="G566" s="13"/>
    </row>
    <row r="567" customFormat="false" ht="15" hidden="false" customHeight="false" outlineLevel="0" collapsed="false">
      <c r="A567" s="14"/>
      <c r="B567" s="14"/>
      <c r="C567" s="11" t="str">
        <f aca="false">IF(OR(A567="",B567=""),"",A567&amp;"-"&amp;TEXT(B567,"00"))</f>
        <v/>
      </c>
      <c r="D567" s="11" t="str">
        <f aca="false">IF(A567="","",IFERROR(INDEX(Execuções!$E$2:$E$97,MATCH(A567,Execuções!$A$2:$A$97,0)),"ID?"))</f>
        <v/>
      </c>
      <c r="E567" s="11" t="str">
        <f aca="false">IF(A567="","",IFERROR(INDEX(Execuções!$F$2:$F$97,MATCH(A567,Execuções!$A$2:$A$97,0)),"ID?"))</f>
        <v/>
      </c>
      <c r="F567" s="13"/>
      <c r="G567" s="13"/>
    </row>
    <row r="568" customFormat="false" ht="15" hidden="false" customHeight="false" outlineLevel="0" collapsed="false">
      <c r="A568" s="14"/>
      <c r="B568" s="14"/>
      <c r="C568" s="11" t="str">
        <f aca="false">IF(OR(A568="",B568=""),"",A568&amp;"-"&amp;TEXT(B568,"00"))</f>
        <v/>
      </c>
      <c r="D568" s="11" t="str">
        <f aca="false">IF(A568="","",IFERROR(INDEX(Execuções!$E$2:$E$97,MATCH(A568,Execuções!$A$2:$A$97,0)),"ID?"))</f>
        <v/>
      </c>
      <c r="E568" s="11" t="str">
        <f aca="false">IF(A568="","",IFERROR(INDEX(Execuções!$F$2:$F$97,MATCH(A568,Execuções!$A$2:$A$97,0)),"ID?"))</f>
        <v/>
      </c>
      <c r="F568" s="13"/>
      <c r="G568" s="13"/>
    </row>
    <row r="569" customFormat="false" ht="15" hidden="false" customHeight="false" outlineLevel="0" collapsed="false">
      <c r="A569" s="14"/>
      <c r="B569" s="14"/>
      <c r="C569" s="11" t="str">
        <f aca="false">IF(OR(A569="",B569=""),"",A569&amp;"-"&amp;TEXT(B569,"00"))</f>
        <v/>
      </c>
      <c r="D569" s="11" t="str">
        <f aca="false">IF(A569="","",IFERROR(INDEX(Execuções!$E$2:$E$97,MATCH(A569,Execuções!$A$2:$A$97,0)),"ID?"))</f>
        <v/>
      </c>
      <c r="E569" s="11" t="str">
        <f aca="false">IF(A569="","",IFERROR(INDEX(Execuções!$F$2:$F$97,MATCH(A569,Execuções!$A$2:$A$97,0)),"ID?"))</f>
        <v/>
      </c>
      <c r="F569" s="13"/>
      <c r="G569" s="13"/>
    </row>
    <row r="570" customFormat="false" ht="15" hidden="false" customHeight="false" outlineLevel="0" collapsed="false">
      <c r="A570" s="14"/>
      <c r="B570" s="14"/>
      <c r="C570" s="11" t="str">
        <f aca="false">IF(OR(A570="",B570=""),"",A570&amp;"-"&amp;TEXT(B570,"00"))</f>
        <v/>
      </c>
      <c r="D570" s="11" t="str">
        <f aca="false">IF(A570="","",IFERROR(INDEX(Execuções!$E$2:$E$97,MATCH(A570,Execuções!$A$2:$A$97,0)),"ID?"))</f>
        <v/>
      </c>
      <c r="E570" s="11" t="str">
        <f aca="false">IF(A570="","",IFERROR(INDEX(Execuções!$F$2:$F$97,MATCH(A570,Execuções!$A$2:$A$97,0)),"ID?"))</f>
        <v/>
      </c>
      <c r="F570" s="13"/>
      <c r="G570" s="13"/>
    </row>
    <row r="571" customFormat="false" ht="15" hidden="false" customHeight="false" outlineLevel="0" collapsed="false">
      <c r="A571" s="14"/>
      <c r="B571" s="14"/>
      <c r="C571" s="11" t="str">
        <f aca="false">IF(OR(A571="",B571=""),"",A571&amp;"-"&amp;TEXT(B571,"00"))</f>
        <v/>
      </c>
      <c r="D571" s="11" t="str">
        <f aca="false">IF(A571="","",IFERROR(INDEX(Execuções!$E$2:$E$97,MATCH(A571,Execuções!$A$2:$A$97,0)),"ID?"))</f>
        <v/>
      </c>
      <c r="E571" s="11" t="str">
        <f aca="false">IF(A571="","",IFERROR(INDEX(Execuções!$F$2:$F$97,MATCH(A571,Execuções!$A$2:$A$97,0)),"ID?"))</f>
        <v/>
      </c>
      <c r="F571" s="13"/>
      <c r="G571" s="13"/>
    </row>
    <row r="572" customFormat="false" ht="15" hidden="false" customHeight="false" outlineLevel="0" collapsed="false">
      <c r="A572" s="14"/>
      <c r="B572" s="14"/>
      <c r="C572" s="11" t="str">
        <f aca="false">IF(OR(A572="",B572=""),"",A572&amp;"-"&amp;TEXT(B572,"00"))</f>
        <v/>
      </c>
      <c r="D572" s="11" t="str">
        <f aca="false">IF(A572="","",IFERROR(INDEX(Execuções!$E$2:$E$97,MATCH(A572,Execuções!$A$2:$A$97,0)),"ID?"))</f>
        <v/>
      </c>
      <c r="E572" s="11" t="str">
        <f aca="false">IF(A572="","",IFERROR(INDEX(Execuções!$F$2:$F$97,MATCH(A572,Execuções!$A$2:$A$97,0)),"ID?"))</f>
        <v/>
      </c>
      <c r="F572" s="13"/>
      <c r="G572" s="13"/>
    </row>
    <row r="573" customFormat="false" ht="15" hidden="false" customHeight="false" outlineLevel="0" collapsed="false">
      <c r="A573" s="14"/>
      <c r="B573" s="14"/>
      <c r="C573" s="11" t="str">
        <f aca="false">IF(OR(A573="",B573=""),"",A573&amp;"-"&amp;TEXT(B573,"00"))</f>
        <v/>
      </c>
      <c r="D573" s="11" t="str">
        <f aca="false">IF(A573="","",IFERROR(INDEX(Execuções!$E$2:$E$97,MATCH(A573,Execuções!$A$2:$A$97,0)),"ID?"))</f>
        <v/>
      </c>
      <c r="E573" s="11" t="str">
        <f aca="false">IF(A573="","",IFERROR(INDEX(Execuções!$F$2:$F$97,MATCH(A573,Execuções!$A$2:$A$97,0)),"ID?"))</f>
        <v/>
      </c>
      <c r="F573" s="13"/>
      <c r="G573" s="13"/>
    </row>
    <row r="574" customFormat="false" ht="15" hidden="false" customHeight="false" outlineLevel="0" collapsed="false">
      <c r="A574" s="14"/>
      <c r="B574" s="14"/>
      <c r="C574" s="11" t="str">
        <f aca="false">IF(OR(A574="",B574=""),"",A574&amp;"-"&amp;TEXT(B574,"00"))</f>
        <v/>
      </c>
      <c r="D574" s="11" t="str">
        <f aca="false">IF(A574="","",IFERROR(INDEX(Execuções!$E$2:$E$97,MATCH(A574,Execuções!$A$2:$A$97,0)),"ID?"))</f>
        <v/>
      </c>
      <c r="E574" s="11" t="str">
        <f aca="false">IF(A574="","",IFERROR(INDEX(Execuções!$F$2:$F$97,MATCH(A574,Execuções!$A$2:$A$97,0)),"ID?"))</f>
        <v/>
      </c>
      <c r="F574" s="13"/>
      <c r="G574" s="13"/>
    </row>
    <row r="575" customFormat="false" ht="15" hidden="false" customHeight="false" outlineLevel="0" collapsed="false">
      <c r="A575" s="14"/>
      <c r="B575" s="14"/>
      <c r="C575" s="11" t="str">
        <f aca="false">IF(OR(A575="",B575=""),"",A575&amp;"-"&amp;TEXT(B575,"00"))</f>
        <v/>
      </c>
      <c r="D575" s="11" t="str">
        <f aca="false">IF(A575="","",IFERROR(INDEX(Execuções!$E$2:$E$97,MATCH(A575,Execuções!$A$2:$A$97,0)),"ID?"))</f>
        <v/>
      </c>
      <c r="E575" s="11" t="str">
        <f aca="false">IF(A575="","",IFERROR(INDEX(Execuções!$F$2:$F$97,MATCH(A575,Execuções!$A$2:$A$97,0)),"ID?"))</f>
        <v/>
      </c>
      <c r="F575" s="13"/>
      <c r="G575" s="13"/>
    </row>
    <row r="576" customFormat="false" ht="15" hidden="false" customHeight="false" outlineLevel="0" collapsed="false">
      <c r="A576" s="14"/>
      <c r="B576" s="14"/>
      <c r="C576" s="11" t="str">
        <f aca="false">IF(OR(A576="",B576=""),"",A576&amp;"-"&amp;TEXT(B576,"00"))</f>
        <v/>
      </c>
      <c r="D576" s="11" t="str">
        <f aca="false">IF(A576="","",IFERROR(INDEX(Execuções!$E$2:$E$97,MATCH(A576,Execuções!$A$2:$A$97,0)),"ID?"))</f>
        <v/>
      </c>
      <c r="E576" s="11" t="str">
        <f aca="false">IF(A576="","",IFERROR(INDEX(Execuções!$F$2:$F$97,MATCH(A576,Execuções!$A$2:$A$97,0)),"ID?"))</f>
        <v/>
      </c>
      <c r="F576" s="13"/>
      <c r="G576" s="13"/>
    </row>
    <row r="577" customFormat="false" ht="15" hidden="false" customHeight="false" outlineLevel="0" collapsed="false">
      <c r="A577" s="14"/>
      <c r="B577" s="14"/>
      <c r="C577" s="11" t="str">
        <f aca="false">IF(OR(A577="",B577=""),"",A577&amp;"-"&amp;TEXT(B577,"00"))</f>
        <v/>
      </c>
      <c r="D577" s="11" t="str">
        <f aca="false">IF(A577="","",IFERROR(INDEX(Execuções!$E$2:$E$97,MATCH(A577,Execuções!$A$2:$A$97,0)),"ID?"))</f>
        <v/>
      </c>
      <c r="E577" s="11" t="str">
        <f aca="false">IF(A577="","",IFERROR(INDEX(Execuções!$F$2:$F$97,MATCH(A577,Execuções!$A$2:$A$97,0)),"ID?"))</f>
        <v/>
      </c>
      <c r="F577" s="13"/>
      <c r="G577" s="13"/>
    </row>
    <row r="578" customFormat="false" ht="15" hidden="false" customHeight="false" outlineLevel="0" collapsed="false">
      <c r="A578" s="14"/>
      <c r="B578" s="14"/>
      <c r="C578" s="11" t="str">
        <f aca="false">IF(OR(A578="",B578=""),"",A578&amp;"-"&amp;TEXT(B578,"00"))</f>
        <v/>
      </c>
      <c r="D578" s="11" t="str">
        <f aca="false">IF(A578="","",IFERROR(INDEX(Execuções!$E$2:$E$97,MATCH(A578,Execuções!$A$2:$A$97,0)),"ID?"))</f>
        <v/>
      </c>
      <c r="E578" s="11" t="str">
        <f aca="false">IF(A578="","",IFERROR(INDEX(Execuções!$F$2:$F$97,MATCH(A578,Execuções!$A$2:$A$97,0)),"ID?"))</f>
        <v/>
      </c>
      <c r="F578" s="13"/>
      <c r="G578" s="13"/>
    </row>
    <row r="579" customFormat="false" ht="15" hidden="false" customHeight="false" outlineLevel="0" collapsed="false">
      <c r="A579" s="14"/>
      <c r="B579" s="14"/>
      <c r="C579" s="11" t="str">
        <f aca="false">IF(OR(A579="",B579=""),"",A579&amp;"-"&amp;TEXT(B579,"00"))</f>
        <v/>
      </c>
      <c r="D579" s="11" t="str">
        <f aca="false">IF(A579="","",IFERROR(INDEX(Execuções!$E$2:$E$97,MATCH(A579,Execuções!$A$2:$A$97,0)),"ID?"))</f>
        <v/>
      </c>
      <c r="E579" s="11" t="str">
        <f aca="false">IF(A579="","",IFERROR(INDEX(Execuções!$F$2:$F$97,MATCH(A579,Execuções!$A$2:$A$97,0)),"ID?"))</f>
        <v/>
      </c>
      <c r="F579" s="13"/>
      <c r="G579" s="13"/>
    </row>
    <row r="580" customFormat="false" ht="15" hidden="false" customHeight="false" outlineLevel="0" collapsed="false">
      <c r="A580" s="14"/>
      <c r="B580" s="14"/>
      <c r="C580" s="11" t="str">
        <f aca="false">IF(OR(A580="",B580=""),"",A580&amp;"-"&amp;TEXT(B580,"00"))</f>
        <v/>
      </c>
      <c r="D580" s="11" t="str">
        <f aca="false">IF(A580="","",IFERROR(INDEX(Execuções!$E$2:$E$97,MATCH(A580,Execuções!$A$2:$A$97,0)),"ID?"))</f>
        <v/>
      </c>
      <c r="E580" s="11" t="str">
        <f aca="false">IF(A580="","",IFERROR(INDEX(Execuções!$F$2:$F$97,MATCH(A580,Execuções!$A$2:$A$97,0)),"ID?"))</f>
        <v/>
      </c>
      <c r="F580" s="13"/>
      <c r="G580" s="13"/>
    </row>
    <row r="581" customFormat="false" ht="15" hidden="false" customHeight="false" outlineLevel="0" collapsed="false">
      <c r="A581" s="14"/>
      <c r="B581" s="14"/>
      <c r="C581" s="11" t="str">
        <f aca="false">IF(OR(A581="",B581=""),"",A581&amp;"-"&amp;TEXT(B581,"00"))</f>
        <v/>
      </c>
      <c r="D581" s="11" t="str">
        <f aca="false">IF(A581="","",IFERROR(INDEX(Execuções!$E$2:$E$97,MATCH(A581,Execuções!$A$2:$A$97,0)),"ID?"))</f>
        <v/>
      </c>
      <c r="E581" s="11" t="str">
        <f aca="false">IF(A581="","",IFERROR(INDEX(Execuções!$F$2:$F$97,MATCH(A581,Execuções!$A$2:$A$97,0)),"ID?"))</f>
        <v/>
      </c>
      <c r="F581" s="13"/>
      <c r="G581" s="13"/>
    </row>
    <row r="582" customFormat="false" ht="15" hidden="false" customHeight="false" outlineLevel="0" collapsed="false">
      <c r="A582" s="14"/>
      <c r="B582" s="14"/>
      <c r="C582" s="11" t="str">
        <f aca="false">IF(OR(A582="",B582=""),"",A582&amp;"-"&amp;TEXT(B582,"00"))</f>
        <v/>
      </c>
      <c r="D582" s="11" t="str">
        <f aca="false">IF(A582="","",IFERROR(INDEX(Execuções!$E$2:$E$97,MATCH(A582,Execuções!$A$2:$A$97,0)),"ID?"))</f>
        <v/>
      </c>
      <c r="E582" s="11" t="str">
        <f aca="false">IF(A582="","",IFERROR(INDEX(Execuções!$F$2:$F$97,MATCH(A582,Execuções!$A$2:$A$97,0)),"ID?"))</f>
        <v/>
      </c>
      <c r="F582" s="13"/>
      <c r="G582" s="13"/>
    </row>
    <row r="583" customFormat="false" ht="15" hidden="false" customHeight="false" outlineLevel="0" collapsed="false">
      <c r="A583" s="14"/>
      <c r="B583" s="14"/>
      <c r="C583" s="11" t="str">
        <f aca="false">IF(OR(A583="",B583=""),"",A583&amp;"-"&amp;TEXT(B583,"00"))</f>
        <v/>
      </c>
      <c r="D583" s="11" t="str">
        <f aca="false">IF(A583="","",IFERROR(INDEX(Execuções!$E$2:$E$97,MATCH(A583,Execuções!$A$2:$A$97,0)),"ID?"))</f>
        <v/>
      </c>
      <c r="E583" s="11" t="str">
        <f aca="false">IF(A583="","",IFERROR(INDEX(Execuções!$F$2:$F$97,MATCH(A583,Execuções!$A$2:$A$97,0)),"ID?"))</f>
        <v/>
      </c>
      <c r="F583" s="13"/>
      <c r="G583" s="13"/>
    </row>
    <row r="584" customFormat="false" ht="15" hidden="false" customHeight="false" outlineLevel="0" collapsed="false">
      <c r="A584" s="14"/>
      <c r="B584" s="14"/>
      <c r="C584" s="11" t="str">
        <f aca="false">IF(OR(A584="",B584=""),"",A584&amp;"-"&amp;TEXT(B584,"00"))</f>
        <v/>
      </c>
      <c r="D584" s="11" t="str">
        <f aca="false">IF(A584="","",IFERROR(INDEX(Execuções!$E$2:$E$97,MATCH(A584,Execuções!$A$2:$A$97,0)),"ID?"))</f>
        <v/>
      </c>
      <c r="E584" s="11" t="str">
        <f aca="false">IF(A584="","",IFERROR(INDEX(Execuções!$F$2:$F$97,MATCH(A584,Execuções!$A$2:$A$97,0)),"ID?"))</f>
        <v/>
      </c>
      <c r="F584" s="13"/>
      <c r="G584" s="13"/>
    </row>
    <row r="585" customFormat="false" ht="15" hidden="false" customHeight="false" outlineLevel="0" collapsed="false">
      <c r="A585" s="14"/>
      <c r="B585" s="14"/>
      <c r="C585" s="11" t="str">
        <f aca="false">IF(OR(A585="",B585=""),"",A585&amp;"-"&amp;TEXT(B585,"00"))</f>
        <v/>
      </c>
      <c r="D585" s="11" t="str">
        <f aca="false">IF(A585="","",IFERROR(INDEX(Execuções!$E$2:$E$97,MATCH(A585,Execuções!$A$2:$A$97,0)),"ID?"))</f>
        <v/>
      </c>
      <c r="E585" s="11" t="str">
        <f aca="false">IF(A585="","",IFERROR(INDEX(Execuções!$F$2:$F$97,MATCH(A585,Execuções!$A$2:$A$97,0)),"ID?"))</f>
        <v/>
      </c>
      <c r="F585" s="13"/>
      <c r="G585" s="13"/>
    </row>
    <row r="586" customFormat="false" ht="15" hidden="false" customHeight="false" outlineLevel="0" collapsed="false">
      <c r="A586" s="14"/>
      <c r="B586" s="14"/>
      <c r="C586" s="11" t="str">
        <f aca="false">IF(OR(A586="",B586=""),"",A586&amp;"-"&amp;TEXT(B586,"00"))</f>
        <v/>
      </c>
      <c r="D586" s="11" t="str">
        <f aca="false">IF(A586="","",IFERROR(INDEX(Execuções!$E$2:$E$97,MATCH(A586,Execuções!$A$2:$A$97,0)),"ID?"))</f>
        <v/>
      </c>
      <c r="E586" s="11" t="str">
        <f aca="false">IF(A586="","",IFERROR(INDEX(Execuções!$F$2:$F$97,MATCH(A586,Execuções!$A$2:$A$97,0)),"ID?"))</f>
        <v/>
      </c>
      <c r="F586" s="13"/>
      <c r="G586" s="13"/>
    </row>
    <row r="587" customFormat="false" ht="15" hidden="false" customHeight="false" outlineLevel="0" collapsed="false">
      <c r="A587" s="14"/>
      <c r="B587" s="14"/>
      <c r="C587" s="11" t="str">
        <f aca="false">IF(OR(A587="",B587=""),"",A587&amp;"-"&amp;TEXT(B587,"00"))</f>
        <v/>
      </c>
      <c r="D587" s="11" t="str">
        <f aca="false">IF(A587="","",IFERROR(INDEX(Execuções!$E$2:$E$97,MATCH(A587,Execuções!$A$2:$A$97,0)),"ID?"))</f>
        <v/>
      </c>
      <c r="E587" s="11" t="str">
        <f aca="false">IF(A587="","",IFERROR(INDEX(Execuções!$F$2:$F$97,MATCH(A587,Execuções!$A$2:$A$97,0)),"ID?"))</f>
        <v/>
      </c>
      <c r="F587" s="13"/>
      <c r="G587" s="13"/>
    </row>
    <row r="588" customFormat="false" ht="15" hidden="false" customHeight="false" outlineLevel="0" collapsed="false">
      <c r="A588" s="14"/>
      <c r="B588" s="14"/>
      <c r="C588" s="11" t="str">
        <f aca="false">IF(OR(A588="",B588=""),"",A588&amp;"-"&amp;TEXT(B588,"00"))</f>
        <v/>
      </c>
      <c r="D588" s="11" t="str">
        <f aca="false">IF(A588="","",IFERROR(INDEX(Execuções!$E$2:$E$97,MATCH(A588,Execuções!$A$2:$A$97,0)),"ID?"))</f>
        <v/>
      </c>
      <c r="E588" s="11" t="str">
        <f aca="false">IF(A588="","",IFERROR(INDEX(Execuções!$F$2:$F$97,MATCH(A588,Execuções!$A$2:$A$97,0)),"ID?"))</f>
        <v/>
      </c>
      <c r="F588" s="13"/>
      <c r="G588" s="13"/>
    </row>
    <row r="589" customFormat="false" ht="15" hidden="false" customHeight="false" outlineLevel="0" collapsed="false">
      <c r="A589" s="14"/>
      <c r="B589" s="14"/>
      <c r="C589" s="11" t="str">
        <f aca="false">IF(OR(A589="",B589=""),"",A589&amp;"-"&amp;TEXT(B589,"00"))</f>
        <v/>
      </c>
      <c r="D589" s="11" t="str">
        <f aca="false">IF(A589="","",IFERROR(INDEX(Execuções!$E$2:$E$97,MATCH(A589,Execuções!$A$2:$A$97,0)),"ID?"))</f>
        <v/>
      </c>
      <c r="E589" s="11" t="str">
        <f aca="false">IF(A589="","",IFERROR(INDEX(Execuções!$F$2:$F$97,MATCH(A589,Execuções!$A$2:$A$97,0)),"ID?"))</f>
        <v/>
      </c>
      <c r="F589" s="13"/>
      <c r="G589" s="13"/>
    </row>
    <row r="590" customFormat="false" ht="15" hidden="false" customHeight="false" outlineLevel="0" collapsed="false">
      <c r="A590" s="14"/>
      <c r="B590" s="14"/>
      <c r="C590" s="11" t="str">
        <f aca="false">IF(OR(A590="",B590=""),"",A590&amp;"-"&amp;TEXT(B590,"00"))</f>
        <v/>
      </c>
      <c r="D590" s="11" t="str">
        <f aca="false">IF(A590="","",IFERROR(INDEX(Execuções!$E$2:$E$97,MATCH(A590,Execuções!$A$2:$A$97,0)),"ID?"))</f>
        <v/>
      </c>
      <c r="E590" s="11" t="str">
        <f aca="false">IF(A590="","",IFERROR(INDEX(Execuções!$F$2:$F$97,MATCH(A590,Execuções!$A$2:$A$97,0)),"ID?"))</f>
        <v/>
      </c>
      <c r="F590" s="13"/>
      <c r="G590" s="13"/>
    </row>
    <row r="591" customFormat="false" ht="15" hidden="false" customHeight="false" outlineLevel="0" collapsed="false">
      <c r="A591" s="14"/>
      <c r="B591" s="14"/>
      <c r="C591" s="11" t="str">
        <f aca="false">IF(OR(A591="",B591=""),"",A591&amp;"-"&amp;TEXT(B591,"00"))</f>
        <v/>
      </c>
      <c r="D591" s="11" t="str">
        <f aca="false">IF(A591="","",IFERROR(INDEX(Execuções!$E$2:$E$97,MATCH(A591,Execuções!$A$2:$A$97,0)),"ID?"))</f>
        <v/>
      </c>
      <c r="E591" s="11" t="str">
        <f aca="false">IF(A591="","",IFERROR(INDEX(Execuções!$F$2:$F$97,MATCH(A591,Execuções!$A$2:$A$97,0)),"ID?"))</f>
        <v/>
      </c>
      <c r="F591" s="13"/>
      <c r="G591" s="13"/>
    </row>
    <row r="592" customFormat="false" ht="15" hidden="false" customHeight="false" outlineLevel="0" collapsed="false">
      <c r="A592" s="14"/>
      <c r="B592" s="14"/>
      <c r="C592" s="11" t="str">
        <f aca="false">IF(OR(A592="",B592=""),"",A592&amp;"-"&amp;TEXT(B592,"00"))</f>
        <v/>
      </c>
      <c r="D592" s="11" t="str">
        <f aca="false">IF(A592="","",IFERROR(INDEX(Execuções!$E$2:$E$97,MATCH(A592,Execuções!$A$2:$A$97,0)),"ID?"))</f>
        <v/>
      </c>
      <c r="E592" s="11" t="str">
        <f aca="false">IF(A592="","",IFERROR(INDEX(Execuções!$F$2:$F$97,MATCH(A592,Execuções!$A$2:$A$97,0)),"ID?"))</f>
        <v/>
      </c>
      <c r="F592" s="13"/>
      <c r="G592" s="13"/>
    </row>
    <row r="593" customFormat="false" ht="15" hidden="false" customHeight="false" outlineLevel="0" collapsed="false">
      <c r="A593" s="14"/>
      <c r="B593" s="14"/>
      <c r="C593" s="11" t="str">
        <f aca="false">IF(OR(A593="",B593=""),"",A593&amp;"-"&amp;TEXT(B593,"00"))</f>
        <v/>
      </c>
      <c r="D593" s="11" t="str">
        <f aca="false">IF(A593="","",IFERROR(INDEX(Execuções!$E$2:$E$97,MATCH(A593,Execuções!$A$2:$A$97,0)),"ID?"))</f>
        <v/>
      </c>
      <c r="E593" s="11" t="str">
        <f aca="false">IF(A593="","",IFERROR(INDEX(Execuções!$F$2:$F$97,MATCH(A593,Execuções!$A$2:$A$97,0)),"ID?"))</f>
        <v/>
      </c>
      <c r="F593" s="13"/>
      <c r="G593" s="13"/>
    </row>
    <row r="594" customFormat="false" ht="15" hidden="false" customHeight="false" outlineLevel="0" collapsed="false">
      <c r="A594" s="14"/>
      <c r="B594" s="14"/>
      <c r="C594" s="11" t="str">
        <f aca="false">IF(OR(A594="",B594=""),"",A594&amp;"-"&amp;TEXT(B594,"00"))</f>
        <v/>
      </c>
      <c r="D594" s="11" t="str">
        <f aca="false">IF(A594="","",IFERROR(INDEX(Execuções!$E$2:$E$97,MATCH(A594,Execuções!$A$2:$A$97,0)),"ID?"))</f>
        <v/>
      </c>
      <c r="E594" s="11" t="str">
        <f aca="false">IF(A594="","",IFERROR(INDEX(Execuções!$F$2:$F$97,MATCH(A594,Execuções!$A$2:$A$97,0)),"ID?"))</f>
        <v/>
      </c>
      <c r="F594" s="13"/>
      <c r="G594" s="13"/>
    </row>
    <row r="595" customFormat="false" ht="15" hidden="false" customHeight="false" outlineLevel="0" collapsed="false">
      <c r="A595" s="14"/>
      <c r="B595" s="14"/>
      <c r="C595" s="11" t="str">
        <f aca="false">IF(OR(A595="",B595=""),"",A595&amp;"-"&amp;TEXT(B595,"00"))</f>
        <v/>
      </c>
      <c r="D595" s="11" t="str">
        <f aca="false">IF(A595="","",IFERROR(INDEX(Execuções!$E$2:$E$97,MATCH(A595,Execuções!$A$2:$A$97,0)),"ID?"))</f>
        <v/>
      </c>
      <c r="E595" s="11" t="str">
        <f aca="false">IF(A595="","",IFERROR(INDEX(Execuções!$F$2:$F$97,MATCH(A595,Execuções!$A$2:$A$97,0)),"ID?"))</f>
        <v/>
      </c>
      <c r="F595" s="13"/>
      <c r="G595" s="13"/>
    </row>
    <row r="596" customFormat="false" ht="15" hidden="false" customHeight="false" outlineLevel="0" collapsed="false">
      <c r="A596" s="14"/>
      <c r="B596" s="14"/>
      <c r="C596" s="11" t="str">
        <f aca="false">IF(OR(A596="",B596=""),"",A596&amp;"-"&amp;TEXT(B596,"00"))</f>
        <v/>
      </c>
      <c r="D596" s="11" t="str">
        <f aca="false">IF(A596="","",IFERROR(INDEX(Execuções!$E$2:$E$97,MATCH(A596,Execuções!$A$2:$A$97,0)),"ID?"))</f>
        <v/>
      </c>
      <c r="E596" s="11" t="str">
        <f aca="false">IF(A596="","",IFERROR(INDEX(Execuções!$F$2:$F$97,MATCH(A596,Execuções!$A$2:$A$97,0)),"ID?"))</f>
        <v/>
      </c>
      <c r="F596" s="13"/>
      <c r="G596" s="13"/>
    </row>
    <row r="597" customFormat="false" ht="15" hidden="false" customHeight="false" outlineLevel="0" collapsed="false">
      <c r="A597" s="14"/>
      <c r="B597" s="14"/>
      <c r="C597" s="11" t="str">
        <f aca="false">IF(OR(A597="",B597=""),"",A597&amp;"-"&amp;TEXT(B597,"00"))</f>
        <v/>
      </c>
      <c r="D597" s="11" t="str">
        <f aca="false">IF(A597="","",IFERROR(INDEX(Execuções!$E$2:$E$97,MATCH(A597,Execuções!$A$2:$A$97,0)),"ID?"))</f>
        <v/>
      </c>
      <c r="E597" s="11" t="str">
        <f aca="false">IF(A597="","",IFERROR(INDEX(Execuções!$F$2:$F$97,MATCH(A597,Execuções!$A$2:$A$97,0)),"ID?"))</f>
        <v/>
      </c>
      <c r="F597" s="13"/>
      <c r="G597" s="13"/>
    </row>
    <row r="598" customFormat="false" ht="15" hidden="false" customHeight="false" outlineLevel="0" collapsed="false">
      <c r="A598" s="14"/>
      <c r="B598" s="14"/>
      <c r="C598" s="11" t="str">
        <f aca="false">IF(OR(A598="",B598=""),"",A598&amp;"-"&amp;TEXT(B598,"00"))</f>
        <v/>
      </c>
      <c r="D598" s="11" t="str">
        <f aca="false">IF(A598="","",IFERROR(INDEX(Execuções!$E$2:$E$97,MATCH(A598,Execuções!$A$2:$A$97,0)),"ID?"))</f>
        <v/>
      </c>
      <c r="E598" s="11" t="str">
        <f aca="false">IF(A598="","",IFERROR(INDEX(Execuções!$F$2:$F$97,MATCH(A598,Execuções!$A$2:$A$97,0)),"ID?"))</f>
        <v/>
      </c>
      <c r="F598" s="13"/>
      <c r="G598" s="13"/>
    </row>
    <row r="599" customFormat="false" ht="15" hidden="false" customHeight="false" outlineLevel="0" collapsed="false">
      <c r="A599" s="14"/>
      <c r="B599" s="14"/>
      <c r="C599" s="11" t="str">
        <f aca="false">IF(OR(A599="",B599=""),"",A599&amp;"-"&amp;TEXT(B599,"00"))</f>
        <v/>
      </c>
      <c r="D599" s="11" t="str">
        <f aca="false">IF(A599="","",IFERROR(INDEX(Execuções!$E$2:$E$97,MATCH(A599,Execuções!$A$2:$A$97,0)),"ID?"))</f>
        <v/>
      </c>
      <c r="E599" s="11" t="str">
        <f aca="false">IF(A599="","",IFERROR(INDEX(Execuções!$F$2:$F$97,MATCH(A599,Execuções!$A$2:$A$97,0)),"ID?"))</f>
        <v/>
      </c>
      <c r="F599" s="13"/>
      <c r="G599" s="13"/>
    </row>
    <row r="600" customFormat="false" ht="15" hidden="false" customHeight="false" outlineLevel="0" collapsed="false">
      <c r="A600" s="14"/>
      <c r="B600" s="14"/>
      <c r="C600" s="11" t="str">
        <f aca="false">IF(OR(A600="",B600=""),"",A600&amp;"-"&amp;TEXT(B600,"00"))</f>
        <v/>
      </c>
      <c r="D600" s="11" t="str">
        <f aca="false">IF(A600="","",IFERROR(INDEX(Execuções!$E$2:$E$97,MATCH(A600,Execuções!$A$2:$A$97,0)),"ID?"))</f>
        <v/>
      </c>
      <c r="E600" s="11" t="str">
        <f aca="false">IF(A600="","",IFERROR(INDEX(Execuções!$F$2:$F$97,MATCH(A600,Execuções!$A$2:$A$97,0)),"ID?"))</f>
        <v/>
      </c>
      <c r="F600" s="13"/>
      <c r="G600" s="13"/>
    </row>
    <row r="601" customFormat="false" ht="15" hidden="false" customHeight="false" outlineLevel="0" collapsed="false">
      <c r="A601" s="14"/>
      <c r="B601" s="14"/>
      <c r="C601" s="11" t="str">
        <f aca="false">IF(OR(A601="",B601=""),"",A601&amp;"-"&amp;TEXT(B601,"00"))</f>
        <v/>
      </c>
      <c r="D601" s="11" t="str">
        <f aca="false">IF(A601="","",IFERROR(INDEX(Execuções!$E$2:$E$97,MATCH(A601,Execuções!$A$2:$A$97,0)),"ID?"))</f>
        <v/>
      </c>
      <c r="E601" s="11" t="str">
        <f aca="false">IF(A601="","",IFERROR(INDEX(Execuções!$F$2:$F$97,MATCH(A601,Execuções!$A$2:$A$97,0)),"ID?"))</f>
        <v/>
      </c>
      <c r="F601" s="13"/>
      <c r="G601" s="13"/>
    </row>
  </sheetData>
  <dataValidations count="1">
    <dataValidation allowBlank="true" error="Escolha um valor da lista." errorStyle="stop" operator="between" showDropDown="false" showErrorMessage="true" showInputMessage="false" sqref="A2:A601" type="list">
      <formula1>Execuções!$A$2:$A$97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44"/>
  </cols>
  <sheetData>
    <row r="1" customFormat="false" ht="36" hidden="false" customHeight="true" outlineLevel="0" collapsed="false">
      <c r="A1" s="8" t="s">
        <v>267</v>
      </c>
      <c r="B1" s="8" t="s">
        <v>44</v>
      </c>
      <c r="C1" s="8" t="s">
        <v>45</v>
      </c>
      <c r="D1" s="8" t="s">
        <v>270</v>
      </c>
      <c r="E1" s="8" t="s">
        <v>271</v>
      </c>
      <c r="F1" s="9" t="s">
        <v>272</v>
      </c>
      <c r="G1" s="9" t="s">
        <v>21</v>
      </c>
      <c r="H1" s="9" t="s">
        <v>23</v>
      </c>
      <c r="I1" s="9" t="s">
        <v>25</v>
      </c>
      <c r="J1" s="9" t="s">
        <v>27</v>
      </c>
      <c r="K1" s="9" t="s">
        <v>273</v>
      </c>
    </row>
    <row r="2" customFormat="false" ht="15" hidden="false" customHeight="false" outlineLevel="0" collapsed="false">
      <c r="A2" s="11" t="str">
        <f aca="false">Apontamentos!C2</f>
        <v/>
      </c>
      <c r="B2" s="11" t="str">
        <f aca="false">IF(Apontamentos!$C2="","",Apontamentos!D2&amp;"")</f>
        <v/>
      </c>
      <c r="C2" s="11" t="str">
        <f aca="false">IF(Apontamentos!$C2="","",Apontamentos!E2&amp;"")</f>
        <v/>
      </c>
      <c r="D2" s="10" t="str">
        <f aca="false">IF(Apontamentos!$C2="","",Apontamentos!F2&amp;"")</f>
        <v/>
      </c>
      <c r="E2" s="10" t="str">
        <f aca="false">IF(Apontamentos!$C2="","",Apontamentos!G2&amp;"")</f>
        <v/>
      </c>
      <c r="F2" s="14"/>
      <c r="G2" s="14"/>
      <c r="H2" s="14"/>
      <c r="I2" s="14"/>
      <c r="J2" s="13"/>
      <c r="K2" s="13"/>
    </row>
    <row r="3" customFormat="false" ht="15" hidden="false" customHeight="false" outlineLevel="0" collapsed="false">
      <c r="A3" s="11" t="str">
        <f aca="false">Apontamentos!C3</f>
        <v/>
      </c>
      <c r="B3" s="11" t="str">
        <f aca="false">IF(Apontamentos!$C3="","",Apontamentos!D3&amp;"")</f>
        <v/>
      </c>
      <c r="C3" s="11" t="str">
        <f aca="false">IF(Apontamentos!$C3="","",Apontamentos!E3&amp;"")</f>
        <v/>
      </c>
      <c r="D3" s="10" t="str">
        <f aca="false">IF(Apontamentos!$C3="","",Apontamentos!F3&amp;"")</f>
        <v/>
      </c>
      <c r="E3" s="10" t="str">
        <f aca="false">IF(Apontamentos!$C3="","",Apontamentos!G3&amp;"")</f>
        <v/>
      </c>
      <c r="F3" s="14"/>
      <c r="G3" s="14"/>
      <c r="H3" s="14"/>
      <c r="I3" s="14"/>
      <c r="J3" s="13"/>
      <c r="K3" s="13"/>
    </row>
    <row r="4" customFormat="false" ht="15" hidden="false" customHeight="false" outlineLevel="0" collapsed="false">
      <c r="A4" s="11" t="str">
        <f aca="false">Apontamentos!C4</f>
        <v/>
      </c>
      <c r="B4" s="11" t="str">
        <f aca="false">IF(Apontamentos!$C4="","",Apontamentos!D4&amp;"")</f>
        <v/>
      </c>
      <c r="C4" s="11" t="str">
        <f aca="false">IF(Apontamentos!$C4="","",Apontamentos!E4&amp;"")</f>
        <v/>
      </c>
      <c r="D4" s="10" t="str">
        <f aca="false">IF(Apontamentos!$C4="","",Apontamentos!F4&amp;"")</f>
        <v/>
      </c>
      <c r="E4" s="10" t="str">
        <f aca="false">IF(Apontamentos!$C4="","",Apontamentos!G4&amp;"")</f>
        <v/>
      </c>
      <c r="F4" s="14"/>
      <c r="G4" s="14"/>
      <c r="H4" s="14"/>
      <c r="I4" s="14"/>
      <c r="J4" s="13"/>
      <c r="K4" s="13"/>
    </row>
    <row r="5" customFormat="false" ht="15" hidden="false" customHeight="false" outlineLevel="0" collapsed="false">
      <c r="A5" s="11" t="str">
        <f aca="false">Apontamentos!C5</f>
        <v/>
      </c>
      <c r="B5" s="11" t="str">
        <f aca="false">IF(Apontamentos!$C5="","",Apontamentos!D5&amp;"")</f>
        <v/>
      </c>
      <c r="C5" s="11" t="str">
        <f aca="false">IF(Apontamentos!$C5="","",Apontamentos!E5&amp;"")</f>
        <v/>
      </c>
      <c r="D5" s="10" t="str">
        <f aca="false">IF(Apontamentos!$C5="","",Apontamentos!F5&amp;"")</f>
        <v/>
      </c>
      <c r="E5" s="10" t="str">
        <f aca="false">IF(Apontamentos!$C5="","",Apontamentos!G5&amp;"")</f>
        <v/>
      </c>
      <c r="F5" s="14"/>
      <c r="G5" s="14"/>
      <c r="H5" s="14"/>
      <c r="I5" s="14"/>
      <c r="J5" s="13"/>
      <c r="K5" s="13"/>
    </row>
    <row r="6" customFormat="false" ht="15" hidden="false" customHeight="false" outlineLevel="0" collapsed="false">
      <c r="A6" s="11" t="str">
        <f aca="false">Apontamentos!C6</f>
        <v/>
      </c>
      <c r="B6" s="11" t="str">
        <f aca="false">IF(Apontamentos!$C6="","",Apontamentos!D6&amp;"")</f>
        <v/>
      </c>
      <c r="C6" s="11" t="str">
        <f aca="false">IF(Apontamentos!$C6="","",Apontamentos!E6&amp;"")</f>
        <v/>
      </c>
      <c r="D6" s="10" t="str">
        <f aca="false">IF(Apontamentos!$C6="","",Apontamentos!F6&amp;"")</f>
        <v/>
      </c>
      <c r="E6" s="10" t="str">
        <f aca="false">IF(Apontamentos!$C6="","",Apontamentos!G6&amp;"")</f>
        <v/>
      </c>
      <c r="F6" s="14"/>
      <c r="G6" s="14"/>
      <c r="H6" s="14"/>
      <c r="I6" s="14"/>
      <c r="J6" s="13"/>
      <c r="K6" s="13"/>
    </row>
    <row r="7" customFormat="false" ht="15" hidden="false" customHeight="false" outlineLevel="0" collapsed="false">
      <c r="A7" s="11" t="str">
        <f aca="false">Apontamentos!C7</f>
        <v/>
      </c>
      <c r="B7" s="11" t="str">
        <f aca="false">IF(Apontamentos!$C7="","",Apontamentos!D7&amp;"")</f>
        <v/>
      </c>
      <c r="C7" s="11" t="str">
        <f aca="false">IF(Apontamentos!$C7="","",Apontamentos!E7&amp;"")</f>
        <v/>
      </c>
      <c r="D7" s="10" t="str">
        <f aca="false">IF(Apontamentos!$C7="","",Apontamentos!F7&amp;"")</f>
        <v/>
      </c>
      <c r="E7" s="10" t="str">
        <f aca="false">IF(Apontamentos!$C7="","",Apontamentos!G7&amp;"")</f>
        <v/>
      </c>
      <c r="F7" s="14"/>
      <c r="G7" s="14"/>
      <c r="H7" s="14"/>
      <c r="I7" s="14"/>
      <c r="J7" s="13"/>
      <c r="K7" s="13"/>
    </row>
    <row r="8" customFormat="false" ht="15" hidden="false" customHeight="false" outlineLevel="0" collapsed="false">
      <c r="A8" s="11" t="str">
        <f aca="false">Apontamentos!C8</f>
        <v/>
      </c>
      <c r="B8" s="11" t="str">
        <f aca="false">IF(Apontamentos!$C8="","",Apontamentos!D8&amp;"")</f>
        <v/>
      </c>
      <c r="C8" s="11" t="str">
        <f aca="false">IF(Apontamentos!$C8="","",Apontamentos!E8&amp;"")</f>
        <v/>
      </c>
      <c r="D8" s="10" t="str">
        <f aca="false">IF(Apontamentos!$C8="","",Apontamentos!F8&amp;"")</f>
        <v/>
      </c>
      <c r="E8" s="10" t="str">
        <f aca="false">IF(Apontamentos!$C8="","",Apontamentos!G8&amp;"")</f>
        <v/>
      </c>
      <c r="F8" s="14"/>
      <c r="G8" s="14"/>
      <c r="H8" s="14"/>
      <c r="I8" s="14"/>
      <c r="J8" s="13"/>
      <c r="K8" s="13"/>
    </row>
    <row r="9" customFormat="false" ht="15" hidden="false" customHeight="false" outlineLevel="0" collapsed="false">
      <c r="A9" s="11" t="str">
        <f aca="false">Apontamentos!C9</f>
        <v/>
      </c>
      <c r="B9" s="11" t="str">
        <f aca="false">IF(Apontamentos!$C9="","",Apontamentos!D9&amp;"")</f>
        <v/>
      </c>
      <c r="C9" s="11" t="str">
        <f aca="false">IF(Apontamentos!$C9="","",Apontamentos!E9&amp;"")</f>
        <v/>
      </c>
      <c r="D9" s="10" t="str">
        <f aca="false">IF(Apontamentos!$C9="","",Apontamentos!F9&amp;"")</f>
        <v/>
      </c>
      <c r="E9" s="10" t="str">
        <f aca="false">IF(Apontamentos!$C9="","",Apontamentos!G9&amp;"")</f>
        <v/>
      </c>
      <c r="F9" s="14"/>
      <c r="G9" s="14"/>
      <c r="H9" s="14"/>
      <c r="I9" s="14"/>
      <c r="J9" s="13"/>
      <c r="K9" s="13"/>
    </row>
    <row r="10" customFormat="false" ht="15" hidden="false" customHeight="false" outlineLevel="0" collapsed="false">
      <c r="A10" s="11" t="str">
        <f aca="false">Apontamentos!C10</f>
        <v/>
      </c>
      <c r="B10" s="11" t="str">
        <f aca="false">IF(Apontamentos!$C10="","",Apontamentos!D10&amp;"")</f>
        <v/>
      </c>
      <c r="C10" s="11" t="str">
        <f aca="false">IF(Apontamentos!$C10="","",Apontamentos!E10&amp;"")</f>
        <v/>
      </c>
      <c r="D10" s="10" t="str">
        <f aca="false">IF(Apontamentos!$C10="","",Apontamentos!F10&amp;"")</f>
        <v/>
      </c>
      <c r="E10" s="10" t="str">
        <f aca="false">IF(Apontamentos!$C10="","",Apontamentos!G10&amp;"")</f>
        <v/>
      </c>
      <c r="F10" s="14"/>
      <c r="G10" s="14"/>
      <c r="H10" s="14"/>
      <c r="I10" s="14"/>
      <c r="J10" s="13"/>
      <c r="K10" s="13"/>
    </row>
    <row r="11" customFormat="false" ht="15" hidden="false" customHeight="false" outlineLevel="0" collapsed="false">
      <c r="A11" s="11" t="str">
        <f aca="false">Apontamentos!C11</f>
        <v/>
      </c>
      <c r="B11" s="11" t="str">
        <f aca="false">IF(Apontamentos!$C11="","",Apontamentos!D11&amp;"")</f>
        <v/>
      </c>
      <c r="C11" s="11" t="str">
        <f aca="false">IF(Apontamentos!$C11="","",Apontamentos!E11&amp;"")</f>
        <v/>
      </c>
      <c r="D11" s="10" t="str">
        <f aca="false">IF(Apontamentos!$C11="","",Apontamentos!F11&amp;"")</f>
        <v/>
      </c>
      <c r="E11" s="10" t="str">
        <f aca="false">IF(Apontamentos!$C11="","",Apontamentos!G11&amp;"")</f>
        <v/>
      </c>
      <c r="F11" s="14"/>
      <c r="G11" s="14"/>
      <c r="H11" s="14"/>
      <c r="I11" s="14"/>
      <c r="J11" s="13"/>
      <c r="K11" s="13"/>
    </row>
    <row r="12" customFormat="false" ht="15" hidden="false" customHeight="false" outlineLevel="0" collapsed="false">
      <c r="A12" s="11" t="str">
        <f aca="false">Apontamentos!C12</f>
        <v/>
      </c>
      <c r="B12" s="11" t="str">
        <f aca="false">IF(Apontamentos!$C12="","",Apontamentos!D12&amp;"")</f>
        <v/>
      </c>
      <c r="C12" s="11" t="str">
        <f aca="false">IF(Apontamentos!$C12="","",Apontamentos!E12&amp;"")</f>
        <v/>
      </c>
      <c r="D12" s="10" t="str">
        <f aca="false">IF(Apontamentos!$C12="","",Apontamentos!F12&amp;"")</f>
        <v/>
      </c>
      <c r="E12" s="10" t="str">
        <f aca="false">IF(Apontamentos!$C12="","",Apontamentos!G12&amp;"")</f>
        <v/>
      </c>
      <c r="F12" s="14"/>
      <c r="G12" s="14"/>
      <c r="H12" s="14"/>
      <c r="I12" s="14"/>
      <c r="J12" s="13"/>
      <c r="K12" s="13"/>
    </row>
    <row r="13" customFormat="false" ht="15" hidden="false" customHeight="false" outlineLevel="0" collapsed="false">
      <c r="A13" s="11" t="str">
        <f aca="false">Apontamentos!C13</f>
        <v/>
      </c>
      <c r="B13" s="11" t="str">
        <f aca="false">IF(Apontamentos!$C13="","",Apontamentos!D13&amp;"")</f>
        <v/>
      </c>
      <c r="C13" s="11" t="str">
        <f aca="false">IF(Apontamentos!$C13="","",Apontamentos!E13&amp;"")</f>
        <v/>
      </c>
      <c r="D13" s="10" t="str">
        <f aca="false">IF(Apontamentos!$C13="","",Apontamentos!F13&amp;"")</f>
        <v/>
      </c>
      <c r="E13" s="10" t="str">
        <f aca="false">IF(Apontamentos!$C13="","",Apontamentos!G13&amp;"")</f>
        <v/>
      </c>
      <c r="F13" s="14"/>
      <c r="G13" s="14"/>
      <c r="H13" s="14"/>
      <c r="I13" s="14"/>
      <c r="J13" s="13"/>
      <c r="K13" s="13"/>
    </row>
    <row r="14" customFormat="false" ht="15" hidden="false" customHeight="false" outlineLevel="0" collapsed="false">
      <c r="A14" s="11" t="str">
        <f aca="false">Apontamentos!C14</f>
        <v/>
      </c>
      <c r="B14" s="11" t="str">
        <f aca="false">IF(Apontamentos!$C14="","",Apontamentos!D14&amp;"")</f>
        <v/>
      </c>
      <c r="C14" s="11" t="str">
        <f aca="false">IF(Apontamentos!$C14="","",Apontamentos!E14&amp;"")</f>
        <v/>
      </c>
      <c r="D14" s="10" t="str">
        <f aca="false">IF(Apontamentos!$C14="","",Apontamentos!F14&amp;"")</f>
        <v/>
      </c>
      <c r="E14" s="10" t="str">
        <f aca="false">IF(Apontamentos!$C14="","",Apontamentos!G14&amp;"")</f>
        <v/>
      </c>
      <c r="F14" s="14"/>
      <c r="G14" s="14"/>
      <c r="H14" s="14"/>
      <c r="I14" s="14"/>
      <c r="J14" s="13"/>
      <c r="K14" s="13"/>
    </row>
    <row r="15" customFormat="false" ht="15" hidden="false" customHeight="false" outlineLevel="0" collapsed="false">
      <c r="A15" s="11" t="str">
        <f aca="false">Apontamentos!C15</f>
        <v/>
      </c>
      <c r="B15" s="11" t="str">
        <f aca="false">IF(Apontamentos!$C15="","",Apontamentos!D15&amp;"")</f>
        <v/>
      </c>
      <c r="C15" s="11" t="str">
        <f aca="false">IF(Apontamentos!$C15="","",Apontamentos!E15&amp;"")</f>
        <v/>
      </c>
      <c r="D15" s="10" t="str">
        <f aca="false">IF(Apontamentos!$C15="","",Apontamentos!F15&amp;"")</f>
        <v/>
      </c>
      <c r="E15" s="10" t="str">
        <f aca="false">IF(Apontamentos!$C15="","",Apontamentos!G15&amp;"")</f>
        <v/>
      </c>
      <c r="F15" s="14"/>
      <c r="G15" s="14"/>
      <c r="H15" s="14"/>
      <c r="I15" s="14"/>
      <c r="J15" s="13"/>
      <c r="K15" s="13"/>
    </row>
    <row r="16" customFormat="false" ht="15" hidden="false" customHeight="false" outlineLevel="0" collapsed="false">
      <c r="A16" s="11" t="str">
        <f aca="false">Apontamentos!C16</f>
        <v/>
      </c>
      <c r="B16" s="11" t="str">
        <f aca="false">IF(Apontamentos!$C16="","",Apontamentos!D16&amp;"")</f>
        <v/>
      </c>
      <c r="C16" s="11" t="str">
        <f aca="false">IF(Apontamentos!$C16="","",Apontamentos!E16&amp;"")</f>
        <v/>
      </c>
      <c r="D16" s="10" t="str">
        <f aca="false">IF(Apontamentos!$C16="","",Apontamentos!F16&amp;"")</f>
        <v/>
      </c>
      <c r="E16" s="10" t="str">
        <f aca="false">IF(Apontamentos!$C16="","",Apontamentos!G16&amp;"")</f>
        <v/>
      </c>
      <c r="F16" s="14"/>
      <c r="G16" s="14"/>
      <c r="H16" s="14"/>
      <c r="I16" s="14"/>
      <c r="J16" s="13"/>
      <c r="K16" s="13"/>
    </row>
    <row r="17" customFormat="false" ht="15" hidden="false" customHeight="false" outlineLevel="0" collapsed="false">
      <c r="A17" s="11" t="str">
        <f aca="false">Apontamentos!C17</f>
        <v/>
      </c>
      <c r="B17" s="11" t="str">
        <f aca="false">IF(Apontamentos!$C17="","",Apontamentos!D17&amp;"")</f>
        <v/>
      </c>
      <c r="C17" s="11" t="str">
        <f aca="false">IF(Apontamentos!$C17="","",Apontamentos!E17&amp;"")</f>
        <v/>
      </c>
      <c r="D17" s="10" t="str">
        <f aca="false">IF(Apontamentos!$C17="","",Apontamentos!F17&amp;"")</f>
        <v/>
      </c>
      <c r="E17" s="10" t="str">
        <f aca="false">IF(Apontamentos!$C17="","",Apontamentos!G17&amp;"")</f>
        <v/>
      </c>
      <c r="F17" s="14"/>
      <c r="G17" s="14"/>
      <c r="H17" s="14"/>
      <c r="I17" s="14"/>
      <c r="J17" s="13"/>
      <c r="K17" s="13"/>
    </row>
    <row r="18" customFormat="false" ht="15" hidden="false" customHeight="false" outlineLevel="0" collapsed="false">
      <c r="A18" s="11" t="str">
        <f aca="false">Apontamentos!C18</f>
        <v/>
      </c>
      <c r="B18" s="11" t="str">
        <f aca="false">IF(Apontamentos!$C18="","",Apontamentos!D18&amp;"")</f>
        <v/>
      </c>
      <c r="C18" s="11" t="str">
        <f aca="false">IF(Apontamentos!$C18="","",Apontamentos!E18&amp;"")</f>
        <v/>
      </c>
      <c r="D18" s="10" t="str">
        <f aca="false">IF(Apontamentos!$C18="","",Apontamentos!F18&amp;"")</f>
        <v/>
      </c>
      <c r="E18" s="10" t="str">
        <f aca="false">IF(Apontamentos!$C18="","",Apontamentos!G18&amp;"")</f>
        <v/>
      </c>
      <c r="F18" s="14"/>
      <c r="G18" s="14"/>
      <c r="H18" s="14"/>
      <c r="I18" s="14"/>
      <c r="J18" s="13"/>
      <c r="K18" s="13"/>
    </row>
    <row r="19" customFormat="false" ht="15" hidden="false" customHeight="false" outlineLevel="0" collapsed="false">
      <c r="A19" s="11" t="str">
        <f aca="false">Apontamentos!C19</f>
        <v/>
      </c>
      <c r="B19" s="11" t="str">
        <f aca="false">IF(Apontamentos!$C19="","",Apontamentos!D19&amp;"")</f>
        <v/>
      </c>
      <c r="C19" s="11" t="str">
        <f aca="false">IF(Apontamentos!$C19="","",Apontamentos!E19&amp;"")</f>
        <v/>
      </c>
      <c r="D19" s="10" t="str">
        <f aca="false">IF(Apontamentos!$C19="","",Apontamentos!F19&amp;"")</f>
        <v/>
      </c>
      <c r="E19" s="10" t="str">
        <f aca="false">IF(Apontamentos!$C19="","",Apontamentos!G19&amp;"")</f>
        <v/>
      </c>
      <c r="F19" s="14"/>
      <c r="G19" s="14"/>
      <c r="H19" s="14"/>
      <c r="I19" s="14"/>
      <c r="J19" s="13"/>
      <c r="K19" s="13"/>
    </row>
    <row r="20" customFormat="false" ht="15" hidden="false" customHeight="false" outlineLevel="0" collapsed="false">
      <c r="A20" s="11" t="str">
        <f aca="false">Apontamentos!C20</f>
        <v/>
      </c>
      <c r="B20" s="11" t="str">
        <f aca="false">IF(Apontamentos!$C20="","",Apontamentos!D20&amp;"")</f>
        <v/>
      </c>
      <c r="C20" s="11" t="str">
        <f aca="false">IF(Apontamentos!$C20="","",Apontamentos!E20&amp;"")</f>
        <v/>
      </c>
      <c r="D20" s="10" t="str">
        <f aca="false">IF(Apontamentos!$C20="","",Apontamentos!F20&amp;"")</f>
        <v/>
      </c>
      <c r="E20" s="10" t="str">
        <f aca="false">IF(Apontamentos!$C20="","",Apontamentos!G20&amp;"")</f>
        <v/>
      </c>
      <c r="F20" s="14"/>
      <c r="G20" s="14"/>
      <c r="H20" s="14"/>
      <c r="I20" s="14"/>
      <c r="J20" s="13"/>
      <c r="K20" s="13"/>
    </row>
    <row r="21" customFormat="false" ht="15" hidden="false" customHeight="false" outlineLevel="0" collapsed="false">
      <c r="A21" s="11" t="str">
        <f aca="false">Apontamentos!C21</f>
        <v/>
      </c>
      <c r="B21" s="11" t="str">
        <f aca="false">IF(Apontamentos!$C21="","",Apontamentos!D21&amp;"")</f>
        <v/>
      </c>
      <c r="C21" s="11" t="str">
        <f aca="false">IF(Apontamentos!$C21="","",Apontamentos!E21&amp;"")</f>
        <v/>
      </c>
      <c r="D21" s="10" t="str">
        <f aca="false">IF(Apontamentos!$C21="","",Apontamentos!F21&amp;"")</f>
        <v/>
      </c>
      <c r="E21" s="10" t="str">
        <f aca="false">IF(Apontamentos!$C21="","",Apontamentos!G21&amp;"")</f>
        <v/>
      </c>
      <c r="F21" s="14"/>
      <c r="G21" s="14"/>
      <c r="H21" s="14"/>
      <c r="I21" s="14"/>
      <c r="J21" s="13"/>
      <c r="K21" s="13"/>
    </row>
    <row r="22" customFormat="false" ht="15" hidden="false" customHeight="false" outlineLevel="0" collapsed="false">
      <c r="A22" s="11" t="str">
        <f aca="false">Apontamentos!C22</f>
        <v/>
      </c>
      <c r="B22" s="11" t="str">
        <f aca="false">IF(Apontamentos!$C22="","",Apontamentos!D22&amp;"")</f>
        <v/>
      </c>
      <c r="C22" s="11" t="str">
        <f aca="false">IF(Apontamentos!$C22="","",Apontamentos!E22&amp;"")</f>
        <v/>
      </c>
      <c r="D22" s="10" t="str">
        <f aca="false">IF(Apontamentos!$C22="","",Apontamentos!F22&amp;"")</f>
        <v/>
      </c>
      <c r="E22" s="10" t="str">
        <f aca="false">IF(Apontamentos!$C22="","",Apontamentos!G22&amp;"")</f>
        <v/>
      </c>
      <c r="F22" s="14"/>
      <c r="G22" s="14"/>
      <c r="H22" s="14"/>
      <c r="I22" s="14"/>
      <c r="J22" s="13"/>
      <c r="K22" s="13"/>
    </row>
    <row r="23" customFormat="false" ht="15" hidden="false" customHeight="false" outlineLevel="0" collapsed="false">
      <c r="A23" s="11" t="str">
        <f aca="false">Apontamentos!C23</f>
        <v/>
      </c>
      <c r="B23" s="11" t="str">
        <f aca="false">IF(Apontamentos!$C23="","",Apontamentos!D23&amp;"")</f>
        <v/>
      </c>
      <c r="C23" s="11" t="str">
        <f aca="false">IF(Apontamentos!$C23="","",Apontamentos!E23&amp;"")</f>
        <v/>
      </c>
      <c r="D23" s="10" t="str">
        <f aca="false">IF(Apontamentos!$C23="","",Apontamentos!F23&amp;"")</f>
        <v/>
      </c>
      <c r="E23" s="10" t="str">
        <f aca="false">IF(Apontamentos!$C23="","",Apontamentos!G23&amp;"")</f>
        <v/>
      </c>
      <c r="F23" s="14"/>
      <c r="G23" s="14"/>
      <c r="H23" s="14"/>
      <c r="I23" s="14"/>
      <c r="J23" s="13"/>
      <c r="K23" s="13"/>
    </row>
    <row r="24" customFormat="false" ht="15" hidden="false" customHeight="false" outlineLevel="0" collapsed="false">
      <c r="A24" s="11" t="str">
        <f aca="false">Apontamentos!C24</f>
        <v/>
      </c>
      <c r="B24" s="11" t="str">
        <f aca="false">IF(Apontamentos!$C24="","",Apontamentos!D24&amp;"")</f>
        <v/>
      </c>
      <c r="C24" s="11" t="str">
        <f aca="false">IF(Apontamentos!$C24="","",Apontamentos!E24&amp;"")</f>
        <v/>
      </c>
      <c r="D24" s="10" t="str">
        <f aca="false">IF(Apontamentos!$C24="","",Apontamentos!F24&amp;"")</f>
        <v/>
      </c>
      <c r="E24" s="10" t="str">
        <f aca="false">IF(Apontamentos!$C24="","",Apontamentos!G24&amp;"")</f>
        <v/>
      </c>
      <c r="F24" s="14"/>
      <c r="G24" s="14"/>
      <c r="H24" s="14"/>
      <c r="I24" s="14"/>
      <c r="J24" s="13"/>
      <c r="K24" s="13"/>
    </row>
    <row r="25" customFormat="false" ht="15" hidden="false" customHeight="false" outlineLevel="0" collapsed="false">
      <c r="A25" s="11" t="str">
        <f aca="false">Apontamentos!C25</f>
        <v/>
      </c>
      <c r="B25" s="11" t="str">
        <f aca="false">IF(Apontamentos!$C25="","",Apontamentos!D25&amp;"")</f>
        <v/>
      </c>
      <c r="C25" s="11" t="str">
        <f aca="false">IF(Apontamentos!$C25="","",Apontamentos!E25&amp;"")</f>
        <v/>
      </c>
      <c r="D25" s="10" t="str">
        <f aca="false">IF(Apontamentos!$C25="","",Apontamentos!F25&amp;"")</f>
        <v/>
      </c>
      <c r="E25" s="10" t="str">
        <f aca="false">IF(Apontamentos!$C25="","",Apontamentos!G25&amp;"")</f>
        <v/>
      </c>
      <c r="F25" s="14"/>
      <c r="G25" s="14"/>
      <c r="H25" s="14"/>
      <c r="I25" s="14"/>
      <c r="J25" s="13"/>
      <c r="K25" s="13"/>
    </row>
    <row r="26" customFormat="false" ht="15" hidden="false" customHeight="false" outlineLevel="0" collapsed="false">
      <c r="A26" s="11" t="str">
        <f aca="false">Apontamentos!C26</f>
        <v/>
      </c>
      <c r="B26" s="11" t="str">
        <f aca="false">IF(Apontamentos!$C26="","",Apontamentos!D26&amp;"")</f>
        <v/>
      </c>
      <c r="C26" s="11" t="str">
        <f aca="false">IF(Apontamentos!$C26="","",Apontamentos!E26&amp;"")</f>
        <v/>
      </c>
      <c r="D26" s="10" t="str">
        <f aca="false">IF(Apontamentos!$C26="","",Apontamentos!F26&amp;"")</f>
        <v/>
      </c>
      <c r="E26" s="10" t="str">
        <f aca="false">IF(Apontamentos!$C26="","",Apontamentos!G26&amp;"")</f>
        <v/>
      </c>
      <c r="F26" s="14"/>
      <c r="G26" s="14"/>
      <c r="H26" s="14"/>
      <c r="I26" s="14"/>
      <c r="J26" s="13"/>
      <c r="K26" s="13"/>
    </row>
    <row r="27" customFormat="false" ht="15" hidden="false" customHeight="false" outlineLevel="0" collapsed="false">
      <c r="A27" s="11" t="str">
        <f aca="false">Apontamentos!C27</f>
        <v/>
      </c>
      <c r="B27" s="11" t="str">
        <f aca="false">IF(Apontamentos!$C27="","",Apontamentos!D27&amp;"")</f>
        <v/>
      </c>
      <c r="C27" s="11" t="str">
        <f aca="false">IF(Apontamentos!$C27="","",Apontamentos!E27&amp;"")</f>
        <v/>
      </c>
      <c r="D27" s="10" t="str">
        <f aca="false">IF(Apontamentos!$C27="","",Apontamentos!F27&amp;"")</f>
        <v/>
      </c>
      <c r="E27" s="10" t="str">
        <f aca="false">IF(Apontamentos!$C27="","",Apontamentos!G27&amp;"")</f>
        <v/>
      </c>
      <c r="F27" s="14"/>
      <c r="G27" s="14"/>
      <c r="H27" s="14"/>
      <c r="I27" s="14"/>
      <c r="J27" s="13"/>
      <c r="K27" s="13"/>
    </row>
    <row r="28" customFormat="false" ht="15" hidden="false" customHeight="false" outlineLevel="0" collapsed="false">
      <c r="A28" s="11" t="str">
        <f aca="false">Apontamentos!C28</f>
        <v/>
      </c>
      <c r="B28" s="11" t="str">
        <f aca="false">IF(Apontamentos!$C28="","",Apontamentos!D28&amp;"")</f>
        <v/>
      </c>
      <c r="C28" s="11" t="str">
        <f aca="false">IF(Apontamentos!$C28="","",Apontamentos!E28&amp;"")</f>
        <v/>
      </c>
      <c r="D28" s="10" t="str">
        <f aca="false">IF(Apontamentos!$C28="","",Apontamentos!F28&amp;"")</f>
        <v/>
      </c>
      <c r="E28" s="10" t="str">
        <f aca="false">IF(Apontamentos!$C28="","",Apontamentos!G28&amp;"")</f>
        <v/>
      </c>
      <c r="F28" s="14"/>
      <c r="G28" s="14"/>
      <c r="H28" s="14"/>
      <c r="I28" s="14"/>
      <c r="J28" s="13"/>
      <c r="K28" s="13"/>
    </row>
    <row r="29" customFormat="false" ht="15" hidden="false" customHeight="false" outlineLevel="0" collapsed="false">
      <c r="A29" s="11" t="str">
        <f aca="false">Apontamentos!C29</f>
        <v/>
      </c>
      <c r="B29" s="11" t="str">
        <f aca="false">IF(Apontamentos!$C29="","",Apontamentos!D29&amp;"")</f>
        <v/>
      </c>
      <c r="C29" s="11" t="str">
        <f aca="false">IF(Apontamentos!$C29="","",Apontamentos!E29&amp;"")</f>
        <v/>
      </c>
      <c r="D29" s="10" t="str">
        <f aca="false">IF(Apontamentos!$C29="","",Apontamentos!F29&amp;"")</f>
        <v/>
      </c>
      <c r="E29" s="10" t="str">
        <f aca="false">IF(Apontamentos!$C29="","",Apontamentos!G29&amp;"")</f>
        <v/>
      </c>
      <c r="F29" s="14"/>
      <c r="G29" s="14"/>
      <c r="H29" s="14"/>
      <c r="I29" s="14"/>
      <c r="J29" s="13"/>
      <c r="K29" s="13"/>
    </row>
    <row r="30" customFormat="false" ht="15" hidden="false" customHeight="false" outlineLevel="0" collapsed="false">
      <c r="A30" s="11" t="str">
        <f aca="false">Apontamentos!C30</f>
        <v/>
      </c>
      <c r="B30" s="11" t="str">
        <f aca="false">IF(Apontamentos!$C30="","",Apontamentos!D30&amp;"")</f>
        <v/>
      </c>
      <c r="C30" s="11" t="str">
        <f aca="false">IF(Apontamentos!$C30="","",Apontamentos!E30&amp;"")</f>
        <v/>
      </c>
      <c r="D30" s="10" t="str">
        <f aca="false">IF(Apontamentos!$C30="","",Apontamentos!F30&amp;"")</f>
        <v/>
      </c>
      <c r="E30" s="10" t="str">
        <f aca="false">IF(Apontamentos!$C30="","",Apontamentos!G30&amp;"")</f>
        <v/>
      </c>
      <c r="F30" s="14"/>
      <c r="G30" s="14"/>
      <c r="H30" s="14"/>
      <c r="I30" s="14"/>
      <c r="J30" s="13"/>
      <c r="K30" s="13"/>
    </row>
    <row r="31" customFormat="false" ht="15" hidden="false" customHeight="false" outlineLevel="0" collapsed="false">
      <c r="A31" s="11" t="str">
        <f aca="false">Apontamentos!C31</f>
        <v/>
      </c>
      <c r="B31" s="11" t="str">
        <f aca="false">IF(Apontamentos!$C31="","",Apontamentos!D31&amp;"")</f>
        <v/>
      </c>
      <c r="C31" s="11" t="str">
        <f aca="false">IF(Apontamentos!$C31="","",Apontamentos!E31&amp;"")</f>
        <v/>
      </c>
      <c r="D31" s="10" t="str">
        <f aca="false">IF(Apontamentos!$C31="","",Apontamentos!F31&amp;"")</f>
        <v/>
      </c>
      <c r="E31" s="10" t="str">
        <f aca="false">IF(Apontamentos!$C31="","",Apontamentos!G31&amp;"")</f>
        <v/>
      </c>
      <c r="F31" s="14"/>
      <c r="G31" s="14"/>
      <c r="H31" s="14"/>
      <c r="I31" s="14"/>
      <c r="J31" s="13"/>
      <c r="K31" s="13"/>
    </row>
    <row r="32" customFormat="false" ht="15" hidden="false" customHeight="false" outlineLevel="0" collapsed="false">
      <c r="A32" s="11" t="str">
        <f aca="false">Apontamentos!C32</f>
        <v/>
      </c>
      <c r="B32" s="11" t="str">
        <f aca="false">IF(Apontamentos!$C32="","",Apontamentos!D32&amp;"")</f>
        <v/>
      </c>
      <c r="C32" s="11" t="str">
        <f aca="false">IF(Apontamentos!$C32="","",Apontamentos!E32&amp;"")</f>
        <v/>
      </c>
      <c r="D32" s="10" t="str">
        <f aca="false">IF(Apontamentos!$C32="","",Apontamentos!F32&amp;"")</f>
        <v/>
      </c>
      <c r="E32" s="10" t="str">
        <f aca="false">IF(Apontamentos!$C32="","",Apontamentos!G32&amp;"")</f>
        <v/>
      </c>
      <c r="F32" s="14"/>
      <c r="G32" s="14"/>
      <c r="H32" s="14"/>
      <c r="I32" s="14"/>
      <c r="J32" s="13"/>
      <c r="K32" s="13"/>
    </row>
    <row r="33" customFormat="false" ht="15" hidden="false" customHeight="false" outlineLevel="0" collapsed="false">
      <c r="A33" s="11" t="str">
        <f aca="false">Apontamentos!C33</f>
        <v/>
      </c>
      <c r="B33" s="11" t="str">
        <f aca="false">IF(Apontamentos!$C33="","",Apontamentos!D33&amp;"")</f>
        <v/>
      </c>
      <c r="C33" s="11" t="str">
        <f aca="false">IF(Apontamentos!$C33="","",Apontamentos!E33&amp;"")</f>
        <v/>
      </c>
      <c r="D33" s="10" t="str">
        <f aca="false">IF(Apontamentos!$C33="","",Apontamentos!F33&amp;"")</f>
        <v/>
      </c>
      <c r="E33" s="10" t="str">
        <f aca="false">IF(Apontamentos!$C33="","",Apontamentos!G33&amp;"")</f>
        <v/>
      </c>
      <c r="F33" s="14"/>
      <c r="G33" s="14"/>
      <c r="H33" s="14"/>
      <c r="I33" s="14"/>
      <c r="J33" s="13"/>
      <c r="K33" s="13"/>
    </row>
    <row r="34" customFormat="false" ht="15" hidden="false" customHeight="false" outlineLevel="0" collapsed="false">
      <c r="A34" s="11" t="str">
        <f aca="false">Apontamentos!C34</f>
        <v/>
      </c>
      <c r="B34" s="11" t="str">
        <f aca="false">IF(Apontamentos!$C34="","",Apontamentos!D34&amp;"")</f>
        <v/>
      </c>
      <c r="C34" s="11" t="str">
        <f aca="false">IF(Apontamentos!$C34="","",Apontamentos!E34&amp;"")</f>
        <v/>
      </c>
      <c r="D34" s="10" t="str">
        <f aca="false">IF(Apontamentos!$C34="","",Apontamentos!F34&amp;"")</f>
        <v/>
      </c>
      <c r="E34" s="10" t="str">
        <f aca="false">IF(Apontamentos!$C34="","",Apontamentos!G34&amp;"")</f>
        <v/>
      </c>
      <c r="F34" s="14"/>
      <c r="G34" s="14"/>
      <c r="H34" s="14"/>
      <c r="I34" s="14"/>
      <c r="J34" s="13"/>
      <c r="K34" s="13"/>
    </row>
    <row r="35" customFormat="false" ht="15" hidden="false" customHeight="false" outlineLevel="0" collapsed="false">
      <c r="A35" s="11" t="str">
        <f aca="false">Apontamentos!C35</f>
        <v/>
      </c>
      <c r="B35" s="11" t="str">
        <f aca="false">IF(Apontamentos!$C35="","",Apontamentos!D35&amp;"")</f>
        <v/>
      </c>
      <c r="C35" s="11" t="str">
        <f aca="false">IF(Apontamentos!$C35="","",Apontamentos!E35&amp;"")</f>
        <v/>
      </c>
      <c r="D35" s="10" t="str">
        <f aca="false">IF(Apontamentos!$C35="","",Apontamentos!F35&amp;"")</f>
        <v/>
      </c>
      <c r="E35" s="10" t="str">
        <f aca="false">IF(Apontamentos!$C35="","",Apontamentos!G35&amp;"")</f>
        <v/>
      </c>
      <c r="F35" s="14"/>
      <c r="G35" s="14"/>
      <c r="H35" s="14"/>
      <c r="I35" s="14"/>
      <c r="J35" s="13"/>
      <c r="K35" s="13"/>
    </row>
    <row r="36" customFormat="false" ht="15" hidden="false" customHeight="false" outlineLevel="0" collapsed="false">
      <c r="A36" s="11" t="str">
        <f aca="false">Apontamentos!C36</f>
        <v/>
      </c>
      <c r="B36" s="11" t="str">
        <f aca="false">IF(Apontamentos!$C36="","",Apontamentos!D36&amp;"")</f>
        <v/>
      </c>
      <c r="C36" s="11" t="str">
        <f aca="false">IF(Apontamentos!$C36="","",Apontamentos!E36&amp;"")</f>
        <v/>
      </c>
      <c r="D36" s="10" t="str">
        <f aca="false">IF(Apontamentos!$C36="","",Apontamentos!F36&amp;"")</f>
        <v/>
      </c>
      <c r="E36" s="10" t="str">
        <f aca="false">IF(Apontamentos!$C36="","",Apontamentos!G36&amp;"")</f>
        <v/>
      </c>
      <c r="F36" s="14"/>
      <c r="G36" s="14"/>
      <c r="H36" s="14"/>
      <c r="I36" s="14"/>
      <c r="J36" s="13"/>
      <c r="K36" s="13"/>
    </row>
    <row r="37" customFormat="false" ht="15" hidden="false" customHeight="false" outlineLevel="0" collapsed="false">
      <c r="A37" s="11" t="str">
        <f aca="false">Apontamentos!C37</f>
        <v/>
      </c>
      <c r="B37" s="11" t="str">
        <f aca="false">IF(Apontamentos!$C37="","",Apontamentos!D37&amp;"")</f>
        <v/>
      </c>
      <c r="C37" s="11" t="str">
        <f aca="false">IF(Apontamentos!$C37="","",Apontamentos!E37&amp;"")</f>
        <v/>
      </c>
      <c r="D37" s="10" t="str">
        <f aca="false">IF(Apontamentos!$C37="","",Apontamentos!F37&amp;"")</f>
        <v/>
      </c>
      <c r="E37" s="10" t="str">
        <f aca="false">IF(Apontamentos!$C37="","",Apontamentos!G37&amp;"")</f>
        <v/>
      </c>
      <c r="F37" s="14"/>
      <c r="G37" s="14"/>
      <c r="H37" s="14"/>
      <c r="I37" s="14"/>
      <c r="J37" s="13"/>
      <c r="K37" s="13"/>
    </row>
    <row r="38" customFormat="false" ht="15" hidden="false" customHeight="false" outlineLevel="0" collapsed="false">
      <c r="A38" s="11" t="str">
        <f aca="false">Apontamentos!C38</f>
        <v/>
      </c>
      <c r="B38" s="11" t="str">
        <f aca="false">IF(Apontamentos!$C38="","",Apontamentos!D38&amp;"")</f>
        <v/>
      </c>
      <c r="C38" s="11" t="str">
        <f aca="false">IF(Apontamentos!$C38="","",Apontamentos!E38&amp;"")</f>
        <v/>
      </c>
      <c r="D38" s="10" t="str">
        <f aca="false">IF(Apontamentos!$C38="","",Apontamentos!F38&amp;"")</f>
        <v/>
      </c>
      <c r="E38" s="10" t="str">
        <f aca="false">IF(Apontamentos!$C38="","",Apontamentos!G38&amp;"")</f>
        <v/>
      </c>
      <c r="F38" s="14"/>
      <c r="G38" s="14"/>
      <c r="H38" s="14"/>
      <c r="I38" s="14"/>
      <c r="J38" s="13"/>
      <c r="K38" s="13"/>
    </row>
    <row r="39" customFormat="false" ht="15" hidden="false" customHeight="false" outlineLevel="0" collapsed="false">
      <c r="A39" s="11" t="str">
        <f aca="false">Apontamentos!C39</f>
        <v/>
      </c>
      <c r="B39" s="11" t="str">
        <f aca="false">IF(Apontamentos!$C39="","",Apontamentos!D39&amp;"")</f>
        <v/>
      </c>
      <c r="C39" s="11" t="str">
        <f aca="false">IF(Apontamentos!$C39="","",Apontamentos!E39&amp;"")</f>
        <v/>
      </c>
      <c r="D39" s="10" t="str">
        <f aca="false">IF(Apontamentos!$C39="","",Apontamentos!F39&amp;"")</f>
        <v/>
      </c>
      <c r="E39" s="10" t="str">
        <f aca="false">IF(Apontamentos!$C39="","",Apontamentos!G39&amp;"")</f>
        <v/>
      </c>
      <c r="F39" s="14"/>
      <c r="G39" s="14"/>
      <c r="H39" s="14"/>
      <c r="I39" s="14"/>
      <c r="J39" s="13"/>
      <c r="K39" s="13"/>
    </row>
    <row r="40" customFormat="false" ht="15" hidden="false" customHeight="false" outlineLevel="0" collapsed="false">
      <c r="A40" s="11" t="str">
        <f aca="false">Apontamentos!C40</f>
        <v/>
      </c>
      <c r="B40" s="11" t="str">
        <f aca="false">IF(Apontamentos!$C40="","",Apontamentos!D40&amp;"")</f>
        <v/>
      </c>
      <c r="C40" s="11" t="str">
        <f aca="false">IF(Apontamentos!$C40="","",Apontamentos!E40&amp;"")</f>
        <v/>
      </c>
      <c r="D40" s="10" t="str">
        <f aca="false">IF(Apontamentos!$C40="","",Apontamentos!F40&amp;"")</f>
        <v/>
      </c>
      <c r="E40" s="10" t="str">
        <f aca="false">IF(Apontamentos!$C40="","",Apontamentos!G40&amp;"")</f>
        <v/>
      </c>
      <c r="F40" s="14"/>
      <c r="G40" s="14"/>
      <c r="H40" s="14"/>
      <c r="I40" s="14"/>
      <c r="J40" s="13"/>
      <c r="K40" s="13"/>
    </row>
    <row r="41" customFormat="false" ht="15" hidden="false" customHeight="false" outlineLevel="0" collapsed="false">
      <c r="A41" s="11" t="str">
        <f aca="false">Apontamentos!C41</f>
        <v/>
      </c>
      <c r="B41" s="11" t="str">
        <f aca="false">IF(Apontamentos!$C41="","",Apontamentos!D41&amp;"")</f>
        <v/>
      </c>
      <c r="C41" s="11" t="str">
        <f aca="false">IF(Apontamentos!$C41="","",Apontamentos!E41&amp;"")</f>
        <v/>
      </c>
      <c r="D41" s="10" t="str">
        <f aca="false">IF(Apontamentos!$C41="","",Apontamentos!F41&amp;"")</f>
        <v/>
      </c>
      <c r="E41" s="10" t="str">
        <f aca="false">IF(Apontamentos!$C41="","",Apontamentos!G41&amp;"")</f>
        <v/>
      </c>
      <c r="F41" s="14"/>
      <c r="G41" s="14"/>
      <c r="H41" s="14"/>
      <c r="I41" s="14"/>
      <c r="J41" s="13"/>
      <c r="K41" s="13"/>
    </row>
    <row r="42" customFormat="false" ht="15" hidden="false" customHeight="false" outlineLevel="0" collapsed="false">
      <c r="A42" s="11" t="str">
        <f aca="false">Apontamentos!C42</f>
        <v/>
      </c>
      <c r="B42" s="11" t="str">
        <f aca="false">IF(Apontamentos!$C42="","",Apontamentos!D42&amp;"")</f>
        <v/>
      </c>
      <c r="C42" s="11" t="str">
        <f aca="false">IF(Apontamentos!$C42="","",Apontamentos!E42&amp;"")</f>
        <v/>
      </c>
      <c r="D42" s="10" t="str">
        <f aca="false">IF(Apontamentos!$C42="","",Apontamentos!F42&amp;"")</f>
        <v/>
      </c>
      <c r="E42" s="10" t="str">
        <f aca="false">IF(Apontamentos!$C42="","",Apontamentos!G42&amp;"")</f>
        <v/>
      </c>
      <c r="F42" s="14"/>
      <c r="G42" s="14"/>
      <c r="H42" s="14"/>
      <c r="I42" s="14"/>
      <c r="J42" s="13"/>
      <c r="K42" s="13"/>
    </row>
    <row r="43" customFormat="false" ht="15" hidden="false" customHeight="false" outlineLevel="0" collapsed="false">
      <c r="A43" s="11" t="str">
        <f aca="false">Apontamentos!C43</f>
        <v/>
      </c>
      <c r="B43" s="11" t="str">
        <f aca="false">IF(Apontamentos!$C43="","",Apontamentos!D43&amp;"")</f>
        <v/>
      </c>
      <c r="C43" s="11" t="str">
        <f aca="false">IF(Apontamentos!$C43="","",Apontamentos!E43&amp;"")</f>
        <v/>
      </c>
      <c r="D43" s="10" t="str">
        <f aca="false">IF(Apontamentos!$C43="","",Apontamentos!F43&amp;"")</f>
        <v/>
      </c>
      <c r="E43" s="10" t="str">
        <f aca="false">IF(Apontamentos!$C43="","",Apontamentos!G43&amp;"")</f>
        <v/>
      </c>
      <c r="F43" s="14"/>
      <c r="G43" s="14"/>
      <c r="H43" s="14"/>
      <c r="I43" s="14"/>
      <c r="J43" s="13"/>
      <c r="K43" s="13"/>
    </row>
    <row r="44" customFormat="false" ht="15" hidden="false" customHeight="false" outlineLevel="0" collapsed="false">
      <c r="A44" s="11" t="str">
        <f aca="false">Apontamentos!C44</f>
        <v/>
      </c>
      <c r="B44" s="11" t="str">
        <f aca="false">IF(Apontamentos!$C44="","",Apontamentos!D44&amp;"")</f>
        <v/>
      </c>
      <c r="C44" s="11" t="str">
        <f aca="false">IF(Apontamentos!$C44="","",Apontamentos!E44&amp;"")</f>
        <v/>
      </c>
      <c r="D44" s="10" t="str">
        <f aca="false">IF(Apontamentos!$C44="","",Apontamentos!F44&amp;"")</f>
        <v/>
      </c>
      <c r="E44" s="10" t="str">
        <f aca="false">IF(Apontamentos!$C44="","",Apontamentos!G44&amp;"")</f>
        <v/>
      </c>
      <c r="F44" s="14"/>
      <c r="G44" s="14"/>
      <c r="H44" s="14"/>
      <c r="I44" s="14"/>
      <c r="J44" s="13"/>
      <c r="K44" s="13"/>
    </row>
    <row r="45" customFormat="false" ht="15" hidden="false" customHeight="false" outlineLevel="0" collapsed="false">
      <c r="A45" s="11" t="str">
        <f aca="false">Apontamentos!C45</f>
        <v/>
      </c>
      <c r="B45" s="11" t="str">
        <f aca="false">IF(Apontamentos!$C45="","",Apontamentos!D45&amp;"")</f>
        <v/>
      </c>
      <c r="C45" s="11" t="str">
        <f aca="false">IF(Apontamentos!$C45="","",Apontamentos!E45&amp;"")</f>
        <v/>
      </c>
      <c r="D45" s="10" t="str">
        <f aca="false">IF(Apontamentos!$C45="","",Apontamentos!F45&amp;"")</f>
        <v/>
      </c>
      <c r="E45" s="10" t="str">
        <f aca="false">IF(Apontamentos!$C45="","",Apontamentos!G45&amp;"")</f>
        <v/>
      </c>
      <c r="F45" s="14"/>
      <c r="G45" s="14"/>
      <c r="H45" s="14"/>
      <c r="I45" s="14"/>
      <c r="J45" s="13"/>
      <c r="K45" s="13"/>
    </row>
    <row r="46" customFormat="false" ht="15" hidden="false" customHeight="false" outlineLevel="0" collapsed="false">
      <c r="A46" s="11" t="str">
        <f aca="false">Apontamentos!C46</f>
        <v/>
      </c>
      <c r="B46" s="11" t="str">
        <f aca="false">IF(Apontamentos!$C46="","",Apontamentos!D46&amp;"")</f>
        <v/>
      </c>
      <c r="C46" s="11" t="str">
        <f aca="false">IF(Apontamentos!$C46="","",Apontamentos!E46&amp;"")</f>
        <v/>
      </c>
      <c r="D46" s="10" t="str">
        <f aca="false">IF(Apontamentos!$C46="","",Apontamentos!F46&amp;"")</f>
        <v/>
      </c>
      <c r="E46" s="10" t="str">
        <f aca="false">IF(Apontamentos!$C46="","",Apontamentos!G46&amp;"")</f>
        <v/>
      </c>
      <c r="F46" s="14"/>
      <c r="G46" s="14"/>
      <c r="H46" s="14"/>
      <c r="I46" s="14"/>
      <c r="J46" s="13"/>
      <c r="K46" s="13"/>
    </row>
    <row r="47" customFormat="false" ht="15" hidden="false" customHeight="false" outlineLevel="0" collapsed="false">
      <c r="A47" s="11" t="str">
        <f aca="false">Apontamentos!C47</f>
        <v/>
      </c>
      <c r="B47" s="11" t="str">
        <f aca="false">IF(Apontamentos!$C47="","",Apontamentos!D47&amp;"")</f>
        <v/>
      </c>
      <c r="C47" s="11" t="str">
        <f aca="false">IF(Apontamentos!$C47="","",Apontamentos!E47&amp;"")</f>
        <v/>
      </c>
      <c r="D47" s="10" t="str">
        <f aca="false">IF(Apontamentos!$C47="","",Apontamentos!F47&amp;"")</f>
        <v/>
      </c>
      <c r="E47" s="10" t="str">
        <f aca="false">IF(Apontamentos!$C47="","",Apontamentos!G47&amp;"")</f>
        <v/>
      </c>
      <c r="F47" s="14"/>
      <c r="G47" s="14"/>
      <c r="H47" s="14"/>
      <c r="I47" s="14"/>
      <c r="J47" s="13"/>
      <c r="K47" s="13"/>
    </row>
    <row r="48" customFormat="false" ht="15" hidden="false" customHeight="false" outlineLevel="0" collapsed="false">
      <c r="A48" s="11" t="str">
        <f aca="false">Apontamentos!C48</f>
        <v/>
      </c>
      <c r="B48" s="11" t="str">
        <f aca="false">IF(Apontamentos!$C48="","",Apontamentos!D48&amp;"")</f>
        <v/>
      </c>
      <c r="C48" s="11" t="str">
        <f aca="false">IF(Apontamentos!$C48="","",Apontamentos!E48&amp;"")</f>
        <v/>
      </c>
      <c r="D48" s="10" t="str">
        <f aca="false">IF(Apontamentos!$C48="","",Apontamentos!F48&amp;"")</f>
        <v/>
      </c>
      <c r="E48" s="10" t="str">
        <f aca="false">IF(Apontamentos!$C48="","",Apontamentos!G48&amp;"")</f>
        <v/>
      </c>
      <c r="F48" s="14"/>
      <c r="G48" s="14"/>
      <c r="H48" s="14"/>
      <c r="I48" s="14"/>
      <c r="J48" s="13"/>
      <c r="K48" s="13"/>
    </row>
    <row r="49" customFormat="false" ht="15" hidden="false" customHeight="false" outlineLevel="0" collapsed="false">
      <c r="A49" s="11" t="str">
        <f aca="false">Apontamentos!C49</f>
        <v/>
      </c>
      <c r="B49" s="11" t="str">
        <f aca="false">IF(Apontamentos!$C49="","",Apontamentos!D49&amp;"")</f>
        <v/>
      </c>
      <c r="C49" s="11" t="str">
        <f aca="false">IF(Apontamentos!$C49="","",Apontamentos!E49&amp;"")</f>
        <v/>
      </c>
      <c r="D49" s="10" t="str">
        <f aca="false">IF(Apontamentos!$C49="","",Apontamentos!F49&amp;"")</f>
        <v/>
      </c>
      <c r="E49" s="10" t="str">
        <f aca="false">IF(Apontamentos!$C49="","",Apontamentos!G49&amp;"")</f>
        <v/>
      </c>
      <c r="F49" s="14"/>
      <c r="G49" s="14"/>
      <c r="H49" s="14"/>
      <c r="I49" s="14"/>
      <c r="J49" s="13"/>
      <c r="K49" s="13"/>
    </row>
    <row r="50" customFormat="false" ht="15" hidden="false" customHeight="false" outlineLevel="0" collapsed="false">
      <c r="A50" s="11" t="str">
        <f aca="false">Apontamentos!C50</f>
        <v/>
      </c>
      <c r="B50" s="11" t="str">
        <f aca="false">IF(Apontamentos!$C50="","",Apontamentos!D50&amp;"")</f>
        <v/>
      </c>
      <c r="C50" s="11" t="str">
        <f aca="false">IF(Apontamentos!$C50="","",Apontamentos!E50&amp;"")</f>
        <v/>
      </c>
      <c r="D50" s="10" t="str">
        <f aca="false">IF(Apontamentos!$C50="","",Apontamentos!F50&amp;"")</f>
        <v/>
      </c>
      <c r="E50" s="10" t="str">
        <f aca="false">IF(Apontamentos!$C50="","",Apontamentos!G50&amp;"")</f>
        <v/>
      </c>
      <c r="F50" s="14"/>
      <c r="G50" s="14"/>
      <c r="H50" s="14"/>
      <c r="I50" s="14"/>
      <c r="J50" s="13"/>
      <c r="K50" s="13"/>
    </row>
    <row r="51" customFormat="false" ht="15" hidden="false" customHeight="false" outlineLevel="0" collapsed="false">
      <c r="A51" s="11" t="str">
        <f aca="false">Apontamentos!C51</f>
        <v/>
      </c>
      <c r="B51" s="11" t="str">
        <f aca="false">IF(Apontamentos!$C51="","",Apontamentos!D51&amp;"")</f>
        <v/>
      </c>
      <c r="C51" s="11" t="str">
        <f aca="false">IF(Apontamentos!$C51="","",Apontamentos!E51&amp;"")</f>
        <v/>
      </c>
      <c r="D51" s="10" t="str">
        <f aca="false">IF(Apontamentos!$C51="","",Apontamentos!F51&amp;"")</f>
        <v/>
      </c>
      <c r="E51" s="10" t="str">
        <f aca="false">IF(Apontamentos!$C51="","",Apontamentos!G51&amp;"")</f>
        <v/>
      </c>
      <c r="F51" s="14"/>
      <c r="G51" s="14"/>
      <c r="H51" s="14"/>
      <c r="I51" s="14"/>
      <c r="J51" s="13"/>
      <c r="K51" s="13"/>
    </row>
    <row r="52" customFormat="false" ht="15" hidden="false" customHeight="false" outlineLevel="0" collapsed="false">
      <c r="A52" s="11" t="str">
        <f aca="false">Apontamentos!C52</f>
        <v/>
      </c>
      <c r="B52" s="11" t="str">
        <f aca="false">IF(Apontamentos!$C52="","",Apontamentos!D52&amp;"")</f>
        <v/>
      </c>
      <c r="C52" s="11" t="str">
        <f aca="false">IF(Apontamentos!$C52="","",Apontamentos!E52&amp;"")</f>
        <v/>
      </c>
      <c r="D52" s="10" t="str">
        <f aca="false">IF(Apontamentos!$C52="","",Apontamentos!F52&amp;"")</f>
        <v/>
      </c>
      <c r="E52" s="10" t="str">
        <f aca="false">IF(Apontamentos!$C52="","",Apontamentos!G52&amp;"")</f>
        <v/>
      </c>
      <c r="F52" s="14"/>
      <c r="G52" s="14"/>
      <c r="H52" s="14"/>
      <c r="I52" s="14"/>
      <c r="J52" s="13"/>
      <c r="K52" s="13"/>
    </row>
    <row r="53" customFormat="false" ht="15" hidden="false" customHeight="false" outlineLevel="0" collapsed="false">
      <c r="A53" s="11" t="str">
        <f aca="false">Apontamentos!C53</f>
        <v/>
      </c>
      <c r="B53" s="11" t="str">
        <f aca="false">IF(Apontamentos!$C53="","",Apontamentos!D53&amp;"")</f>
        <v/>
      </c>
      <c r="C53" s="11" t="str">
        <f aca="false">IF(Apontamentos!$C53="","",Apontamentos!E53&amp;"")</f>
        <v/>
      </c>
      <c r="D53" s="10" t="str">
        <f aca="false">IF(Apontamentos!$C53="","",Apontamentos!F53&amp;"")</f>
        <v/>
      </c>
      <c r="E53" s="10" t="str">
        <f aca="false">IF(Apontamentos!$C53="","",Apontamentos!G53&amp;"")</f>
        <v/>
      </c>
      <c r="F53" s="14"/>
      <c r="G53" s="14"/>
      <c r="H53" s="14"/>
      <c r="I53" s="14"/>
      <c r="J53" s="13"/>
      <c r="K53" s="13"/>
    </row>
    <row r="54" customFormat="false" ht="15" hidden="false" customHeight="false" outlineLevel="0" collapsed="false">
      <c r="A54" s="11" t="str">
        <f aca="false">Apontamentos!C54</f>
        <v/>
      </c>
      <c r="B54" s="11" t="str">
        <f aca="false">IF(Apontamentos!$C54="","",Apontamentos!D54&amp;"")</f>
        <v/>
      </c>
      <c r="C54" s="11" t="str">
        <f aca="false">IF(Apontamentos!$C54="","",Apontamentos!E54&amp;"")</f>
        <v/>
      </c>
      <c r="D54" s="10" t="str">
        <f aca="false">IF(Apontamentos!$C54="","",Apontamentos!F54&amp;"")</f>
        <v/>
      </c>
      <c r="E54" s="10" t="str">
        <f aca="false">IF(Apontamentos!$C54="","",Apontamentos!G54&amp;"")</f>
        <v/>
      </c>
      <c r="F54" s="14"/>
      <c r="G54" s="14"/>
      <c r="H54" s="14"/>
      <c r="I54" s="14"/>
      <c r="J54" s="13"/>
      <c r="K54" s="13"/>
    </row>
    <row r="55" customFormat="false" ht="15" hidden="false" customHeight="false" outlineLevel="0" collapsed="false">
      <c r="A55" s="11" t="str">
        <f aca="false">Apontamentos!C55</f>
        <v/>
      </c>
      <c r="B55" s="11" t="str">
        <f aca="false">IF(Apontamentos!$C55="","",Apontamentos!D55&amp;"")</f>
        <v/>
      </c>
      <c r="C55" s="11" t="str">
        <f aca="false">IF(Apontamentos!$C55="","",Apontamentos!E55&amp;"")</f>
        <v/>
      </c>
      <c r="D55" s="10" t="str">
        <f aca="false">IF(Apontamentos!$C55="","",Apontamentos!F55&amp;"")</f>
        <v/>
      </c>
      <c r="E55" s="10" t="str">
        <f aca="false">IF(Apontamentos!$C55="","",Apontamentos!G55&amp;"")</f>
        <v/>
      </c>
      <c r="F55" s="14"/>
      <c r="G55" s="14"/>
      <c r="H55" s="14"/>
      <c r="I55" s="14"/>
      <c r="J55" s="13"/>
      <c r="K55" s="13"/>
    </row>
    <row r="56" customFormat="false" ht="15" hidden="false" customHeight="false" outlineLevel="0" collapsed="false">
      <c r="A56" s="11" t="str">
        <f aca="false">Apontamentos!C56</f>
        <v/>
      </c>
      <c r="B56" s="11" t="str">
        <f aca="false">IF(Apontamentos!$C56="","",Apontamentos!D56&amp;"")</f>
        <v/>
      </c>
      <c r="C56" s="11" t="str">
        <f aca="false">IF(Apontamentos!$C56="","",Apontamentos!E56&amp;"")</f>
        <v/>
      </c>
      <c r="D56" s="10" t="str">
        <f aca="false">IF(Apontamentos!$C56="","",Apontamentos!F56&amp;"")</f>
        <v/>
      </c>
      <c r="E56" s="10" t="str">
        <f aca="false">IF(Apontamentos!$C56="","",Apontamentos!G56&amp;"")</f>
        <v/>
      </c>
      <c r="F56" s="14"/>
      <c r="G56" s="14"/>
      <c r="H56" s="14"/>
      <c r="I56" s="14"/>
      <c r="J56" s="13"/>
      <c r="K56" s="13"/>
    </row>
    <row r="57" customFormat="false" ht="15" hidden="false" customHeight="false" outlineLevel="0" collapsed="false">
      <c r="A57" s="11" t="str">
        <f aca="false">Apontamentos!C57</f>
        <v/>
      </c>
      <c r="B57" s="11" t="str">
        <f aca="false">IF(Apontamentos!$C57="","",Apontamentos!D57&amp;"")</f>
        <v/>
      </c>
      <c r="C57" s="11" t="str">
        <f aca="false">IF(Apontamentos!$C57="","",Apontamentos!E57&amp;"")</f>
        <v/>
      </c>
      <c r="D57" s="10" t="str">
        <f aca="false">IF(Apontamentos!$C57="","",Apontamentos!F57&amp;"")</f>
        <v/>
      </c>
      <c r="E57" s="10" t="str">
        <f aca="false">IF(Apontamentos!$C57="","",Apontamentos!G57&amp;"")</f>
        <v/>
      </c>
      <c r="F57" s="14"/>
      <c r="G57" s="14"/>
      <c r="H57" s="14"/>
      <c r="I57" s="14"/>
      <c r="J57" s="13"/>
      <c r="K57" s="13"/>
    </row>
    <row r="58" customFormat="false" ht="15" hidden="false" customHeight="false" outlineLevel="0" collapsed="false">
      <c r="A58" s="11" t="str">
        <f aca="false">Apontamentos!C58</f>
        <v/>
      </c>
      <c r="B58" s="11" t="str">
        <f aca="false">IF(Apontamentos!$C58="","",Apontamentos!D58&amp;"")</f>
        <v/>
      </c>
      <c r="C58" s="11" t="str">
        <f aca="false">IF(Apontamentos!$C58="","",Apontamentos!E58&amp;"")</f>
        <v/>
      </c>
      <c r="D58" s="10" t="str">
        <f aca="false">IF(Apontamentos!$C58="","",Apontamentos!F58&amp;"")</f>
        <v/>
      </c>
      <c r="E58" s="10" t="str">
        <f aca="false">IF(Apontamentos!$C58="","",Apontamentos!G58&amp;"")</f>
        <v/>
      </c>
      <c r="F58" s="14"/>
      <c r="G58" s="14"/>
      <c r="H58" s="14"/>
      <c r="I58" s="14"/>
      <c r="J58" s="13"/>
      <c r="K58" s="13"/>
    </row>
    <row r="59" customFormat="false" ht="15" hidden="false" customHeight="false" outlineLevel="0" collapsed="false">
      <c r="A59" s="11" t="str">
        <f aca="false">Apontamentos!C59</f>
        <v/>
      </c>
      <c r="B59" s="11" t="str">
        <f aca="false">IF(Apontamentos!$C59="","",Apontamentos!D59&amp;"")</f>
        <v/>
      </c>
      <c r="C59" s="11" t="str">
        <f aca="false">IF(Apontamentos!$C59="","",Apontamentos!E59&amp;"")</f>
        <v/>
      </c>
      <c r="D59" s="10" t="str">
        <f aca="false">IF(Apontamentos!$C59="","",Apontamentos!F59&amp;"")</f>
        <v/>
      </c>
      <c r="E59" s="10" t="str">
        <f aca="false">IF(Apontamentos!$C59="","",Apontamentos!G59&amp;"")</f>
        <v/>
      </c>
      <c r="F59" s="14"/>
      <c r="G59" s="14"/>
      <c r="H59" s="14"/>
      <c r="I59" s="14"/>
      <c r="J59" s="13"/>
      <c r="K59" s="13"/>
    </row>
    <row r="60" customFormat="false" ht="15" hidden="false" customHeight="false" outlineLevel="0" collapsed="false">
      <c r="A60" s="11" t="str">
        <f aca="false">Apontamentos!C60</f>
        <v/>
      </c>
      <c r="B60" s="11" t="str">
        <f aca="false">IF(Apontamentos!$C60="","",Apontamentos!D60&amp;"")</f>
        <v/>
      </c>
      <c r="C60" s="11" t="str">
        <f aca="false">IF(Apontamentos!$C60="","",Apontamentos!E60&amp;"")</f>
        <v/>
      </c>
      <c r="D60" s="10" t="str">
        <f aca="false">IF(Apontamentos!$C60="","",Apontamentos!F60&amp;"")</f>
        <v/>
      </c>
      <c r="E60" s="10" t="str">
        <f aca="false">IF(Apontamentos!$C60="","",Apontamentos!G60&amp;"")</f>
        <v/>
      </c>
      <c r="F60" s="14"/>
      <c r="G60" s="14"/>
      <c r="H60" s="14"/>
      <c r="I60" s="14"/>
      <c r="J60" s="13"/>
      <c r="K60" s="13"/>
    </row>
    <row r="61" customFormat="false" ht="15" hidden="false" customHeight="false" outlineLevel="0" collapsed="false">
      <c r="A61" s="11" t="str">
        <f aca="false">Apontamentos!C61</f>
        <v/>
      </c>
      <c r="B61" s="11" t="str">
        <f aca="false">IF(Apontamentos!$C61="","",Apontamentos!D61&amp;"")</f>
        <v/>
      </c>
      <c r="C61" s="11" t="str">
        <f aca="false">IF(Apontamentos!$C61="","",Apontamentos!E61&amp;"")</f>
        <v/>
      </c>
      <c r="D61" s="10" t="str">
        <f aca="false">IF(Apontamentos!$C61="","",Apontamentos!F61&amp;"")</f>
        <v/>
      </c>
      <c r="E61" s="10" t="str">
        <f aca="false">IF(Apontamentos!$C61="","",Apontamentos!G61&amp;"")</f>
        <v/>
      </c>
      <c r="F61" s="14"/>
      <c r="G61" s="14"/>
      <c r="H61" s="14"/>
      <c r="I61" s="14"/>
      <c r="J61" s="13"/>
      <c r="K61" s="13"/>
    </row>
    <row r="62" customFormat="false" ht="15" hidden="false" customHeight="false" outlineLevel="0" collapsed="false">
      <c r="A62" s="11" t="str">
        <f aca="false">Apontamentos!C62</f>
        <v/>
      </c>
      <c r="B62" s="11" t="str">
        <f aca="false">IF(Apontamentos!$C62="","",Apontamentos!D62&amp;"")</f>
        <v/>
      </c>
      <c r="C62" s="11" t="str">
        <f aca="false">IF(Apontamentos!$C62="","",Apontamentos!E62&amp;"")</f>
        <v/>
      </c>
      <c r="D62" s="10" t="str">
        <f aca="false">IF(Apontamentos!$C62="","",Apontamentos!F62&amp;"")</f>
        <v/>
      </c>
      <c r="E62" s="10" t="str">
        <f aca="false">IF(Apontamentos!$C62="","",Apontamentos!G62&amp;"")</f>
        <v/>
      </c>
      <c r="F62" s="14"/>
      <c r="G62" s="14"/>
      <c r="H62" s="14"/>
      <c r="I62" s="14"/>
      <c r="J62" s="13"/>
      <c r="K62" s="13"/>
    </row>
    <row r="63" customFormat="false" ht="15" hidden="false" customHeight="false" outlineLevel="0" collapsed="false">
      <c r="A63" s="11" t="str">
        <f aca="false">Apontamentos!C63</f>
        <v/>
      </c>
      <c r="B63" s="11" t="str">
        <f aca="false">IF(Apontamentos!$C63="","",Apontamentos!D63&amp;"")</f>
        <v/>
      </c>
      <c r="C63" s="11" t="str">
        <f aca="false">IF(Apontamentos!$C63="","",Apontamentos!E63&amp;"")</f>
        <v/>
      </c>
      <c r="D63" s="10" t="str">
        <f aca="false">IF(Apontamentos!$C63="","",Apontamentos!F63&amp;"")</f>
        <v/>
      </c>
      <c r="E63" s="10" t="str">
        <f aca="false">IF(Apontamentos!$C63="","",Apontamentos!G63&amp;"")</f>
        <v/>
      </c>
      <c r="F63" s="14"/>
      <c r="G63" s="14"/>
      <c r="H63" s="14"/>
      <c r="I63" s="14"/>
      <c r="J63" s="13"/>
      <c r="K63" s="13"/>
    </row>
    <row r="64" customFormat="false" ht="15" hidden="false" customHeight="false" outlineLevel="0" collapsed="false">
      <c r="A64" s="11" t="str">
        <f aca="false">Apontamentos!C64</f>
        <v/>
      </c>
      <c r="B64" s="11" t="str">
        <f aca="false">IF(Apontamentos!$C64="","",Apontamentos!D64&amp;"")</f>
        <v/>
      </c>
      <c r="C64" s="11" t="str">
        <f aca="false">IF(Apontamentos!$C64="","",Apontamentos!E64&amp;"")</f>
        <v/>
      </c>
      <c r="D64" s="10" t="str">
        <f aca="false">IF(Apontamentos!$C64="","",Apontamentos!F64&amp;"")</f>
        <v/>
      </c>
      <c r="E64" s="10" t="str">
        <f aca="false">IF(Apontamentos!$C64="","",Apontamentos!G64&amp;"")</f>
        <v/>
      </c>
      <c r="F64" s="14"/>
      <c r="G64" s="14"/>
      <c r="H64" s="14"/>
      <c r="I64" s="14"/>
      <c r="J64" s="13"/>
      <c r="K64" s="13"/>
    </row>
    <row r="65" customFormat="false" ht="15" hidden="false" customHeight="false" outlineLevel="0" collapsed="false">
      <c r="A65" s="11" t="str">
        <f aca="false">Apontamentos!C65</f>
        <v/>
      </c>
      <c r="B65" s="11" t="str">
        <f aca="false">IF(Apontamentos!$C65="","",Apontamentos!D65&amp;"")</f>
        <v/>
      </c>
      <c r="C65" s="11" t="str">
        <f aca="false">IF(Apontamentos!$C65="","",Apontamentos!E65&amp;"")</f>
        <v/>
      </c>
      <c r="D65" s="10" t="str">
        <f aca="false">IF(Apontamentos!$C65="","",Apontamentos!F65&amp;"")</f>
        <v/>
      </c>
      <c r="E65" s="10" t="str">
        <f aca="false">IF(Apontamentos!$C65="","",Apontamentos!G65&amp;"")</f>
        <v/>
      </c>
      <c r="F65" s="14"/>
      <c r="G65" s="14"/>
      <c r="H65" s="14"/>
      <c r="I65" s="14"/>
      <c r="J65" s="13"/>
      <c r="K65" s="13"/>
    </row>
    <row r="66" customFormat="false" ht="15" hidden="false" customHeight="false" outlineLevel="0" collapsed="false">
      <c r="A66" s="11" t="str">
        <f aca="false">Apontamentos!C66</f>
        <v/>
      </c>
      <c r="B66" s="11" t="str">
        <f aca="false">IF(Apontamentos!$C66="","",Apontamentos!D66&amp;"")</f>
        <v/>
      </c>
      <c r="C66" s="11" t="str">
        <f aca="false">IF(Apontamentos!$C66="","",Apontamentos!E66&amp;"")</f>
        <v/>
      </c>
      <c r="D66" s="10" t="str">
        <f aca="false">IF(Apontamentos!$C66="","",Apontamentos!F66&amp;"")</f>
        <v/>
      </c>
      <c r="E66" s="10" t="str">
        <f aca="false">IF(Apontamentos!$C66="","",Apontamentos!G66&amp;"")</f>
        <v/>
      </c>
      <c r="F66" s="14"/>
      <c r="G66" s="14"/>
      <c r="H66" s="14"/>
      <c r="I66" s="14"/>
      <c r="J66" s="13"/>
      <c r="K66" s="13"/>
    </row>
    <row r="67" customFormat="false" ht="15" hidden="false" customHeight="false" outlineLevel="0" collapsed="false">
      <c r="A67" s="11" t="str">
        <f aca="false">Apontamentos!C67</f>
        <v/>
      </c>
      <c r="B67" s="11" t="str">
        <f aca="false">IF(Apontamentos!$C67="","",Apontamentos!D67&amp;"")</f>
        <v/>
      </c>
      <c r="C67" s="11" t="str">
        <f aca="false">IF(Apontamentos!$C67="","",Apontamentos!E67&amp;"")</f>
        <v/>
      </c>
      <c r="D67" s="10" t="str">
        <f aca="false">IF(Apontamentos!$C67="","",Apontamentos!F67&amp;"")</f>
        <v/>
      </c>
      <c r="E67" s="10" t="str">
        <f aca="false">IF(Apontamentos!$C67="","",Apontamentos!G67&amp;"")</f>
        <v/>
      </c>
      <c r="F67" s="14"/>
      <c r="G67" s="14"/>
      <c r="H67" s="14"/>
      <c r="I67" s="14"/>
      <c r="J67" s="13"/>
      <c r="K67" s="13"/>
    </row>
    <row r="68" customFormat="false" ht="15" hidden="false" customHeight="false" outlineLevel="0" collapsed="false">
      <c r="A68" s="11" t="str">
        <f aca="false">Apontamentos!C68</f>
        <v/>
      </c>
      <c r="B68" s="11" t="str">
        <f aca="false">IF(Apontamentos!$C68="","",Apontamentos!D68&amp;"")</f>
        <v/>
      </c>
      <c r="C68" s="11" t="str">
        <f aca="false">IF(Apontamentos!$C68="","",Apontamentos!E68&amp;"")</f>
        <v/>
      </c>
      <c r="D68" s="10" t="str">
        <f aca="false">IF(Apontamentos!$C68="","",Apontamentos!F68&amp;"")</f>
        <v/>
      </c>
      <c r="E68" s="10" t="str">
        <f aca="false">IF(Apontamentos!$C68="","",Apontamentos!G68&amp;"")</f>
        <v/>
      </c>
      <c r="F68" s="14"/>
      <c r="G68" s="14"/>
      <c r="H68" s="14"/>
      <c r="I68" s="14"/>
      <c r="J68" s="13"/>
      <c r="K68" s="13"/>
    </row>
    <row r="69" customFormat="false" ht="15" hidden="false" customHeight="false" outlineLevel="0" collapsed="false">
      <c r="A69" s="11" t="str">
        <f aca="false">Apontamentos!C69</f>
        <v/>
      </c>
      <c r="B69" s="11" t="str">
        <f aca="false">IF(Apontamentos!$C69="","",Apontamentos!D69&amp;"")</f>
        <v/>
      </c>
      <c r="C69" s="11" t="str">
        <f aca="false">IF(Apontamentos!$C69="","",Apontamentos!E69&amp;"")</f>
        <v/>
      </c>
      <c r="D69" s="10" t="str">
        <f aca="false">IF(Apontamentos!$C69="","",Apontamentos!F69&amp;"")</f>
        <v/>
      </c>
      <c r="E69" s="10" t="str">
        <f aca="false">IF(Apontamentos!$C69="","",Apontamentos!G69&amp;"")</f>
        <v/>
      </c>
      <c r="F69" s="14"/>
      <c r="G69" s="14"/>
      <c r="H69" s="14"/>
      <c r="I69" s="14"/>
      <c r="J69" s="13"/>
      <c r="K69" s="13"/>
    </row>
    <row r="70" customFormat="false" ht="15" hidden="false" customHeight="false" outlineLevel="0" collapsed="false">
      <c r="A70" s="11" t="str">
        <f aca="false">Apontamentos!C70</f>
        <v/>
      </c>
      <c r="B70" s="11" t="str">
        <f aca="false">IF(Apontamentos!$C70="","",Apontamentos!D70&amp;"")</f>
        <v/>
      </c>
      <c r="C70" s="11" t="str">
        <f aca="false">IF(Apontamentos!$C70="","",Apontamentos!E70&amp;"")</f>
        <v/>
      </c>
      <c r="D70" s="10" t="str">
        <f aca="false">IF(Apontamentos!$C70="","",Apontamentos!F70&amp;"")</f>
        <v/>
      </c>
      <c r="E70" s="10" t="str">
        <f aca="false">IF(Apontamentos!$C70="","",Apontamentos!G70&amp;"")</f>
        <v/>
      </c>
      <c r="F70" s="14"/>
      <c r="G70" s="14"/>
      <c r="H70" s="14"/>
      <c r="I70" s="14"/>
      <c r="J70" s="13"/>
      <c r="K70" s="13"/>
    </row>
    <row r="71" customFormat="false" ht="15" hidden="false" customHeight="false" outlineLevel="0" collapsed="false">
      <c r="A71" s="11" t="str">
        <f aca="false">Apontamentos!C71</f>
        <v/>
      </c>
      <c r="B71" s="11" t="str">
        <f aca="false">IF(Apontamentos!$C71="","",Apontamentos!D71&amp;"")</f>
        <v/>
      </c>
      <c r="C71" s="11" t="str">
        <f aca="false">IF(Apontamentos!$C71="","",Apontamentos!E71&amp;"")</f>
        <v/>
      </c>
      <c r="D71" s="10" t="str">
        <f aca="false">IF(Apontamentos!$C71="","",Apontamentos!F71&amp;"")</f>
        <v/>
      </c>
      <c r="E71" s="10" t="str">
        <f aca="false">IF(Apontamentos!$C71="","",Apontamentos!G71&amp;"")</f>
        <v/>
      </c>
      <c r="F71" s="14"/>
      <c r="G71" s="14"/>
      <c r="H71" s="14"/>
      <c r="I71" s="14"/>
      <c r="J71" s="13"/>
      <c r="K71" s="13"/>
    </row>
    <row r="72" customFormat="false" ht="15" hidden="false" customHeight="false" outlineLevel="0" collapsed="false">
      <c r="A72" s="11" t="str">
        <f aca="false">Apontamentos!C72</f>
        <v/>
      </c>
      <c r="B72" s="11" t="str">
        <f aca="false">IF(Apontamentos!$C72="","",Apontamentos!D72&amp;"")</f>
        <v/>
      </c>
      <c r="C72" s="11" t="str">
        <f aca="false">IF(Apontamentos!$C72="","",Apontamentos!E72&amp;"")</f>
        <v/>
      </c>
      <c r="D72" s="10" t="str">
        <f aca="false">IF(Apontamentos!$C72="","",Apontamentos!F72&amp;"")</f>
        <v/>
      </c>
      <c r="E72" s="10" t="str">
        <f aca="false">IF(Apontamentos!$C72="","",Apontamentos!G72&amp;"")</f>
        <v/>
      </c>
      <c r="F72" s="14"/>
      <c r="G72" s="14"/>
      <c r="H72" s="14"/>
      <c r="I72" s="14"/>
      <c r="J72" s="13"/>
      <c r="K72" s="13"/>
    </row>
    <row r="73" customFormat="false" ht="15" hidden="false" customHeight="false" outlineLevel="0" collapsed="false">
      <c r="A73" s="11" t="str">
        <f aca="false">Apontamentos!C73</f>
        <v/>
      </c>
      <c r="B73" s="11" t="str">
        <f aca="false">IF(Apontamentos!$C73="","",Apontamentos!D73&amp;"")</f>
        <v/>
      </c>
      <c r="C73" s="11" t="str">
        <f aca="false">IF(Apontamentos!$C73="","",Apontamentos!E73&amp;"")</f>
        <v/>
      </c>
      <c r="D73" s="10" t="str">
        <f aca="false">IF(Apontamentos!$C73="","",Apontamentos!F73&amp;"")</f>
        <v/>
      </c>
      <c r="E73" s="10" t="str">
        <f aca="false">IF(Apontamentos!$C73="","",Apontamentos!G73&amp;"")</f>
        <v/>
      </c>
      <c r="F73" s="14"/>
      <c r="G73" s="14"/>
      <c r="H73" s="14"/>
      <c r="I73" s="14"/>
      <c r="J73" s="13"/>
      <c r="K73" s="13"/>
    </row>
    <row r="74" customFormat="false" ht="15" hidden="false" customHeight="false" outlineLevel="0" collapsed="false">
      <c r="A74" s="11" t="str">
        <f aca="false">Apontamentos!C74</f>
        <v/>
      </c>
      <c r="B74" s="11" t="str">
        <f aca="false">IF(Apontamentos!$C74="","",Apontamentos!D74&amp;"")</f>
        <v/>
      </c>
      <c r="C74" s="11" t="str">
        <f aca="false">IF(Apontamentos!$C74="","",Apontamentos!E74&amp;"")</f>
        <v/>
      </c>
      <c r="D74" s="10" t="str">
        <f aca="false">IF(Apontamentos!$C74="","",Apontamentos!F74&amp;"")</f>
        <v/>
      </c>
      <c r="E74" s="10" t="str">
        <f aca="false">IF(Apontamentos!$C74="","",Apontamentos!G74&amp;"")</f>
        <v/>
      </c>
      <c r="F74" s="14"/>
      <c r="G74" s="14"/>
      <c r="H74" s="14"/>
      <c r="I74" s="14"/>
      <c r="J74" s="13"/>
      <c r="K74" s="13"/>
    </row>
    <row r="75" customFormat="false" ht="15" hidden="false" customHeight="false" outlineLevel="0" collapsed="false">
      <c r="A75" s="11" t="str">
        <f aca="false">Apontamentos!C75</f>
        <v/>
      </c>
      <c r="B75" s="11" t="str">
        <f aca="false">IF(Apontamentos!$C75="","",Apontamentos!D75&amp;"")</f>
        <v/>
      </c>
      <c r="C75" s="11" t="str">
        <f aca="false">IF(Apontamentos!$C75="","",Apontamentos!E75&amp;"")</f>
        <v/>
      </c>
      <c r="D75" s="10" t="str">
        <f aca="false">IF(Apontamentos!$C75="","",Apontamentos!F75&amp;"")</f>
        <v/>
      </c>
      <c r="E75" s="10" t="str">
        <f aca="false">IF(Apontamentos!$C75="","",Apontamentos!G75&amp;"")</f>
        <v/>
      </c>
      <c r="F75" s="14"/>
      <c r="G75" s="14"/>
      <c r="H75" s="14"/>
      <c r="I75" s="14"/>
      <c r="J75" s="13"/>
      <c r="K75" s="13"/>
    </row>
    <row r="76" customFormat="false" ht="15" hidden="false" customHeight="false" outlineLevel="0" collapsed="false">
      <c r="A76" s="11" t="str">
        <f aca="false">Apontamentos!C76</f>
        <v/>
      </c>
      <c r="B76" s="11" t="str">
        <f aca="false">IF(Apontamentos!$C76="","",Apontamentos!D76&amp;"")</f>
        <v/>
      </c>
      <c r="C76" s="11" t="str">
        <f aca="false">IF(Apontamentos!$C76="","",Apontamentos!E76&amp;"")</f>
        <v/>
      </c>
      <c r="D76" s="10" t="str">
        <f aca="false">IF(Apontamentos!$C76="","",Apontamentos!F76&amp;"")</f>
        <v/>
      </c>
      <c r="E76" s="10" t="str">
        <f aca="false">IF(Apontamentos!$C76="","",Apontamentos!G76&amp;"")</f>
        <v/>
      </c>
      <c r="F76" s="14"/>
      <c r="G76" s="14"/>
      <c r="H76" s="14"/>
      <c r="I76" s="14"/>
      <c r="J76" s="13"/>
      <c r="K76" s="13"/>
    </row>
    <row r="77" customFormat="false" ht="15" hidden="false" customHeight="false" outlineLevel="0" collapsed="false">
      <c r="A77" s="11" t="str">
        <f aca="false">Apontamentos!C77</f>
        <v/>
      </c>
      <c r="B77" s="11" t="str">
        <f aca="false">IF(Apontamentos!$C77="","",Apontamentos!D77&amp;"")</f>
        <v/>
      </c>
      <c r="C77" s="11" t="str">
        <f aca="false">IF(Apontamentos!$C77="","",Apontamentos!E77&amp;"")</f>
        <v/>
      </c>
      <c r="D77" s="10" t="str">
        <f aca="false">IF(Apontamentos!$C77="","",Apontamentos!F77&amp;"")</f>
        <v/>
      </c>
      <c r="E77" s="10" t="str">
        <f aca="false">IF(Apontamentos!$C77="","",Apontamentos!G77&amp;"")</f>
        <v/>
      </c>
      <c r="F77" s="14"/>
      <c r="G77" s="14"/>
      <c r="H77" s="14"/>
      <c r="I77" s="14"/>
      <c r="J77" s="13"/>
      <c r="K77" s="13"/>
    </row>
    <row r="78" customFormat="false" ht="15" hidden="false" customHeight="false" outlineLevel="0" collapsed="false">
      <c r="A78" s="11" t="str">
        <f aca="false">Apontamentos!C78</f>
        <v/>
      </c>
      <c r="B78" s="11" t="str">
        <f aca="false">IF(Apontamentos!$C78="","",Apontamentos!D78&amp;"")</f>
        <v/>
      </c>
      <c r="C78" s="11" t="str">
        <f aca="false">IF(Apontamentos!$C78="","",Apontamentos!E78&amp;"")</f>
        <v/>
      </c>
      <c r="D78" s="10" t="str">
        <f aca="false">IF(Apontamentos!$C78="","",Apontamentos!F78&amp;"")</f>
        <v/>
      </c>
      <c r="E78" s="10" t="str">
        <f aca="false">IF(Apontamentos!$C78="","",Apontamentos!G78&amp;"")</f>
        <v/>
      </c>
      <c r="F78" s="14"/>
      <c r="G78" s="14"/>
      <c r="H78" s="14"/>
      <c r="I78" s="14"/>
      <c r="J78" s="13"/>
      <c r="K78" s="13"/>
    </row>
    <row r="79" customFormat="false" ht="15" hidden="false" customHeight="false" outlineLevel="0" collapsed="false">
      <c r="A79" s="11" t="str">
        <f aca="false">Apontamentos!C79</f>
        <v/>
      </c>
      <c r="B79" s="11" t="str">
        <f aca="false">IF(Apontamentos!$C79="","",Apontamentos!D79&amp;"")</f>
        <v/>
      </c>
      <c r="C79" s="11" t="str">
        <f aca="false">IF(Apontamentos!$C79="","",Apontamentos!E79&amp;"")</f>
        <v/>
      </c>
      <c r="D79" s="10" t="str">
        <f aca="false">IF(Apontamentos!$C79="","",Apontamentos!F79&amp;"")</f>
        <v/>
      </c>
      <c r="E79" s="10" t="str">
        <f aca="false">IF(Apontamentos!$C79="","",Apontamentos!G79&amp;"")</f>
        <v/>
      </c>
      <c r="F79" s="14"/>
      <c r="G79" s="14"/>
      <c r="H79" s="14"/>
      <c r="I79" s="14"/>
      <c r="J79" s="13"/>
      <c r="K79" s="13"/>
    </row>
    <row r="80" customFormat="false" ht="15" hidden="false" customHeight="false" outlineLevel="0" collapsed="false">
      <c r="A80" s="11" t="str">
        <f aca="false">Apontamentos!C80</f>
        <v/>
      </c>
      <c r="B80" s="11" t="str">
        <f aca="false">IF(Apontamentos!$C80="","",Apontamentos!D80&amp;"")</f>
        <v/>
      </c>
      <c r="C80" s="11" t="str">
        <f aca="false">IF(Apontamentos!$C80="","",Apontamentos!E80&amp;"")</f>
        <v/>
      </c>
      <c r="D80" s="10" t="str">
        <f aca="false">IF(Apontamentos!$C80="","",Apontamentos!F80&amp;"")</f>
        <v/>
      </c>
      <c r="E80" s="10" t="str">
        <f aca="false">IF(Apontamentos!$C80="","",Apontamentos!G80&amp;"")</f>
        <v/>
      </c>
      <c r="F80" s="14"/>
      <c r="G80" s="14"/>
      <c r="H80" s="14"/>
      <c r="I80" s="14"/>
      <c r="J80" s="13"/>
      <c r="K80" s="13"/>
    </row>
    <row r="81" customFormat="false" ht="15" hidden="false" customHeight="false" outlineLevel="0" collapsed="false">
      <c r="A81" s="11" t="str">
        <f aca="false">Apontamentos!C81</f>
        <v/>
      </c>
      <c r="B81" s="11" t="str">
        <f aca="false">IF(Apontamentos!$C81="","",Apontamentos!D81&amp;"")</f>
        <v/>
      </c>
      <c r="C81" s="11" t="str">
        <f aca="false">IF(Apontamentos!$C81="","",Apontamentos!E81&amp;"")</f>
        <v/>
      </c>
      <c r="D81" s="10" t="str">
        <f aca="false">IF(Apontamentos!$C81="","",Apontamentos!F81&amp;"")</f>
        <v/>
      </c>
      <c r="E81" s="10" t="str">
        <f aca="false">IF(Apontamentos!$C81="","",Apontamentos!G81&amp;"")</f>
        <v/>
      </c>
      <c r="F81" s="14"/>
      <c r="G81" s="14"/>
      <c r="H81" s="14"/>
      <c r="I81" s="14"/>
      <c r="J81" s="13"/>
      <c r="K81" s="13"/>
    </row>
    <row r="82" customFormat="false" ht="15" hidden="false" customHeight="false" outlineLevel="0" collapsed="false">
      <c r="A82" s="11" t="str">
        <f aca="false">Apontamentos!C82</f>
        <v/>
      </c>
      <c r="B82" s="11" t="str">
        <f aca="false">IF(Apontamentos!$C82="","",Apontamentos!D82&amp;"")</f>
        <v/>
      </c>
      <c r="C82" s="11" t="str">
        <f aca="false">IF(Apontamentos!$C82="","",Apontamentos!E82&amp;"")</f>
        <v/>
      </c>
      <c r="D82" s="10" t="str">
        <f aca="false">IF(Apontamentos!$C82="","",Apontamentos!F82&amp;"")</f>
        <v/>
      </c>
      <c r="E82" s="10" t="str">
        <f aca="false">IF(Apontamentos!$C82="","",Apontamentos!G82&amp;"")</f>
        <v/>
      </c>
      <c r="F82" s="14"/>
      <c r="G82" s="14"/>
      <c r="H82" s="14"/>
      <c r="I82" s="14"/>
      <c r="J82" s="13"/>
      <c r="K82" s="13"/>
    </row>
    <row r="83" customFormat="false" ht="15" hidden="false" customHeight="false" outlineLevel="0" collapsed="false">
      <c r="A83" s="11" t="str">
        <f aca="false">Apontamentos!C83</f>
        <v/>
      </c>
      <c r="B83" s="11" t="str">
        <f aca="false">IF(Apontamentos!$C83="","",Apontamentos!D83&amp;"")</f>
        <v/>
      </c>
      <c r="C83" s="11" t="str">
        <f aca="false">IF(Apontamentos!$C83="","",Apontamentos!E83&amp;"")</f>
        <v/>
      </c>
      <c r="D83" s="10" t="str">
        <f aca="false">IF(Apontamentos!$C83="","",Apontamentos!F83&amp;"")</f>
        <v/>
      </c>
      <c r="E83" s="10" t="str">
        <f aca="false">IF(Apontamentos!$C83="","",Apontamentos!G83&amp;"")</f>
        <v/>
      </c>
      <c r="F83" s="14"/>
      <c r="G83" s="14"/>
      <c r="H83" s="14"/>
      <c r="I83" s="14"/>
      <c r="J83" s="13"/>
      <c r="K83" s="13"/>
    </row>
    <row r="84" customFormat="false" ht="15" hidden="false" customHeight="false" outlineLevel="0" collapsed="false">
      <c r="A84" s="11" t="str">
        <f aca="false">Apontamentos!C84</f>
        <v/>
      </c>
      <c r="B84" s="11" t="str">
        <f aca="false">IF(Apontamentos!$C84="","",Apontamentos!D84&amp;"")</f>
        <v/>
      </c>
      <c r="C84" s="11" t="str">
        <f aca="false">IF(Apontamentos!$C84="","",Apontamentos!E84&amp;"")</f>
        <v/>
      </c>
      <c r="D84" s="10" t="str">
        <f aca="false">IF(Apontamentos!$C84="","",Apontamentos!F84&amp;"")</f>
        <v/>
      </c>
      <c r="E84" s="10" t="str">
        <f aca="false">IF(Apontamentos!$C84="","",Apontamentos!G84&amp;"")</f>
        <v/>
      </c>
      <c r="F84" s="14"/>
      <c r="G84" s="14"/>
      <c r="H84" s="14"/>
      <c r="I84" s="14"/>
      <c r="J84" s="13"/>
      <c r="K84" s="13"/>
    </row>
    <row r="85" customFormat="false" ht="15" hidden="false" customHeight="false" outlineLevel="0" collapsed="false">
      <c r="A85" s="11" t="str">
        <f aca="false">Apontamentos!C85</f>
        <v/>
      </c>
      <c r="B85" s="11" t="str">
        <f aca="false">IF(Apontamentos!$C85="","",Apontamentos!D85&amp;"")</f>
        <v/>
      </c>
      <c r="C85" s="11" t="str">
        <f aca="false">IF(Apontamentos!$C85="","",Apontamentos!E85&amp;"")</f>
        <v/>
      </c>
      <c r="D85" s="10" t="str">
        <f aca="false">IF(Apontamentos!$C85="","",Apontamentos!F85&amp;"")</f>
        <v/>
      </c>
      <c r="E85" s="10" t="str">
        <f aca="false">IF(Apontamentos!$C85="","",Apontamentos!G85&amp;"")</f>
        <v/>
      </c>
      <c r="F85" s="14"/>
      <c r="G85" s="14"/>
      <c r="H85" s="14"/>
      <c r="I85" s="14"/>
      <c r="J85" s="13"/>
      <c r="K85" s="13"/>
    </row>
    <row r="86" customFormat="false" ht="15" hidden="false" customHeight="false" outlineLevel="0" collapsed="false">
      <c r="A86" s="11" t="str">
        <f aca="false">Apontamentos!C86</f>
        <v/>
      </c>
      <c r="B86" s="11" t="str">
        <f aca="false">IF(Apontamentos!$C86="","",Apontamentos!D86&amp;"")</f>
        <v/>
      </c>
      <c r="C86" s="11" t="str">
        <f aca="false">IF(Apontamentos!$C86="","",Apontamentos!E86&amp;"")</f>
        <v/>
      </c>
      <c r="D86" s="10" t="str">
        <f aca="false">IF(Apontamentos!$C86="","",Apontamentos!F86&amp;"")</f>
        <v/>
      </c>
      <c r="E86" s="10" t="str">
        <f aca="false">IF(Apontamentos!$C86="","",Apontamentos!G86&amp;"")</f>
        <v/>
      </c>
      <c r="F86" s="14"/>
      <c r="G86" s="14"/>
      <c r="H86" s="14"/>
      <c r="I86" s="14"/>
      <c r="J86" s="13"/>
      <c r="K86" s="13"/>
    </row>
    <row r="87" customFormat="false" ht="15" hidden="false" customHeight="false" outlineLevel="0" collapsed="false">
      <c r="A87" s="11" t="str">
        <f aca="false">Apontamentos!C87</f>
        <v/>
      </c>
      <c r="B87" s="11" t="str">
        <f aca="false">IF(Apontamentos!$C87="","",Apontamentos!D87&amp;"")</f>
        <v/>
      </c>
      <c r="C87" s="11" t="str">
        <f aca="false">IF(Apontamentos!$C87="","",Apontamentos!E87&amp;"")</f>
        <v/>
      </c>
      <c r="D87" s="10" t="str">
        <f aca="false">IF(Apontamentos!$C87="","",Apontamentos!F87&amp;"")</f>
        <v/>
      </c>
      <c r="E87" s="10" t="str">
        <f aca="false">IF(Apontamentos!$C87="","",Apontamentos!G87&amp;"")</f>
        <v/>
      </c>
      <c r="F87" s="14"/>
      <c r="G87" s="14"/>
      <c r="H87" s="14"/>
      <c r="I87" s="14"/>
      <c r="J87" s="13"/>
      <c r="K87" s="13"/>
    </row>
    <row r="88" customFormat="false" ht="15" hidden="false" customHeight="false" outlineLevel="0" collapsed="false">
      <c r="A88" s="11" t="str">
        <f aca="false">Apontamentos!C88</f>
        <v/>
      </c>
      <c r="B88" s="11" t="str">
        <f aca="false">IF(Apontamentos!$C88="","",Apontamentos!D88&amp;"")</f>
        <v/>
      </c>
      <c r="C88" s="11" t="str">
        <f aca="false">IF(Apontamentos!$C88="","",Apontamentos!E88&amp;"")</f>
        <v/>
      </c>
      <c r="D88" s="10" t="str">
        <f aca="false">IF(Apontamentos!$C88="","",Apontamentos!F88&amp;"")</f>
        <v/>
      </c>
      <c r="E88" s="10" t="str">
        <f aca="false">IF(Apontamentos!$C88="","",Apontamentos!G88&amp;"")</f>
        <v/>
      </c>
      <c r="F88" s="14"/>
      <c r="G88" s="14"/>
      <c r="H88" s="14"/>
      <c r="I88" s="14"/>
      <c r="J88" s="13"/>
      <c r="K88" s="13"/>
    </row>
    <row r="89" customFormat="false" ht="15" hidden="false" customHeight="false" outlineLevel="0" collapsed="false">
      <c r="A89" s="11" t="str">
        <f aca="false">Apontamentos!C89</f>
        <v/>
      </c>
      <c r="B89" s="11" t="str">
        <f aca="false">IF(Apontamentos!$C89="","",Apontamentos!D89&amp;"")</f>
        <v/>
      </c>
      <c r="C89" s="11" t="str">
        <f aca="false">IF(Apontamentos!$C89="","",Apontamentos!E89&amp;"")</f>
        <v/>
      </c>
      <c r="D89" s="10" t="str">
        <f aca="false">IF(Apontamentos!$C89="","",Apontamentos!F89&amp;"")</f>
        <v/>
      </c>
      <c r="E89" s="10" t="str">
        <f aca="false">IF(Apontamentos!$C89="","",Apontamentos!G89&amp;"")</f>
        <v/>
      </c>
      <c r="F89" s="14"/>
      <c r="G89" s="14"/>
      <c r="H89" s="14"/>
      <c r="I89" s="14"/>
      <c r="J89" s="13"/>
      <c r="K89" s="13"/>
    </row>
    <row r="90" customFormat="false" ht="15" hidden="false" customHeight="false" outlineLevel="0" collapsed="false">
      <c r="A90" s="11" t="str">
        <f aca="false">Apontamentos!C90</f>
        <v/>
      </c>
      <c r="B90" s="11" t="str">
        <f aca="false">IF(Apontamentos!$C90="","",Apontamentos!D90&amp;"")</f>
        <v/>
      </c>
      <c r="C90" s="11" t="str">
        <f aca="false">IF(Apontamentos!$C90="","",Apontamentos!E90&amp;"")</f>
        <v/>
      </c>
      <c r="D90" s="10" t="str">
        <f aca="false">IF(Apontamentos!$C90="","",Apontamentos!F90&amp;"")</f>
        <v/>
      </c>
      <c r="E90" s="10" t="str">
        <f aca="false">IF(Apontamentos!$C90="","",Apontamentos!G90&amp;"")</f>
        <v/>
      </c>
      <c r="F90" s="14"/>
      <c r="G90" s="14"/>
      <c r="H90" s="14"/>
      <c r="I90" s="14"/>
      <c r="J90" s="13"/>
      <c r="K90" s="13"/>
    </row>
    <row r="91" customFormat="false" ht="15" hidden="false" customHeight="false" outlineLevel="0" collapsed="false">
      <c r="A91" s="11" t="str">
        <f aca="false">Apontamentos!C91</f>
        <v/>
      </c>
      <c r="B91" s="11" t="str">
        <f aca="false">IF(Apontamentos!$C91="","",Apontamentos!D91&amp;"")</f>
        <v/>
      </c>
      <c r="C91" s="11" t="str">
        <f aca="false">IF(Apontamentos!$C91="","",Apontamentos!E91&amp;"")</f>
        <v/>
      </c>
      <c r="D91" s="10" t="str">
        <f aca="false">IF(Apontamentos!$C91="","",Apontamentos!F91&amp;"")</f>
        <v/>
      </c>
      <c r="E91" s="10" t="str">
        <f aca="false">IF(Apontamentos!$C91="","",Apontamentos!G91&amp;"")</f>
        <v/>
      </c>
      <c r="F91" s="14"/>
      <c r="G91" s="14"/>
      <c r="H91" s="14"/>
      <c r="I91" s="14"/>
      <c r="J91" s="13"/>
      <c r="K91" s="13"/>
    </row>
    <row r="92" customFormat="false" ht="15" hidden="false" customHeight="false" outlineLevel="0" collapsed="false">
      <c r="A92" s="11" t="str">
        <f aca="false">Apontamentos!C92</f>
        <v/>
      </c>
      <c r="B92" s="11" t="str">
        <f aca="false">IF(Apontamentos!$C92="","",Apontamentos!D92&amp;"")</f>
        <v/>
      </c>
      <c r="C92" s="11" t="str">
        <f aca="false">IF(Apontamentos!$C92="","",Apontamentos!E92&amp;"")</f>
        <v/>
      </c>
      <c r="D92" s="10" t="str">
        <f aca="false">IF(Apontamentos!$C92="","",Apontamentos!F92&amp;"")</f>
        <v/>
      </c>
      <c r="E92" s="10" t="str">
        <f aca="false">IF(Apontamentos!$C92="","",Apontamentos!G92&amp;"")</f>
        <v/>
      </c>
      <c r="F92" s="14"/>
      <c r="G92" s="14"/>
      <c r="H92" s="14"/>
      <c r="I92" s="14"/>
      <c r="J92" s="13"/>
      <c r="K92" s="13"/>
    </row>
    <row r="93" customFormat="false" ht="15" hidden="false" customHeight="false" outlineLevel="0" collapsed="false">
      <c r="A93" s="11" t="str">
        <f aca="false">Apontamentos!C93</f>
        <v/>
      </c>
      <c r="B93" s="11" t="str">
        <f aca="false">IF(Apontamentos!$C93="","",Apontamentos!D93&amp;"")</f>
        <v/>
      </c>
      <c r="C93" s="11" t="str">
        <f aca="false">IF(Apontamentos!$C93="","",Apontamentos!E93&amp;"")</f>
        <v/>
      </c>
      <c r="D93" s="10" t="str">
        <f aca="false">IF(Apontamentos!$C93="","",Apontamentos!F93&amp;"")</f>
        <v/>
      </c>
      <c r="E93" s="10" t="str">
        <f aca="false">IF(Apontamentos!$C93="","",Apontamentos!G93&amp;"")</f>
        <v/>
      </c>
      <c r="F93" s="14"/>
      <c r="G93" s="14"/>
      <c r="H93" s="14"/>
      <c r="I93" s="14"/>
      <c r="J93" s="13"/>
      <c r="K93" s="13"/>
    </row>
    <row r="94" customFormat="false" ht="15" hidden="false" customHeight="false" outlineLevel="0" collapsed="false">
      <c r="A94" s="11" t="str">
        <f aca="false">Apontamentos!C94</f>
        <v/>
      </c>
      <c r="B94" s="11" t="str">
        <f aca="false">IF(Apontamentos!$C94="","",Apontamentos!D94&amp;"")</f>
        <v/>
      </c>
      <c r="C94" s="11" t="str">
        <f aca="false">IF(Apontamentos!$C94="","",Apontamentos!E94&amp;"")</f>
        <v/>
      </c>
      <c r="D94" s="10" t="str">
        <f aca="false">IF(Apontamentos!$C94="","",Apontamentos!F94&amp;"")</f>
        <v/>
      </c>
      <c r="E94" s="10" t="str">
        <f aca="false">IF(Apontamentos!$C94="","",Apontamentos!G94&amp;"")</f>
        <v/>
      </c>
      <c r="F94" s="14"/>
      <c r="G94" s="14"/>
      <c r="H94" s="14"/>
      <c r="I94" s="14"/>
      <c r="J94" s="13"/>
      <c r="K94" s="13"/>
    </row>
    <row r="95" customFormat="false" ht="15" hidden="false" customHeight="false" outlineLevel="0" collapsed="false">
      <c r="A95" s="11" t="str">
        <f aca="false">Apontamentos!C95</f>
        <v/>
      </c>
      <c r="B95" s="11" t="str">
        <f aca="false">IF(Apontamentos!$C95="","",Apontamentos!D95&amp;"")</f>
        <v/>
      </c>
      <c r="C95" s="11" t="str">
        <f aca="false">IF(Apontamentos!$C95="","",Apontamentos!E95&amp;"")</f>
        <v/>
      </c>
      <c r="D95" s="10" t="str">
        <f aca="false">IF(Apontamentos!$C95="","",Apontamentos!F95&amp;"")</f>
        <v/>
      </c>
      <c r="E95" s="10" t="str">
        <f aca="false">IF(Apontamentos!$C95="","",Apontamentos!G95&amp;"")</f>
        <v/>
      </c>
      <c r="F95" s="14"/>
      <c r="G95" s="14"/>
      <c r="H95" s="14"/>
      <c r="I95" s="14"/>
      <c r="J95" s="13"/>
      <c r="K95" s="13"/>
    </row>
    <row r="96" customFormat="false" ht="15" hidden="false" customHeight="false" outlineLevel="0" collapsed="false">
      <c r="A96" s="11" t="str">
        <f aca="false">Apontamentos!C96</f>
        <v/>
      </c>
      <c r="B96" s="11" t="str">
        <f aca="false">IF(Apontamentos!$C96="","",Apontamentos!D96&amp;"")</f>
        <v/>
      </c>
      <c r="C96" s="11" t="str">
        <f aca="false">IF(Apontamentos!$C96="","",Apontamentos!E96&amp;"")</f>
        <v/>
      </c>
      <c r="D96" s="10" t="str">
        <f aca="false">IF(Apontamentos!$C96="","",Apontamentos!F96&amp;"")</f>
        <v/>
      </c>
      <c r="E96" s="10" t="str">
        <f aca="false">IF(Apontamentos!$C96="","",Apontamentos!G96&amp;"")</f>
        <v/>
      </c>
      <c r="F96" s="14"/>
      <c r="G96" s="14"/>
      <c r="H96" s="14"/>
      <c r="I96" s="14"/>
      <c r="J96" s="13"/>
      <c r="K96" s="13"/>
    </row>
    <row r="97" customFormat="false" ht="15" hidden="false" customHeight="false" outlineLevel="0" collapsed="false">
      <c r="A97" s="11" t="str">
        <f aca="false">Apontamentos!C97</f>
        <v/>
      </c>
      <c r="B97" s="11" t="str">
        <f aca="false">IF(Apontamentos!$C97="","",Apontamentos!D97&amp;"")</f>
        <v/>
      </c>
      <c r="C97" s="11" t="str">
        <f aca="false">IF(Apontamentos!$C97="","",Apontamentos!E97&amp;"")</f>
        <v/>
      </c>
      <c r="D97" s="10" t="str">
        <f aca="false">IF(Apontamentos!$C97="","",Apontamentos!F97&amp;"")</f>
        <v/>
      </c>
      <c r="E97" s="10" t="str">
        <f aca="false">IF(Apontamentos!$C97="","",Apontamentos!G97&amp;"")</f>
        <v/>
      </c>
      <c r="F97" s="14"/>
      <c r="G97" s="14"/>
      <c r="H97" s="14"/>
      <c r="I97" s="14"/>
      <c r="J97" s="13"/>
      <c r="K97" s="13"/>
    </row>
    <row r="98" customFormat="false" ht="15" hidden="false" customHeight="false" outlineLevel="0" collapsed="false">
      <c r="A98" s="11" t="str">
        <f aca="false">Apontamentos!C98</f>
        <v/>
      </c>
      <c r="B98" s="11" t="str">
        <f aca="false">IF(Apontamentos!$C98="","",Apontamentos!D98&amp;"")</f>
        <v/>
      </c>
      <c r="C98" s="11" t="str">
        <f aca="false">IF(Apontamentos!$C98="","",Apontamentos!E98&amp;"")</f>
        <v/>
      </c>
      <c r="D98" s="10" t="str">
        <f aca="false">IF(Apontamentos!$C98="","",Apontamentos!F98&amp;"")</f>
        <v/>
      </c>
      <c r="E98" s="10" t="str">
        <f aca="false">IF(Apontamentos!$C98="","",Apontamentos!G98&amp;"")</f>
        <v/>
      </c>
      <c r="F98" s="14"/>
      <c r="G98" s="14"/>
      <c r="H98" s="14"/>
      <c r="I98" s="14"/>
      <c r="J98" s="13"/>
      <c r="K98" s="13"/>
    </row>
    <row r="99" customFormat="false" ht="15" hidden="false" customHeight="false" outlineLevel="0" collapsed="false">
      <c r="A99" s="11" t="str">
        <f aca="false">Apontamentos!C99</f>
        <v/>
      </c>
      <c r="B99" s="11" t="str">
        <f aca="false">IF(Apontamentos!$C99="","",Apontamentos!D99&amp;"")</f>
        <v/>
      </c>
      <c r="C99" s="11" t="str">
        <f aca="false">IF(Apontamentos!$C99="","",Apontamentos!E99&amp;"")</f>
        <v/>
      </c>
      <c r="D99" s="10" t="str">
        <f aca="false">IF(Apontamentos!$C99="","",Apontamentos!F99&amp;"")</f>
        <v/>
      </c>
      <c r="E99" s="10" t="str">
        <f aca="false">IF(Apontamentos!$C99="","",Apontamentos!G99&amp;"")</f>
        <v/>
      </c>
      <c r="F99" s="14"/>
      <c r="G99" s="14"/>
      <c r="H99" s="14"/>
      <c r="I99" s="14"/>
      <c r="J99" s="13"/>
      <c r="K99" s="13"/>
    </row>
    <row r="100" customFormat="false" ht="15" hidden="false" customHeight="false" outlineLevel="0" collapsed="false">
      <c r="A100" s="11" t="str">
        <f aca="false">Apontamentos!C100</f>
        <v/>
      </c>
      <c r="B100" s="11" t="str">
        <f aca="false">IF(Apontamentos!$C100="","",Apontamentos!D100&amp;"")</f>
        <v/>
      </c>
      <c r="C100" s="11" t="str">
        <f aca="false">IF(Apontamentos!$C100="","",Apontamentos!E100&amp;"")</f>
        <v/>
      </c>
      <c r="D100" s="10" t="str">
        <f aca="false">IF(Apontamentos!$C100="","",Apontamentos!F100&amp;"")</f>
        <v/>
      </c>
      <c r="E100" s="10" t="str">
        <f aca="false">IF(Apontamentos!$C100="","",Apontamentos!G100&amp;"")</f>
        <v/>
      </c>
      <c r="F100" s="14"/>
      <c r="G100" s="14"/>
      <c r="H100" s="14"/>
      <c r="I100" s="14"/>
      <c r="J100" s="13"/>
      <c r="K100" s="13"/>
    </row>
    <row r="101" customFormat="false" ht="15" hidden="false" customHeight="false" outlineLevel="0" collapsed="false">
      <c r="A101" s="11" t="str">
        <f aca="false">Apontamentos!C101</f>
        <v/>
      </c>
      <c r="B101" s="11" t="str">
        <f aca="false">IF(Apontamentos!$C101="","",Apontamentos!D101&amp;"")</f>
        <v/>
      </c>
      <c r="C101" s="11" t="str">
        <f aca="false">IF(Apontamentos!$C101="","",Apontamentos!E101&amp;"")</f>
        <v/>
      </c>
      <c r="D101" s="10" t="str">
        <f aca="false">IF(Apontamentos!$C101="","",Apontamentos!F101&amp;"")</f>
        <v/>
      </c>
      <c r="E101" s="10" t="str">
        <f aca="false">IF(Apontamentos!$C101="","",Apontamentos!G101&amp;"")</f>
        <v/>
      </c>
      <c r="F101" s="14"/>
      <c r="G101" s="14"/>
      <c r="H101" s="14"/>
      <c r="I101" s="14"/>
      <c r="J101" s="13"/>
      <c r="K101" s="13"/>
    </row>
    <row r="102" customFormat="false" ht="15" hidden="false" customHeight="false" outlineLevel="0" collapsed="false">
      <c r="A102" s="11" t="str">
        <f aca="false">Apontamentos!C102</f>
        <v/>
      </c>
      <c r="B102" s="11" t="str">
        <f aca="false">IF(Apontamentos!$C102="","",Apontamentos!D102&amp;"")</f>
        <v/>
      </c>
      <c r="C102" s="11" t="str">
        <f aca="false">IF(Apontamentos!$C102="","",Apontamentos!E102&amp;"")</f>
        <v/>
      </c>
      <c r="D102" s="10" t="str">
        <f aca="false">IF(Apontamentos!$C102="","",Apontamentos!F102&amp;"")</f>
        <v/>
      </c>
      <c r="E102" s="10" t="str">
        <f aca="false">IF(Apontamentos!$C102="","",Apontamentos!G102&amp;"")</f>
        <v/>
      </c>
      <c r="F102" s="14"/>
      <c r="G102" s="14"/>
      <c r="H102" s="14"/>
      <c r="I102" s="14"/>
      <c r="J102" s="13"/>
      <c r="K102" s="13"/>
    </row>
    <row r="103" customFormat="false" ht="15" hidden="false" customHeight="false" outlineLevel="0" collapsed="false">
      <c r="A103" s="11" t="str">
        <f aca="false">Apontamentos!C103</f>
        <v/>
      </c>
      <c r="B103" s="11" t="str">
        <f aca="false">IF(Apontamentos!$C103="","",Apontamentos!D103&amp;"")</f>
        <v/>
      </c>
      <c r="C103" s="11" t="str">
        <f aca="false">IF(Apontamentos!$C103="","",Apontamentos!E103&amp;"")</f>
        <v/>
      </c>
      <c r="D103" s="10" t="str">
        <f aca="false">IF(Apontamentos!$C103="","",Apontamentos!F103&amp;"")</f>
        <v/>
      </c>
      <c r="E103" s="10" t="str">
        <f aca="false">IF(Apontamentos!$C103="","",Apontamentos!G103&amp;"")</f>
        <v/>
      </c>
      <c r="F103" s="14"/>
      <c r="G103" s="14"/>
      <c r="H103" s="14"/>
      <c r="I103" s="14"/>
      <c r="J103" s="13"/>
      <c r="K103" s="13"/>
    </row>
    <row r="104" customFormat="false" ht="15" hidden="false" customHeight="false" outlineLevel="0" collapsed="false">
      <c r="A104" s="11" t="str">
        <f aca="false">Apontamentos!C104</f>
        <v/>
      </c>
      <c r="B104" s="11" t="str">
        <f aca="false">IF(Apontamentos!$C104="","",Apontamentos!D104&amp;"")</f>
        <v/>
      </c>
      <c r="C104" s="11" t="str">
        <f aca="false">IF(Apontamentos!$C104="","",Apontamentos!E104&amp;"")</f>
        <v/>
      </c>
      <c r="D104" s="10" t="str">
        <f aca="false">IF(Apontamentos!$C104="","",Apontamentos!F104&amp;"")</f>
        <v/>
      </c>
      <c r="E104" s="10" t="str">
        <f aca="false">IF(Apontamentos!$C104="","",Apontamentos!G104&amp;"")</f>
        <v/>
      </c>
      <c r="F104" s="14"/>
      <c r="G104" s="14"/>
      <c r="H104" s="14"/>
      <c r="I104" s="14"/>
      <c r="J104" s="13"/>
      <c r="K104" s="13"/>
    </row>
    <row r="105" customFormat="false" ht="15" hidden="false" customHeight="false" outlineLevel="0" collapsed="false">
      <c r="A105" s="11" t="str">
        <f aca="false">Apontamentos!C105</f>
        <v/>
      </c>
      <c r="B105" s="11" t="str">
        <f aca="false">IF(Apontamentos!$C105="","",Apontamentos!D105&amp;"")</f>
        <v/>
      </c>
      <c r="C105" s="11" t="str">
        <f aca="false">IF(Apontamentos!$C105="","",Apontamentos!E105&amp;"")</f>
        <v/>
      </c>
      <c r="D105" s="10" t="str">
        <f aca="false">IF(Apontamentos!$C105="","",Apontamentos!F105&amp;"")</f>
        <v/>
      </c>
      <c r="E105" s="10" t="str">
        <f aca="false">IF(Apontamentos!$C105="","",Apontamentos!G105&amp;"")</f>
        <v/>
      </c>
      <c r="F105" s="14"/>
      <c r="G105" s="14"/>
      <c r="H105" s="14"/>
      <c r="I105" s="14"/>
      <c r="J105" s="13"/>
      <c r="K105" s="13"/>
    </row>
    <row r="106" customFormat="false" ht="15" hidden="false" customHeight="false" outlineLevel="0" collapsed="false">
      <c r="A106" s="11" t="str">
        <f aca="false">Apontamentos!C106</f>
        <v/>
      </c>
      <c r="B106" s="11" t="str">
        <f aca="false">IF(Apontamentos!$C106="","",Apontamentos!D106&amp;"")</f>
        <v/>
      </c>
      <c r="C106" s="11" t="str">
        <f aca="false">IF(Apontamentos!$C106="","",Apontamentos!E106&amp;"")</f>
        <v/>
      </c>
      <c r="D106" s="10" t="str">
        <f aca="false">IF(Apontamentos!$C106="","",Apontamentos!F106&amp;"")</f>
        <v/>
      </c>
      <c r="E106" s="10" t="str">
        <f aca="false">IF(Apontamentos!$C106="","",Apontamentos!G106&amp;"")</f>
        <v/>
      </c>
      <c r="F106" s="14"/>
      <c r="G106" s="14"/>
      <c r="H106" s="14"/>
      <c r="I106" s="14"/>
      <c r="J106" s="13"/>
      <c r="K106" s="13"/>
    </row>
    <row r="107" customFormat="false" ht="15" hidden="false" customHeight="false" outlineLevel="0" collapsed="false">
      <c r="A107" s="11" t="str">
        <f aca="false">Apontamentos!C107</f>
        <v/>
      </c>
      <c r="B107" s="11" t="str">
        <f aca="false">IF(Apontamentos!$C107="","",Apontamentos!D107&amp;"")</f>
        <v/>
      </c>
      <c r="C107" s="11" t="str">
        <f aca="false">IF(Apontamentos!$C107="","",Apontamentos!E107&amp;"")</f>
        <v/>
      </c>
      <c r="D107" s="10" t="str">
        <f aca="false">IF(Apontamentos!$C107="","",Apontamentos!F107&amp;"")</f>
        <v/>
      </c>
      <c r="E107" s="10" t="str">
        <f aca="false">IF(Apontamentos!$C107="","",Apontamentos!G107&amp;"")</f>
        <v/>
      </c>
      <c r="F107" s="14"/>
      <c r="G107" s="14"/>
      <c r="H107" s="14"/>
      <c r="I107" s="14"/>
      <c r="J107" s="13"/>
      <c r="K107" s="13"/>
    </row>
    <row r="108" customFormat="false" ht="15" hidden="false" customHeight="false" outlineLevel="0" collapsed="false">
      <c r="A108" s="11" t="str">
        <f aca="false">Apontamentos!C108</f>
        <v/>
      </c>
      <c r="B108" s="11" t="str">
        <f aca="false">IF(Apontamentos!$C108="","",Apontamentos!D108&amp;"")</f>
        <v/>
      </c>
      <c r="C108" s="11" t="str">
        <f aca="false">IF(Apontamentos!$C108="","",Apontamentos!E108&amp;"")</f>
        <v/>
      </c>
      <c r="D108" s="10" t="str">
        <f aca="false">IF(Apontamentos!$C108="","",Apontamentos!F108&amp;"")</f>
        <v/>
      </c>
      <c r="E108" s="10" t="str">
        <f aca="false">IF(Apontamentos!$C108="","",Apontamentos!G108&amp;"")</f>
        <v/>
      </c>
      <c r="F108" s="14"/>
      <c r="G108" s="14"/>
      <c r="H108" s="14"/>
      <c r="I108" s="14"/>
      <c r="J108" s="13"/>
      <c r="K108" s="13"/>
    </row>
    <row r="109" customFormat="false" ht="15" hidden="false" customHeight="false" outlineLevel="0" collapsed="false">
      <c r="A109" s="11" t="str">
        <f aca="false">Apontamentos!C109</f>
        <v/>
      </c>
      <c r="B109" s="11" t="str">
        <f aca="false">IF(Apontamentos!$C109="","",Apontamentos!D109&amp;"")</f>
        <v/>
      </c>
      <c r="C109" s="11" t="str">
        <f aca="false">IF(Apontamentos!$C109="","",Apontamentos!E109&amp;"")</f>
        <v/>
      </c>
      <c r="D109" s="10" t="str">
        <f aca="false">IF(Apontamentos!$C109="","",Apontamentos!F109&amp;"")</f>
        <v/>
      </c>
      <c r="E109" s="10" t="str">
        <f aca="false">IF(Apontamentos!$C109="","",Apontamentos!G109&amp;"")</f>
        <v/>
      </c>
      <c r="F109" s="14"/>
      <c r="G109" s="14"/>
      <c r="H109" s="14"/>
      <c r="I109" s="14"/>
      <c r="J109" s="13"/>
      <c r="K109" s="13"/>
    </row>
    <row r="110" customFormat="false" ht="15" hidden="false" customHeight="false" outlineLevel="0" collapsed="false">
      <c r="A110" s="11" t="str">
        <f aca="false">Apontamentos!C110</f>
        <v/>
      </c>
      <c r="B110" s="11" t="str">
        <f aca="false">IF(Apontamentos!$C110="","",Apontamentos!D110&amp;"")</f>
        <v/>
      </c>
      <c r="C110" s="11" t="str">
        <f aca="false">IF(Apontamentos!$C110="","",Apontamentos!E110&amp;"")</f>
        <v/>
      </c>
      <c r="D110" s="10" t="str">
        <f aca="false">IF(Apontamentos!$C110="","",Apontamentos!F110&amp;"")</f>
        <v/>
      </c>
      <c r="E110" s="10" t="str">
        <f aca="false">IF(Apontamentos!$C110="","",Apontamentos!G110&amp;"")</f>
        <v/>
      </c>
      <c r="F110" s="14"/>
      <c r="G110" s="14"/>
      <c r="H110" s="14"/>
      <c r="I110" s="14"/>
      <c r="J110" s="13"/>
      <c r="K110" s="13"/>
    </row>
    <row r="111" customFormat="false" ht="15" hidden="false" customHeight="false" outlineLevel="0" collapsed="false">
      <c r="A111" s="11" t="str">
        <f aca="false">Apontamentos!C111</f>
        <v/>
      </c>
      <c r="B111" s="11" t="str">
        <f aca="false">IF(Apontamentos!$C111="","",Apontamentos!D111&amp;"")</f>
        <v/>
      </c>
      <c r="C111" s="11" t="str">
        <f aca="false">IF(Apontamentos!$C111="","",Apontamentos!E111&amp;"")</f>
        <v/>
      </c>
      <c r="D111" s="10" t="str">
        <f aca="false">IF(Apontamentos!$C111="","",Apontamentos!F111&amp;"")</f>
        <v/>
      </c>
      <c r="E111" s="10" t="str">
        <f aca="false">IF(Apontamentos!$C111="","",Apontamentos!G111&amp;"")</f>
        <v/>
      </c>
      <c r="F111" s="14"/>
      <c r="G111" s="14"/>
      <c r="H111" s="14"/>
      <c r="I111" s="14"/>
      <c r="J111" s="13"/>
      <c r="K111" s="13"/>
    </row>
    <row r="112" customFormat="false" ht="15" hidden="false" customHeight="false" outlineLevel="0" collapsed="false">
      <c r="A112" s="11" t="str">
        <f aca="false">Apontamentos!C112</f>
        <v/>
      </c>
      <c r="B112" s="11" t="str">
        <f aca="false">IF(Apontamentos!$C112="","",Apontamentos!D112&amp;"")</f>
        <v/>
      </c>
      <c r="C112" s="11" t="str">
        <f aca="false">IF(Apontamentos!$C112="","",Apontamentos!E112&amp;"")</f>
        <v/>
      </c>
      <c r="D112" s="10" t="str">
        <f aca="false">IF(Apontamentos!$C112="","",Apontamentos!F112&amp;"")</f>
        <v/>
      </c>
      <c r="E112" s="10" t="str">
        <f aca="false">IF(Apontamentos!$C112="","",Apontamentos!G112&amp;"")</f>
        <v/>
      </c>
      <c r="F112" s="14"/>
      <c r="G112" s="14"/>
      <c r="H112" s="14"/>
      <c r="I112" s="14"/>
      <c r="J112" s="13"/>
      <c r="K112" s="13"/>
    </row>
    <row r="113" customFormat="false" ht="15" hidden="false" customHeight="false" outlineLevel="0" collapsed="false">
      <c r="A113" s="11" t="str">
        <f aca="false">Apontamentos!C113</f>
        <v/>
      </c>
      <c r="B113" s="11" t="str">
        <f aca="false">IF(Apontamentos!$C113="","",Apontamentos!D113&amp;"")</f>
        <v/>
      </c>
      <c r="C113" s="11" t="str">
        <f aca="false">IF(Apontamentos!$C113="","",Apontamentos!E113&amp;"")</f>
        <v/>
      </c>
      <c r="D113" s="10" t="str">
        <f aca="false">IF(Apontamentos!$C113="","",Apontamentos!F113&amp;"")</f>
        <v/>
      </c>
      <c r="E113" s="10" t="str">
        <f aca="false">IF(Apontamentos!$C113="","",Apontamentos!G113&amp;"")</f>
        <v/>
      </c>
      <c r="F113" s="14"/>
      <c r="G113" s="14"/>
      <c r="H113" s="14"/>
      <c r="I113" s="14"/>
      <c r="J113" s="13"/>
      <c r="K113" s="13"/>
    </row>
    <row r="114" customFormat="false" ht="15" hidden="false" customHeight="false" outlineLevel="0" collapsed="false">
      <c r="A114" s="11" t="str">
        <f aca="false">Apontamentos!C114</f>
        <v/>
      </c>
      <c r="B114" s="11" t="str">
        <f aca="false">IF(Apontamentos!$C114="","",Apontamentos!D114&amp;"")</f>
        <v/>
      </c>
      <c r="C114" s="11" t="str">
        <f aca="false">IF(Apontamentos!$C114="","",Apontamentos!E114&amp;"")</f>
        <v/>
      </c>
      <c r="D114" s="10" t="str">
        <f aca="false">IF(Apontamentos!$C114="","",Apontamentos!F114&amp;"")</f>
        <v/>
      </c>
      <c r="E114" s="10" t="str">
        <f aca="false">IF(Apontamentos!$C114="","",Apontamentos!G114&amp;"")</f>
        <v/>
      </c>
      <c r="F114" s="14"/>
      <c r="G114" s="14"/>
      <c r="H114" s="14"/>
      <c r="I114" s="14"/>
      <c r="J114" s="13"/>
      <c r="K114" s="13"/>
    </row>
    <row r="115" customFormat="false" ht="15" hidden="false" customHeight="false" outlineLevel="0" collapsed="false">
      <c r="A115" s="11" t="str">
        <f aca="false">Apontamentos!C115</f>
        <v/>
      </c>
      <c r="B115" s="11" t="str">
        <f aca="false">IF(Apontamentos!$C115="","",Apontamentos!D115&amp;"")</f>
        <v/>
      </c>
      <c r="C115" s="11" t="str">
        <f aca="false">IF(Apontamentos!$C115="","",Apontamentos!E115&amp;"")</f>
        <v/>
      </c>
      <c r="D115" s="10" t="str">
        <f aca="false">IF(Apontamentos!$C115="","",Apontamentos!F115&amp;"")</f>
        <v/>
      </c>
      <c r="E115" s="10" t="str">
        <f aca="false">IF(Apontamentos!$C115="","",Apontamentos!G115&amp;"")</f>
        <v/>
      </c>
      <c r="F115" s="14"/>
      <c r="G115" s="14"/>
      <c r="H115" s="14"/>
      <c r="I115" s="14"/>
      <c r="J115" s="13"/>
      <c r="K115" s="13"/>
    </row>
    <row r="116" customFormat="false" ht="15" hidden="false" customHeight="false" outlineLevel="0" collapsed="false">
      <c r="A116" s="11" t="str">
        <f aca="false">Apontamentos!C116</f>
        <v/>
      </c>
      <c r="B116" s="11" t="str">
        <f aca="false">IF(Apontamentos!$C116="","",Apontamentos!D116&amp;"")</f>
        <v/>
      </c>
      <c r="C116" s="11" t="str">
        <f aca="false">IF(Apontamentos!$C116="","",Apontamentos!E116&amp;"")</f>
        <v/>
      </c>
      <c r="D116" s="10" t="str">
        <f aca="false">IF(Apontamentos!$C116="","",Apontamentos!F116&amp;"")</f>
        <v/>
      </c>
      <c r="E116" s="10" t="str">
        <f aca="false">IF(Apontamentos!$C116="","",Apontamentos!G116&amp;"")</f>
        <v/>
      </c>
      <c r="F116" s="14"/>
      <c r="G116" s="14"/>
      <c r="H116" s="14"/>
      <c r="I116" s="14"/>
      <c r="J116" s="13"/>
      <c r="K116" s="13"/>
    </row>
    <row r="117" customFormat="false" ht="15" hidden="false" customHeight="false" outlineLevel="0" collapsed="false">
      <c r="A117" s="11" t="str">
        <f aca="false">Apontamentos!C117</f>
        <v/>
      </c>
      <c r="B117" s="11" t="str">
        <f aca="false">IF(Apontamentos!$C117="","",Apontamentos!D117&amp;"")</f>
        <v/>
      </c>
      <c r="C117" s="11" t="str">
        <f aca="false">IF(Apontamentos!$C117="","",Apontamentos!E117&amp;"")</f>
        <v/>
      </c>
      <c r="D117" s="10" t="str">
        <f aca="false">IF(Apontamentos!$C117="","",Apontamentos!F117&amp;"")</f>
        <v/>
      </c>
      <c r="E117" s="10" t="str">
        <f aca="false">IF(Apontamentos!$C117="","",Apontamentos!G117&amp;"")</f>
        <v/>
      </c>
      <c r="F117" s="14"/>
      <c r="G117" s="14"/>
      <c r="H117" s="14"/>
      <c r="I117" s="14"/>
      <c r="J117" s="13"/>
      <c r="K117" s="13"/>
    </row>
    <row r="118" customFormat="false" ht="15" hidden="false" customHeight="false" outlineLevel="0" collapsed="false">
      <c r="A118" s="11" t="str">
        <f aca="false">Apontamentos!C118</f>
        <v/>
      </c>
      <c r="B118" s="11" t="str">
        <f aca="false">IF(Apontamentos!$C118="","",Apontamentos!D118&amp;"")</f>
        <v/>
      </c>
      <c r="C118" s="11" t="str">
        <f aca="false">IF(Apontamentos!$C118="","",Apontamentos!E118&amp;"")</f>
        <v/>
      </c>
      <c r="D118" s="10" t="str">
        <f aca="false">IF(Apontamentos!$C118="","",Apontamentos!F118&amp;"")</f>
        <v/>
      </c>
      <c r="E118" s="10" t="str">
        <f aca="false">IF(Apontamentos!$C118="","",Apontamentos!G118&amp;"")</f>
        <v/>
      </c>
      <c r="F118" s="14"/>
      <c r="G118" s="14"/>
      <c r="H118" s="14"/>
      <c r="I118" s="14"/>
      <c r="J118" s="13"/>
      <c r="K118" s="13"/>
    </row>
    <row r="119" customFormat="false" ht="15" hidden="false" customHeight="false" outlineLevel="0" collapsed="false">
      <c r="A119" s="11" t="str">
        <f aca="false">Apontamentos!C119</f>
        <v/>
      </c>
      <c r="B119" s="11" t="str">
        <f aca="false">IF(Apontamentos!$C119="","",Apontamentos!D119&amp;"")</f>
        <v/>
      </c>
      <c r="C119" s="11" t="str">
        <f aca="false">IF(Apontamentos!$C119="","",Apontamentos!E119&amp;"")</f>
        <v/>
      </c>
      <c r="D119" s="10" t="str">
        <f aca="false">IF(Apontamentos!$C119="","",Apontamentos!F119&amp;"")</f>
        <v/>
      </c>
      <c r="E119" s="10" t="str">
        <f aca="false">IF(Apontamentos!$C119="","",Apontamentos!G119&amp;"")</f>
        <v/>
      </c>
      <c r="F119" s="14"/>
      <c r="G119" s="14"/>
      <c r="H119" s="14"/>
      <c r="I119" s="14"/>
      <c r="J119" s="13"/>
      <c r="K119" s="13"/>
    </row>
    <row r="120" customFormat="false" ht="15" hidden="false" customHeight="false" outlineLevel="0" collapsed="false">
      <c r="A120" s="11" t="str">
        <f aca="false">Apontamentos!C120</f>
        <v/>
      </c>
      <c r="B120" s="11" t="str">
        <f aca="false">IF(Apontamentos!$C120="","",Apontamentos!D120&amp;"")</f>
        <v/>
      </c>
      <c r="C120" s="11" t="str">
        <f aca="false">IF(Apontamentos!$C120="","",Apontamentos!E120&amp;"")</f>
        <v/>
      </c>
      <c r="D120" s="10" t="str">
        <f aca="false">IF(Apontamentos!$C120="","",Apontamentos!F120&amp;"")</f>
        <v/>
      </c>
      <c r="E120" s="10" t="str">
        <f aca="false">IF(Apontamentos!$C120="","",Apontamentos!G120&amp;"")</f>
        <v/>
      </c>
      <c r="F120" s="14"/>
      <c r="G120" s="14"/>
      <c r="H120" s="14"/>
      <c r="I120" s="14"/>
      <c r="J120" s="13"/>
      <c r="K120" s="13"/>
    </row>
    <row r="121" customFormat="false" ht="15" hidden="false" customHeight="false" outlineLevel="0" collapsed="false">
      <c r="A121" s="11" t="str">
        <f aca="false">Apontamentos!C121</f>
        <v/>
      </c>
      <c r="B121" s="11" t="str">
        <f aca="false">IF(Apontamentos!$C121="","",Apontamentos!D121&amp;"")</f>
        <v/>
      </c>
      <c r="C121" s="11" t="str">
        <f aca="false">IF(Apontamentos!$C121="","",Apontamentos!E121&amp;"")</f>
        <v/>
      </c>
      <c r="D121" s="10" t="str">
        <f aca="false">IF(Apontamentos!$C121="","",Apontamentos!F121&amp;"")</f>
        <v/>
      </c>
      <c r="E121" s="10" t="str">
        <f aca="false">IF(Apontamentos!$C121="","",Apontamentos!G121&amp;"")</f>
        <v/>
      </c>
      <c r="F121" s="14"/>
      <c r="G121" s="14"/>
      <c r="H121" s="14"/>
      <c r="I121" s="14"/>
      <c r="J121" s="13"/>
      <c r="K121" s="13"/>
    </row>
    <row r="122" customFormat="false" ht="15" hidden="false" customHeight="false" outlineLevel="0" collapsed="false">
      <c r="A122" s="11" t="str">
        <f aca="false">Apontamentos!C122</f>
        <v/>
      </c>
      <c r="B122" s="11" t="str">
        <f aca="false">IF(Apontamentos!$C122="","",Apontamentos!D122&amp;"")</f>
        <v/>
      </c>
      <c r="C122" s="11" t="str">
        <f aca="false">IF(Apontamentos!$C122="","",Apontamentos!E122&amp;"")</f>
        <v/>
      </c>
      <c r="D122" s="10" t="str">
        <f aca="false">IF(Apontamentos!$C122="","",Apontamentos!F122&amp;"")</f>
        <v/>
      </c>
      <c r="E122" s="10" t="str">
        <f aca="false">IF(Apontamentos!$C122="","",Apontamentos!G122&amp;"")</f>
        <v/>
      </c>
      <c r="F122" s="14"/>
      <c r="G122" s="14"/>
      <c r="H122" s="14"/>
      <c r="I122" s="14"/>
      <c r="J122" s="13"/>
      <c r="K122" s="13"/>
    </row>
    <row r="123" customFormat="false" ht="15" hidden="false" customHeight="false" outlineLevel="0" collapsed="false">
      <c r="A123" s="11" t="str">
        <f aca="false">Apontamentos!C123</f>
        <v/>
      </c>
      <c r="B123" s="11" t="str">
        <f aca="false">IF(Apontamentos!$C123="","",Apontamentos!D123&amp;"")</f>
        <v/>
      </c>
      <c r="C123" s="11" t="str">
        <f aca="false">IF(Apontamentos!$C123="","",Apontamentos!E123&amp;"")</f>
        <v/>
      </c>
      <c r="D123" s="10" t="str">
        <f aca="false">IF(Apontamentos!$C123="","",Apontamentos!F123&amp;"")</f>
        <v/>
      </c>
      <c r="E123" s="10" t="str">
        <f aca="false">IF(Apontamentos!$C123="","",Apontamentos!G123&amp;"")</f>
        <v/>
      </c>
      <c r="F123" s="14"/>
      <c r="G123" s="14"/>
      <c r="H123" s="14"/>
      <c r="I123" s="14"/>
      <c r="J123" s="13"/>
      <c r="K123" s="13"/>
    </row>
    <row r="124" customFormat="false" ht="15" hidden="false" customHeight="false" outlineLevel="0" collapsed="false">
      <c r="A124" s="11" t="str">
        <f aca="false">Apontamentos!C124</f>
        <v/>
      </c>
      <c r="B124" s="11" t="str">
        <f aca="false">IF(Apontamentos!$C124="","",Apontamentos!D124&amp;"")</f>
        <v/>
      </c>
      <c r="C124" s="11" t="str">
        <f aca="false">IF(Apontamentos!$C124="","",Apontamentos!E124&amp;"")</f>
        <v/>
      </c>
      <c r="D124" s="10" t="str">
        <f aca="false">IF(Apontamentos!$C124="","",Apontamentos!F124&amp;"")</f>
        <v/>
      </c>
      <c r="E124" s="10" t="str">
        <f aca="false">IF(Apontamentos!$C124="","",Apontamentos!G124&amp;"")</f>
        <v/>
      </c>
      <c r="F124" s="14"/>
      <c r="G124" s="14"/>
      <c r="H124" s="14"/>
      <c r="I124" s="14"/>
      <c r="J124" s="13"/>
      <c r="K124" s="13"/>
    </row>
    <row r="125" customFormat="false" ht="15" hidden="false" customHeight="false" outlineLevel="0" collapsed="false">
      <c r="A125" s="11" t="str">
        <f aca="false">Apontamentos!C125</f>
        <v/>
      </c>
      <c r="B125" s="11" t="str">
        <f aca="false">IF(Apontamentos!$C125="","",Apontamentos!D125&amp;"")</f>
        <v/>
      </c>
      <c r="C125" s="11" t="str">
        <f aca="false">IF(Apontamentos!$C125="","",Apontamentos!E125&amp;"")</f>
        <v/>
      </c>
      <c r="D125" s="10" t="str">
        <f aca="false">IF(Apontamentos!$C125="","",Apontamentos!F125&amp;"")</f>
        <v/>
      </c>
      <c r="E125" s="10" t="str">
        <f aca="false">IF(Apontamentos!$C125="","",Apontamentos!G125&amp;"")</f>
        <v/>
      </c>
      <c r="F125" s="14"/>
      <c r="G125" s="14"/>
      <c r="H125" s="14"/>
      <c r="I125" s="14"/>
      <c r="J125" s="13"/>
      <c r="K125" s="13"/>
    </row>
    <row r="126" customFormat="false" ht="15" hidden="false" customHeight="false" outlineLevel="0" collapsed="false">
      <c r="A126" s="11" t="str">
        <f aca="false">Apontamentos!C126</f>
        <v/>
      </c>
      <c r="B126" s="11" t="str">
        <f aca="false">IF(Apontamentos!$C126="","",Apontamentos!D126&amp;"")</f>
        <v/>
      </c>
      <c r="C126" s="11" t="str">
        <f aca="false">IF(Apontamentos!$C126="","",Apontamentos!E126&amp;"")</f>
        <v/>
      </c>
      <c r="D126" s="10" t="str">
        <f aca="false">IF(Apontamentos!$C126="","",Apontamentos!F126&amp;"")</f>
        <v/>
      </c>
      <c r="E126" s="10" t="str">
        <f aca="false">IF(Apontamentos!$C126="","",Apontamentos!G126&amp;"")</f>
        <v/>
      </c>
      <c r="F126" s="14"/>
      <c r="G126" s="14"/>
      <c r="H126" s="14"/>
      <c r="I126" s="14"/>
      <c r="J126" s="13"/>
      <c r="K126" s="13"/>
    </row>
    <row r="127" customFormat="false" ht="15" hidden="false" customHeight="false" outlineLevel="0" collapsed="false">
      <c r="A127" s="11" t="str">
        <f aca="false">Apontamentos!C127</f>
        <v/>
      </c>
      <c r="B127" s="11" t="str">
        <f aca="false">IF(Apontamentos!$C127="","",Apontamentos!D127&amp;"")</f>
        <v/>
      </c>
      <c r="C127" s="11" t="str">
        <f aca="false">IF(Apontamentos!$C127="","",Apontamentos!E127&amp;"")</f>
        <v/>
      </c>
      <c r="D127" s="10" t="str">
        <f aca="false">IF(Apontamentos!$C127="","",Apontamentos!F127&amp;"")</f>
        <v/>
      </c>
      <c r="E127" s="10" t="str">
        <f aca="false">IF(Apontamentos!$C127="","",Apontamentos!G127&amp;"")</f>
        <v/>
      </c>
      <c r="F127" s="14"/>
      <c r="G127" s="14"/>
      <c r="H127" s="14"/>
      <c r="I127" s="14"/>
      <c r="J127" s="13"/>
      <c r="K127" s="13"/>
    </row>
    <row r="128" customFormat="false" ht="15" hidden="false" customHeight="false" outlineLevel="0" collapsed="false">
      <c r="A128" s="11" t="str">
        <f aca="false">Apontamentos!C128</f>
        <v/>
      </c>
      <c r="B128" s="11" t="str">
        <f aca="false">IF(Apontamentos!$C128="","",Apontamentos!D128&amp;"")</f>
        <v/>
      </c>
      <c r="C128" s="11" t="str">
        <f aca="false">IF(Apontamentos!$C128="","",Apontamentos!E128&amp;"")</f>
        <v/>
      </c>
      <c r="D128" s="10" t="str">
        <f aca="false">IF(Apontamentos!$C128="","",Apontamentos!F128&amp;"")</f>
        <v/>
      </c>
      <c r="E128" s="10" t="str">
        <f aca="false">IF(Apontamentos!$C128="","",Apontamentos!G128&amp;"")</f>
        <v/>
      </c>
      <c r="F128" s="14"/>
      <c r="G128" s="14"/>
      <c r="H128" s="14"/>
      <c r="I128" s="14"/>
      <c r="J128" s="13"/>
      <c r="K128" s="13"/>
    </row>
    <row r="129" customFormat="false" ht="15" hidden="false" customHeight="false" outlineLevel="0" collapsed="false">
      <c r="A129" s="11" t="str">
        <f aca="false">Apontamentos!C129</f>
        <v/>
      </c>
      <c r="B129" s="11" t="str">
        <f aca="false">IF(Apontamentos!$C129="","",Apontamentos!D129&amp;"")</f>
        <v/>
      </c>
      <c r="C129" s="11" t="str">
        <f aca="false">IF(Apontamentos!$C129="","",Apontamentos!E129&amp;"")</f>
        <v/>
      </c>
      <c r="D129" s="10" t="str">
        <f aca="false">IF(Apontamentos!$C129="","",Apontamentos!F129&amp;"")</f>
        <v/>
      </c>
      <c r="E129" s="10" t="str">
        <f aca="false">IF(Apontamentos!$C129="","",Apontamentos!G129&amp;"")</f>
        <v/>
      </c>
      <c r="F129" s="14"/>
      <c r="G129" s="14"/>
      <c r="H129" s="14"/>
      <c r="I129" s="14"/>
      <c r="J129" s="13"/>
      <c r="K129" s="13"/>
    </row>
    <row r="130" customFormat="false" ht="15" hidden="false" customHeight="false" outlineLevel="0" collapsed="false">
      <c r="A130" s="11" t="str">
        <f aca="false">Apontamentos!C130</f>
        <v/>
      </c>
      <c r="B130" s="11" t="str">
        <f aca="false">IF(Apontamentos!$C130="","",Apontamentos!D130&amp;"")</f>
        <v/>
      </c>
      <c r="C130" s="11" t="str">
        <f aca="false">IF(Apontamentos!$C130="","",Apontamentos!E130&amp;"")</f>
        <v/>
      </c>
      <c r="D130" s="10" t="str">
        <f aca="false">IF(Apontamentos!$C130="","",Apontamentos!F130&amp;"")</f>
        <v/>
      </c>
      <c r="E130" s="10" t="str">
        <f aca="false">IF(Apontamentos!$C130="","",Apontamentos!G130&amp;"")</f>
        <v/>
      </c>
      <c r="F130" s="14"/>
      <c r="G130" s="14"/>
      <c r="H130" s="14"/>
      <c r="I130" s="14"/>
      <c r="J130" s="13"/>
      <c r="K130" s="13"/>
    </row>
    <row r="131" customFormat="false" ht="15" hidden="false" customHeight="false" outlineLevel="0" collapsed="false">
      <c r="A131" s="11" t="str">
        <f aca="false">Apontamentos!C131</f>
        <v/>
      </c>
      <c r="B131" s="11" t="str">
        <f aca="false">IF(Apontamentos!$C131="","",Apontamentos!D131&amp;"")</f>
        <v/>
      </c>
      <c r="C131" s="11" t="str">
        <f aca="false">IF(Apontamentos!$C131="","",Apontamentos!E131&amp;"")</f>
        <v/>
      </c>
      <c r="D131" s="10" t="str">
        <f aca="false">IF(Apontamentos!$C131="","",Apontamentos!F131&amp;"")</f>
        <v/>
      </c>
      <c r="E131" s="10" t="str">
        <f aca="false">IF(Apontamentos!$C131="","",Apontamentos!G131&amp;"")</f>
        <v/>
      </c>
      <c r="F131" s="14"/>
      <c r="G131" s="14"/>
      <c r="H131" s="14"/>
      <c r="I131" s="14"/>
      <c r="J131" s="13"/>
      <c r="K131" s="13"/>
    </row>
    <row r="132" customFormat="false" ht="15" hidden="false" customHeight="false" outlineLevel="0" collapsed="false">
      <c r="A132" s="11" t="str">
        <f aca="false">Apontamentos!C132</f>
        <v/>
      </c>
      <c r="B132" s="11" t="str">
        <f aca="false">IF(Apontamentos!$C132="","",Apontamentos!D132&amp;"")</f>
        <v/>
      </c>
      <c r="C132" s="11" t="str">
        <f aca="false">IF(Apontamentos!$C132="","",Apontamentos!E132&amp;"")</f>
        <v/>
      </c>
      <c r="D132" s="10" t="str">
        <f aca="false">IF(Apontamentos!$C132="","",Apontamentos!F132&amp;"")</f>
        <v/>
      </c>
      <c r="E132" s="10" t="str">
        <f aca="false">IF(Apontamentos!$C132="","",Apontamentos!G132&amp;"")</f>
        <v/>
      </c>
      <c r="F132" s="14"/>
      <c r="G132" s="14"/>
      <c r="H132" s="14"/>
      <c r="I132" s="14"/>
      <c r="J132" s="13"/>
      <c r="K132" s="13"/>
    </row>
    <row r="133" customFormat="false" ht="15" hidden="false" customHeight="false" outlineLevel="0" collapsed="false">
      <c r="A133" s="11" t="str">
        <f aca="false">Apontamentos!C133</f>
        <v/>
      </c>
      <c r="B133" s="11" t="str">
        <f aca="false">IF(Apontamentos!$C133="","",Apontamentos!D133&amp;"")</f>
        <v/>
      </c>
      <c r="C133" s="11" t="str">
        <f aca="false">IF(Apontamentos!$C133="","",Apontamentos!E133&amp;"")</f>
        <v/>
      </c>
      <c r="D133" s="10" t="str">
        <f aca="false">IF(Apontamentos!$C133="","",Apontamentos!F133&amp;"")</f>
        <v/>
      </c>
      <c r="E133" s="10" t="str">
        <f aca="false">IF(Apontamentos!$C133="","",Apontamentos!G133&amp;"")</f>
        <v/>
      </c>
      <c r="F133" s="14"/>
      <c r="G133" s="14"/>
      <c r="H133" s="14"/>
      <c r="I133" s="14"/>
      <c r="J133" s="13"/>
      <c r="K133" s="13"/>
    </row>
    <row r="134" customFormat="false" ht="15" hidden="false" customHeight="false" outlineLevel="0" collapsed="false">
      <c r="A134" s="11" t="str">
        <f aca="false">Apontamentos!C134</f>
        <v/>
      </c>
      <c r="B134" s="11" t="str">
        <f aca="false">IF(Apontamentos!$C134="","",Apontamentos!D134&amp;"")</f>
        <v/>
      </c>
      <c r="C134" s="11" t="str">
        <f aca="false">IF(Apontamentos!$C134="","",Apontamentos!E134&amp;"")</f>
        <v/>
      </c>
      <c r="D134" s="10" t="str">
        <f aca="false">IF(Apontamentos!$C134="","",Apontamentos!F134&amp;"")</f>
        <v/>
      </c>
      <c r="E134" s="10" t="str">
        <f aca="false">IF(Apontamentos!$C134="","",Apontamentos!G134&amp;"")</f>
        <v/>
      </c>
      <c r="F134" s="14"/>
      <c r="G134" s="14"/>
      <c r="H134" s="14"/>
      <c r="I134" s="14"/>
      <c r="J134" s="13"/>
      <c r="K134" s="13"/>
    </row>
    <row r="135" customFormat="false" ht="15" hidden="false" customHeight="false" outlineLevel="0" collapsed="false">
      <c r="A135" s="11" t="str">
        <f aca="false">Apontamentos!C135</f>
        <v/>
      </c>
      <c r="B135" s="11" t="str">
        <f aca="false">IF(Apontamentos!$C135="","",Apontamentos!D135&amp;"")</f>
        <v/>
      </c>
      <c r="C135" s="11" t="str">
        <f aca="false">IF(Apontamentos!$C135="","",Apontamentos!E135&amp;"")</f>
        <v/>
      </c>
      <c r="D135" s="10" t="str">
        <f aca="false">IF(Apontamentos!$C135="","",Apontamentos!F135&amp;"")</f>
        <v/>
      </c>
      <c r="E135" s="10" t="str">
        <f aca="false">IF(Apontamentos!$C135="","",Apontamentos!G135&amp;"")</f>
        <v/>
      </c>
      <c r="F135" s="14"/>
      <c r="G135" s="14"/>
      <c r="H135" s="14"/>
      <c r="I135" s="14"/>
      <c r="J135" s="13"/>
      <c r="K135" s="13"/>
    </row>
    <row r="136" customFormat="false" ht="15" hidden="false" customHeight="false" outlineLevel="0" collapsed="false">
      <c r="A136" s="11" t="str">
        <f aca="false">Apontamentos!C136</f>
        <v/>
      </c>
      <c r="B136" s="11" t="str">
        <f aca="false">IF(Apontamentos!$C136="","",Apontamentos!D136&amp;"")</f>
        <v/>
      </c>
      <c r="C136" s="11" t="str">
        <f aca="false">IF(Apontamentos!$C136="","",Apontamentos!E136&amp;"")</f>
        <v/>
      </c>
      <c r="D136" s="10" t="str">
        <f aca="false">IF(Apontamentos!$C136="","",Apontamentos!F136&amp;"")</f>
        <v/>
      </c>
      <c r="E136" s="10" t="str">
        <f aca="false">IF(Apontamentos!$C136="","",Apontamentos!G136&amp;"")</f>
        <v/>
      </c>
      <c r="F136" s="14"/>
      <c r="G136" s="14"/>
      <c r="H136" s="14"/>
      <c r="I136" s="14"/>
      <c r="J136" s="13"/>
      <c r="K136" s="13"/>
    </row>
    <row r="137" customFormat="false" ht="15" hidden="false" customHeight="false" outlineLevel="0" collapsed="false">
      <c r="A137" s="11" t="str">
        <f aca="false">Apontamentos!C137</f>
        <v/>
      </c>
      <c r="B137" s="11" t="str">
        <f aca="false">IF(Apontamentos!$C137="","",Apontamentos!D137&amp;"")</f>
        <v/>
      </c>
      <c r="C137" s="11" t="str">
        <f aca="false">IF(Apontamentos!$C137="","",Apontamentos!E137&amp;"")</f>
        <v/>
      </c>
      <c r="D137" s="10" t="str">
        <f aca="false">IF(Apontamentos!$C137="","",Apontamentos!F137&amp;"")</f>
        <v/>
      </c>
      <c r="E137" s="10" t="str">
        <f aca="false">IF(Apontamentos!$C137="","",Apontamentos!G137&amp;"")</f>
        <v/>
      </c>
      <c r="F137" s="14"/>
      <c r="G137" s="14"/>
      <c r="H137" s="14"/>
      <c r="I137" s="14"/>
      <c r="J137" s="13"/>
      <c r="K137" s="13"/>
    </row>
    <row r="138" customFormat="false" ht="15" hidden="false" customHeight="false" outlineLevel="0" collapsed="false">
      <c r="A138" s="11" t="str">
        <f aca="false">Apontamentos!C138</f>
        <v/>
      </c>
      <c r="B138" s="11" t="str">
        <f aca="false">IF(Apontamentos!$C138="","",Apontamentos!D138&amp;"")</f>
        <v/>
      </c>
      <c r="C138" s="11" t="str">
        <f aca="false">IF(Apontamentos!$C138="","",Apontamentos!E138&amp;"")</f>
        <v/>
      </c>
      <c r="D138" s="10" t="str">
        <f aca="false">IF(Apontamentos!$C138="","",Apontamentos!F138&amp;"")</f>
        <v/>
      </c>
      <c r="E138" s="10" t="str">
        <f aca="false">IF(Apontamentos!$C138="","",Apontamentos!G138&amp;"")</f>
        <v/>
      </c>
      <c r="F138" s="14"/>
      <c r="G138" s="14"/>
      <c r="H138" s="14"/>
      <c r="I138" s="14"/>
      <c r="J138" s="13"/>
      <c r="K138" s="13"/>
    </row>
    <row r="139" customFormat="false" ht="15" hidden="false" customHeight="false" outlineLevel="0" collapsed="false">
      <c r="A139" s="11" t="str">
        <f aca="false">Apontamentos!C139</f>
        <v/>
      </c>
      <c r="B139" s="11" t="str">
        <f aca="false">IF(Apontamentos!$C139="","",Apontamentos!D139&amp;"")</f>
        <v/>
      </c>
      <c r="C139" s="11" t="str">
        <f aca="false">IF(Apontamentos!$C139="","",Apontamentos!E139&amp;"")</f>
        <v/>
      </c>
      <c r="D139" s="10" t="str">
        <f aca="false">IF(Apontamentos!$C139="","",Apontamentos!F139&amp;"")</f>
        <v/>
      </c>
      <c r="E139" s="10" t="str">
        <f aca="false">IF(Apontamentos!$C139="","",Apontamentos!G139&amp;"")</f>
        <v/>
      </c>
      <c r="F139" s="14"/>
      <c r="G139" s="14"/>
      <c r="H139" s="14"/>
      <c r="I139" s="14"/>
      <c r="J139" s="13"/>
      <c r="K139" s="13"/>
    </row>
    <row r="140" customFormat="false" ht="15" hidden="false" customHeight="false" outlineLevel="0" collapsed="false">
      <c r="A140" s="11" t="str">
        <f aca="false">Apontamentos!C140</f>
        <v/>
      </c>
      <c r="B140" s="11" t="str">
        <f aca="false">IF(Apontamentos!$C140="","",Apontamentos!D140&amp;"")</f>
        <v/>
      </c>
      <c r="C140" s="11" t="str">
        <f aca="false">IF(Apontamentos!$C140="","",Apontamentos!E140&amp;"")</f>
        <v/>
      </c>
      <c r="D140" s="10" t="str">
        <f aca="false">IF(Apontamentos!$C140="","",Apontamentos!F140&amp;"")</f>
        <v/>
      </c>
      <c r="E140" s="10" t="str">
        <f aca="false">IF(Apontamentos!$C140="","",Apontamentos!G140&amp;"")</f>
        <v/>
      </c>
      <c r="F140" s="14"/>
      <c r="G140" s="14"/>
      <c r="H140" s="14"/>
      <c r="I140" s="14"/>
      <c r="J140" s="13"/>
      <c r="K140" s="13"/>
    </row>
    <row r="141" customFormat="false" ht="15" hidden="false" customHeight="false" outlineLevel="0" collapsed="false">
      <c r="A141" s="11" t="str">
        <f aca="false">Apontamentos!C141</f>
        <v/>
      </c>
      <c r="B141" s="11" t="str">
        <f aca="false">IF(Apontamentos!$C141="","",Apontamentos!D141&amp;"")</f>
        <v/>
      </c>
      <c r="C141" s="11" t="str">
        <f aca="false">IF(Apontamentos!$C141="","",Apontamentos!E141&amp;"")</f>
        <v/>
      </c>
      <c r="D141" s="10" t="str">
        <f aca="false">IF(Apontamentos!$C141="","",Apontamentos!F141&amp;"")</f>
        <v/>
      </c>
      <c r="E141" s="10" t="str">
        <f aca="false">IF(Apontamentos!$C141="","",Apontamentos!G141&amp;"")</f>
        <v/>
      </c>
      <c r="F141" s="14"/>
      <c r="G141" s="14"/>
      <c r="H141" s="14"/>
      <c r="I141" s="14"/>
      <c r="J141" s="13"/>
      <c r="K141" s="13"/>
    </row>
    <row r="142" customFormat="false" ht="15" hidden="false" customHeight="false" outlineLevel="0" collapsed="false">
      <c r="A142" s="11" t="str">
        <f aca="false">Apontamentos!C142</f>
        <v/>
      </c>
      <c r="B142" s="11" t="str">
        <f aca="false">IF(Apontamentos!$C142="","",Apontamentos!D142&amp;"")</f>
        <v/>
      </c>
      <c r="C142" s="11" t="str">
        <f aca="false">IF(Apontamentos!$C142="","",Apontamentos!E142&amp;"")</f>
        <v/>
      </c>
      <c r="D142" s="10" t="str">
        <f aca="false">IF(Apontamentos!$C142="","",Apontamentos!F142&amp;"")</f>
        <v/>
      </c>
      <c r="E142" s="10" t="str">
        <f aca="false">IF(Apontamentos!$C142="","",Apontamentos!G142&amp;"")</f>
        <v/>
      </c>
      <c r="F142" s="14"/>
      <c r="G142" s="14"/>
      <c r="H142" s="14"/>
      <c r="I142" s="14"/>
      <c r="J142" s="13"/>
      <c r="K142" s="13"/>
    </row>
    <row r="143" customFormat="false" ht="15" hidden="false" customHeight="false" outlineLevel="0" collapsed="false">
      <c r="A143" s="11" t="str">
        <f aca="false">Apontamentos!C143</f>
        <v/>
      </c>
      <c r="B143" s="11" t="str">
        <f aca="false">IF(Apontamentos!$C143="","",Apontamentos!D143&amp;"")</f>
        <v/>
      </c>
      <c r="C143" s="11" t="str">
        <f aca="false">IF(Apontamentos!$C143="","",Apontamentos!E143&amp;"")</f>
        <v/>
      </c>
      <c r="D143" s="10" t="str">
        <f aca="false">IF(Apontamentos!$C143="","",Apontamentos!F143&amp;"")</f>
        <v/>
      </c>
      <c r="E143" s="10" t="str">
        <f aca="false">IF(Apontamentos!$C143="","",Apontamentos!G143&amp;"")</f>
        <v/>
      </c>
      <c r="F143" s="14"/>
      <c r="G143" s="14"/>
      <c r="H143" s="14"/>
      <c r="I143" s="14"/>
      <c r="J143" s="13"/>
      <c r="K143" s="13"/>
    </row>
    <row r="144" customFormat="false" ht="15" hidden="false" customHeight="false" outlineLevel="0" collapsed="false">
      <c r="A144" s="11" t="str">
        <f aca="false">Apontamentos!C144</f>
        <v/>
      </c>
      <c r="B144" s="11" t="str">
        <f aca="false">IF(Apontamentos!$C144="","",Apontamentos!D144&amp;"")</f>
        <v/>
      </c>
      <c r="C144" s="11" t="str">
        <f aca="false">IF(Apontamentos!$C144="","",Apontamentos!E144&amp;"")</f>
        <v/>
      </c>
      <c r="D144" s="10" t="str">
        <f aca="false">IF(Apontamentos!$C144="","",Apontamentos!F144&amp;"")</f>
        <v/>
      </c>
      <c r="E144" s="10" t="str">
        <f aca="false">IF(Apontamentos!$C144="","",Apontamentos!G144&amp;"")</f>
        <v/>
      </c>
      <c r="F144" s="14"/>
      <c r="G144" s="14"/>
      <c r="H144" s="14"/>
      <c r="I144" s="14"/>
      <c r="J144" s="13"/>
      <c r="K144" s="13"/>
    </row>
    <row r="145" customFormat="false" ht="15" hidden="false" customHeight="false" outlineLevel="0" collapsed="false">
      <c r="A145" s="11" t="str">
        <f aca="false">Apontamentos!C145</f>
        <v/>
      </c>
      <c r="B145" s="11" t="str">
        <f aca="false">IF(Apontamentos!$C145="","",Apontamentos!D145&amp;"")</f>
        <v/>
      </c>
      <c r="C145" s="11" t="str">
        <f aca="false">IF(Apontamentos!$C145="","",Apontamentos!E145&amp;"")</f>
        <v/>
      </c>
      <c r="D145" s="10" t="str">
        <f aca="false">IF(Apontamentos!$C145="","",Apontamentos!F145&amp;"")</f>
        <v/>
      </c>
      <c r="E145" s="10" t="str">
        <f aca="false">IF(Apontamentos!$C145="","",Apontamentos!G145&amp;"")</f>
        <v/>
      </c>
      <c r="F145" s="14"/>
      <c r="G145" s="14"/>
      <c r="H145" s="14"/>
      <c r="I145" s="14"/>
      <c r="J145" s="13"/>
      <c r="K145" s="13"/>
    </row>
    <row r="146" customFormat="false" ht="15" hidden="false" customHeight="false" outlineLevel="0" collapsed="false">
      <c r="A146" s="11" t="str">
        <f aca="false">Apontamentos!C146</f>
        <v/>
      </c>
      <c r="B146" s="11" t="str">
        <f aca="false">IF(Apontamentos!$C146="","",Apontamentos!D146&amp;"")</f>
        <v/>
      </c>
      <c r="C146" s="11" t="str">
        <f aca="false">IF(Apontamentos!$C146="","",Apontamentos!E146&amp;"")</f>
        <v/>
      </c>
      <c r="D146" s="10" t="str">
        <f aca="false">IF(Apontamentos!$C146="","",Apontamentos!F146&amp;"")</f>
        <v/>
      </c>
      <c r="E146" s="10" t="str">
        <f aca="false">IF(Apontamentos!$C146="","",Apontamentos!G146&amp;"")</f>
        <v/>
      </c>
      <c r="F146" s="14"/>
      <c r="G146" s="14"/>
      <c r="H146" s="14"/>
      <c r="I146" s="14"/>
      <c r="J146" s="13"/>
      <c r="K146" s="13"/>
    </row>
    <row r="147" customFormat="false" ht="15" hidden="false" customHeight="false" outlineLevel="0" collapsed="false">
      <c r="A147" s="11" t="str">
        <f aca="false">Apontamentos!C147</f>
        <v/>
      </c>
      <c r="B147" s="11" t="str">
        <f aca="false">IF(Apontamentos!$C147="","",Apontamentos!D147&amp;"")</f>
        <v/>
      </c>
      <c r="C147" s="11" t="str">
        <f aca="false">IF(Apontamentos!$C147="","",Apontamentos!E147&amp;"")</f>
        <v/>
      </c>
      <c r="D147" s="10" t="str">
        <f aca="false">IF(Apontamentos!$C147="","",Apontamentos!F147&amp;"")</f>
        <v/>
      </c>
      <c r="E147" s="10" t="str">
        <f aca="false">IF(Apontamentos!$C147="","",Apontamentos!G147&amp;"")</f>
        <v/>
      </c>
      <c r="F147" s="14"/>
      <c r="G147" s="14"/>
      <c r="H147" s="14"/>
      <c r="I147" s="14"/>
      <c r="J147" s="13"/>
      <c r="K147" s="13"/>
    </row>
    <row r="148" customFormat="false" ht="15" hidden="false" customHeight="false" outlineLevel="0" collapsed="false">
      <c r="A148" s="11" t="str">
        <f aca="false">Apontamentos!C148</f>
        <v/>
      </c>
      <c r="B148" s="11" t="str">
        <f aca="false">IF(Apontamentos!$C148="","",Apontamentos!D148&amp;"")</f>
        <v/>
      </c>
      <c r="C148" s="11" t="str">
        <f aca="false">IF(Apontamentos!$C148="","",Apontamentos!E148&amp;"")</f>
        <v/>
      </c>
      <c r="D148" s="10" t="str">
        <f aca="false">IF(Apontamentos!$C148="","",Apontamentos!F148&amp;"")</f>
        <v/>
      </c>
      <c r="E148" s="10" t="str">
        <f aca="false">IF(Apontamentos!$C148="","",Apontamentos!G148&amp;"")</f>
        <v/>
      </c>
      <c r="F148" s="14"/>
      <c r="G148" s="14"/>
      <c r="H148" s="14"/>
      <c r="I148" s="14"/>
      <c r="J148" s="13"/>
      <c r="K148" s="13"/>
    </row>
    <row r="149" customFormat="false" ht="15" hidden="false" customHeight="false" outlineLevel="0" collapsed="false">
      <c r="A149" s="11" t="str">
        <f aca="false">Apontamentos!C149</f>
        <v/>
      </c>
      <c r="B149" s="11" t="str">
        <f aca="false">IF(Apontamentos!$C149="","",Apontamentos!D149&amp;"")</f>
        <v/>
      </c>
      <c r="C149" s="11" t="str">
        <f aca="false">IF(Apontamentos!$C149="","",Apontamentos!E149&amp;"")</f>
        <v/>
      </c>
      <c r="D149" s="10" t="str">
        <f aca="false">IF(Apontamentos!$C149="","",Apontamentos!F149&amp;"")</f>
        <v/>
      </c>
      <c r="E149" s="10" t="str">
        <f aca="false">IF(Apontamentos!$C149="","",Apontamentos!G149&amp;"")</f>
        <v/>
      </c>
      <c r="F149" s="14"/>
      <c r="G149" s="14"/>
      <c r="H149" s="14"/>
      <c r="I149" s="14"/>
      <c r="J149" s="13"/>
      <c r="K149" s="13"/>
    </row>
    <row r="150" customFormat="false" ht="15" hidden="false" customHeight="false" outlineLevel="0" collapsed="false">
      <c r="A150" s="11" t="str">
        <f aca="false">Apontamentos!C150</f>
        <v/>
      </c>
      <c r="B150" s="11" t="str">
        <f aca="false">IF(Apontamentos!$C150="","",Apontamentos!D150&amp;"")</f>
        <v/>
      </c>
      <c r="C150" s="11" t="str">
        <f aca="false">IF(Apontamentos!$C150="","",Apontamentos!E150&amp;"")</f>
        <v/>
      </c>
      <c r="D150" s="10" t="str">
        <f aca="false">IF(Apontamentos!$C150="","",Apontamentos!F150&amp;"")</f>
        <v/>
      </c>
      <c r="E150" s="10" t="str">
        <f aca="false">IF(Apontamentos!$C150="","",Apontamentos!G150&amp;"")</f>
        <v/>
      </c>
      <c r="F150" s="14"/>
      <c r="G150" s="14"/>
      <c r="H150" s="14"/>
      <c r="I150" s="14"/>
      <c r="J150" s="13"/>
      <c r="K150" s="13"/>
    </row>
    <row r="151" customFormat="false" ht="15" hidden="false" customHeight="false" outlineLevel="0" collapsed="false">
      <c r="A151" s="11" t="str">
        <f aca="false">Apontamentos!C151</f>
        <v/>
      </c>
      <c r="B151" s="11" t="str">
        <f aca="false">IF(Apontamentos!$C151="","",Apontamentos!D151&amp;"")</f>
        <v/>
      </c>
      <c r="C151" s="11" t="str">
        <f aca="false">IF(Apontamentos!$C151="","",Apontamentos!E151&amp;"")</f>
        <v/>
      </c>
      <c r="D151" s="10" t="str">
        <f aca="false">IF(Apontamentos!$C151="","",Apontamentos!F151&amp;"")</f>
        <v/>
      </c>
      <c r="E151" s="10" t="str">
        <f aca="false">IF(Apontamentos!$C151="","",Apontamentos!G151&amp;"")</f>
        <v/>
      </c>
      <c r="F151" s="14"/>
      <c r="G151" s="14"/>
      <c r="H151" s="14"/>
      <c r="I151" s="14"/>
      <c r="J151" s="13"/>
      <c r="K151" s="13"/>
    </row>
    <row r="152" customFormat="false" ht="15" hidden="false" customHeight="false" outlineLevel="0" collapsed="false">
      <c r="A152" s="11" t="str">
        <f aca="false">Apontamentos!C152</f>
        <v/>
      </c>
      <c r="B152" s="11" t="str">
        <f aca="false">IF(Apontamentos!$C152="","",Apontamentos!D152&amp;"")</f>
        <v/>
      </c>
      <c r="C152" s="11" t="str">
        <f aca="false">IF(Apontamentos!$C152="","",Apontamentos!E152&amp;"")</f>
        <v/>
      </c>
      <c r="D152" s="10" t="str">
        <f aca="false">IF(Apontamentos!$C152="","",Apontamentos!F152&amp;"")</f>
        <v/>
      </c>
      <c r="E152" s="10" t="str">
        <f aca="false">IF(Apontamentos!$C152="","",Apontamentos!G152&amp;"")</f>
        <v/>
      </c>
      <c r="F152" s="14"/>
      <c r="G152" s="14"/>
      <c r="H152" s="14"/>
      <c r="I152" s="14"/>
      <c r="J152" s="13"/>
      <c r="K152" s="13"/>
    </row>
    <row r="153" customFormat="false" ht="15" hidden="false" customHeight="false" outlineLevel="0" collapsed="false">
      <c r="A153" s="11" t="str">
        <f aca="false">Apontamentos!C153</f>
        <v/>
      </c>
      <c r="B153" s="11" t="str">
        <f aca="false">IF(Apontamentos!$C153="","",Apontamentos!D153&amp;"")</f>
        <v/>
      </c>
      <c r="C153" s="11" t="str">
        <f aca="false">IF(Apontamentos!$C153="","",Apontamentos!E153&amp;"")</f>
        <v/>
      </c>
      <c r="D153" s="10" t="str">
        <f aca="false">IF(Apontamentos!$C153="","",Apontamentos!F153&amp;"")</f>
        <v/>
      </c>
      <c r="E153" s="10" t="str">
        <f aca="false">IF(Apontamentos!$C153="","",Apontamentos!G153&amp;"")</f>
        <v/>
      </c>
      <c r="F153" s="14"/>
      <c r="G153" s="14"/>
      <c r="H153" s="14"/>
      <c r="I153" s="14"/>
      <c r="J153" s="13"/>
      <c r="K153" s="13"/>
    </row>
    <row r="154" customFormat="false" ht="15" hidden="false" customHeight="false" outlineLevel="0" collapsed="false">
      <c r="A154" s="11" t="str">
        <f aca="false">Apontamentos!C154</f>
        <v/>
      </c>
      <c r="B154" s="11" t="str">
        <f aca="false">IF(Apontamentos!$C154="","",Apontamentos!D154&amp;"")</f>
        <v/>
      </c>
      <c r="C154" s="11" t="str">
        <f aca="false">IF(Apontamentos!$C154="","",Apontamentos!E154&amp;"")</f>
        <v/>
      </c>
      <c r="D154" s="10" t="str">
        <f aca="false">IF(Apontamentos!$C154="","",Apontamentos!F154&amp;"")</f>
        <v/>
      </c>
      <c r="E154" s="10" t="str">
        <f aca="false">IF(Apontamentos!$C154="","",Apontamentos!G154&amp;"")</f>
        <v/>
      </c>
      <c r="F154" s="14"/>
      <c r="G154" s="14"/>
      <c r="H154" s="14"/>
      <c r="I154" s="14"/>
      <c r="J154" s="13"/>
      <c r="K154" s="13"/>
    </row>
    <row r="155" customFormat="false" ht="15" hidden="false" customHeight="false" outlineLevel="0" collapsed="false">
      <c r="A155" s="11" t="str">
        <f aca="false">Apontamentos!C155</f>
        <v/>
      </c>
      <c r="B155" s="11" t="str">
        <f aca="false">IF(Apontamentos!$C155="","",Apontamentos!D155&amp;"")</f>
        <v/>
      </c>
      <c r="C155" s="11" t="str">
        <f aca="false">IF(Apontamentos!$C155="","",Apontamentos!E155&amp;"")</f>
        <v/>
      </c>
      <c r="D155" s="10" t="str">
        <f aca="false">IF(Apontamentos!$C155="","",Apontamentos!F155&amp;"")</f>
        <v/>
      </c>
      <c r="E155" s="10" t="str">
        <f aca="false">IF(Apontamentos!$C155="","",Apontamentos!G155&amp;"")</f>
        <v/>
      </c>
      <c r="F155" s="14"/>
      <c r="G155" s="14"/>
      <c r="H155" s="14"/>
      <c r="I155" s="14"/>
      <c r="J155" s="13"/>
      <c r="K155" s="13"/>
    </row>
    <row r="156" customFormat="false" ht="15" hidden="false" customHeight="false" outlineLevel="0" collapsed="false">
      <c r="A156" s="11" t="str">
        <f aca="false">Apontamentos!C156</f>
        <v/>
      </c>
      <c r="B156" s="11" t="str">
        <f aca="false">IF(Apontamentos!$C156="","",Apontamentos!D156&amp;"")</f>
        <v/>
      </c>
      <c r="C156" s="11" t="str">
        <f aca="false">IF(Apontamentos!$C156="","",Apontamentos!E156&amp;"")</f>
        <v/>
      </c>
      <c r="D156" s="10" t="str">
        <f aca="false">IF(Apontamentos!$C156="","",Apontamentos!F156&amp;"")</f>
        <v/>
      </c>
      <c r="E156" s="10" t="str">
        <f aca="false">IF(Apontamentos!$C156="","",Apontamentos!G156&amp;"")</f>
        <v/>
      </c>
      <c r="F156" s="14"/>
      <c r="G156" s="14"/>
      <c r="H156" s="14"/>
      <c r="I156" s="14"/>
      <c r="J156" s="13"/>
      <c r="K156" s="13"/>
    </row>
    <row r="157" customFormat="false" ht="15" hidden="false" customHeight="false" outlineLevel="0" collapsed="false">
      <c r="A157" s="11" t="str">
        <f aca="false">Apontamentos!C157</f>
        <v/>
      </c>
      <c r="B157" s="11" t="str">
        <f aca="false">IF(Apontamentos!$C157="","",Apontamentos!D157&amp;"")</f>
        <v/>
      </c>
      <c r="C157" s="11" t="str">
        <f aca="false">IF(Apontamentos!$C157="","",Apontamentos!E157&amp;"")</f>
        <v/>
      </c>
      <c r="D157" s="10" t="str">
        <f aca="false">IF(Apontamentos!$C157="","",Apontamentos!F157&amp;"")</f>
        <v/>
      </c>
      <c r="E157" s="10" t="str">
        <f aca="false">IF(Apontamentos!$C157="","",Apontamentos!G157&amp;"")</f>
        <v/>
      </c>
      <c r="F157" s="14"/>
      <c r="G157" s="14"/>
      <c r="H157" s="14"/>
      <c r="I157" s="14"/>
      <c r="J157" s="13"/>
      <c r="K157" s="13"/>
    </row>
    <row r="158" customFormat="false" ht="15" hidden="false" customHeight="false" outlineLevel="0" collapsed="false">
      <c r="A158" s="11" t="str">
        <f aca="false">Apontamentos!C158</f>
        <v/>
      </c>
      <c r="B158" s="11" t="str">
        <f aca="false">IF(Apontamentos!$C158="","",Apontamentos!D158&amp;"")</f>
        <v/>
      </c>
      <c r="C158" s="11" t="str">
        <f aca="false">IF(Apontamentos!$C158="","",Apontamentos!E158&amp;"")</f>
        <v/>
      </c>
      <c r="D158" s="10" t="str">
        <f aca="false">IF(Apontamentos!$C158="","",Apontamentos!F158&amp;"")</f>
        <v/>
      </c>
      <c r="E158" s="10" t="str">
        <f aca="false">IF(Apontamentos!$C158="","",Apontamentos!G158&amp;"")</f>
        <v/>
      </c>
      <c r="F158" s="14"/>
      <c r="G158" s="14"/>
      <c r="H158" s="14"/>
      <c r="I158" s="14"/>
      <c r="J158" s="13"/>
      <c r="K158" s="13"/>
    </row>
    <row r="159" customFormat="false" ht="15" hidden="false" customHeight="false" outlineLevel="0" collapsed="false">
      <c r="A159" s="11" t="str">
        <f aca="false">Apontamentos!C159</f>
        <v/>
      </c>
      <c r="B159" s="11" t="str">
        <f aca="false">IF(Apontamentos!$C159="","",Apontamentos!D159&amp;"")</f>
        <v/>
      </c>
      <c r="C159" s="11" t="str">
        <f aca="false">IF(Apontamentos!$C159="","",Apontamentos!E159&amp;"")</f>
        <v/>
      </c>
      <c r="D159" s="10" t="str">
        <f aca="false">IF(Apontamentos!$C159="","",Apontamentos!F159&amp;"")</f>
        <v/>
      </c>
      <c r="E159" s="10" t="str">
        <f aca="false">IF(Apontamentos!$C159="","",Apontamentos!G159&amp;"")</f>
        <v/>
      </c>
      <c r="F159" s="14"/>
      <c r="G159" s="14"/>
      <c r="H159" s="14"/>
      <c r="I159" s="14"/>
      <c r="J159" s="13"/>
      <c r="K159" s="13"/>
    </row>
    <row r="160" customFormat="false" ht="15" hidden="false" customHeight="false" outlineLevel="0" collapsed="false">
      <c r="A160" s="11" t="str">
        <f aca="false">Apontamentos!C160</f>
        <v/>
      </c>
      <c r="B160" s="11" t="str">
        <f aca="false">IF(Apontamentos!$C160="","",Apontamentos!D160&amp;"")</f>
        <v/>
      </c>
      <c r="C160" s="11" t="str">
        <f aca="false">IF(Apontamentos!$C160="","",Apontamentos!E160&amp;"")</f>
        <v/>
      </c>
      <c r="D160" s="10" t="str">
        <f aca="false">IF(Apontamentos!$C160="","",Apontamentos!F160&amp;"")</f>
        <v/>
      </c>
      <c r="E160" s="10" t="str">
        <f aca="false">IF(Apontamentos!$C160="","",Apontamentos!G160&amp;"")</f>
        <v/>
      </c>
      <c r="F160" s="14"/>
      <c r="G160" s="14"/>
      <c r="H160" s="14"/>
      <c r="I160" s="14"/>
      <c r="J160" s="13"/>
      <c r="K160" s="13"/>
    </row>
    <row r="161" customFormat="false" ht="15" hidden="false" customHeight="false" outlineLevel="0" collapsed="false">
      <c r="A161" s="11" t="str">
        <f aca="false">Apontamentos!C161</f>
        <v/>
      </c>
      <c r="B161" s="11" t="str">
        <f aca="false">IF(Apontamentos!$C161="","",Apontamentos!D161&amp;"")</f>
        <v/>
      </c>
      <c r="C161" s="11" t="str">
        <f aca="false">IF(Apontamentos!$C161="","",Apontamentos!E161&amp;"")</f>
        <v/>
      </c>
      <c r="D161" s="10" t="str">
        <f aca="false">IF(Apontamentos!$C161="","",Apontamentos!F161&amp;"")</f>
        <v/>
      </c>
      <c r="E161" s="10" t="str">
        <f aca="false">IF(Apontamentos!$C161="","",Apontamentos!G161&amp;"")</f>
        <v/>
      </c>
      <c r="F161" s="14"/>
      <c r="G161" s="14"/>
      <c r="H161" s="14"/>
      <c r="I161" s="14"/>
      <c r="J161" s="13"/>
      <c r="K161" s="13"/>
    </row>
    <row r="162" customFormat="false" ht="15" hidden="false" customHeight="false" outlineLevel="0" collapsed="false">
      <c r="A162" s="11" t="str">
        <f aca="false">Apontamentos!C162</f>
        <v/>
      </c>
      <c r="B162" s="11" t="str">
        <f aca="false">IF(Apontamentos!$C162="","",Apontamentos!D162&amp;"")</f>
        <v/>
      </c>
      <c r="C162" s="11" t="str">
        <f aca="false">IF(Apontamentos!$C162="","",Apontamentos!E162&amp;"")</f>
        <v/>
      </c>
      <c r="D162" s="10" t="str">
        <f aca="false">IF(Apontamentos!$C162="","",Apontamentos!F162&amp;"")</f>
        <v/>
      </c>
      <c r="E162" s="10" t="str">
        <f aca="false">IF(Apontamentos!$C162="","",Apontamentos!G162&amp;"")</f>
        <v/>
      </c>
      <c r="F162" s="14"/>
      <c r="G162" s="14"/>
      <c r="H162" s="14"/>
      <c r="I162" s="14"/>
      <c r="J162" s="13"/>
      <c r="K162" s="13"/>
    </row>
    <row r="163" customFormat="false" ht="15" hidden="false" customHeight="false" outlineLevel="0" collapsed="false">
      <c r="A163" s="11" t="str">
        <f aca="false">Apontamentos!C163</f>
        <v/>
      </c>
      <c r="B163" s="11" t="str">
        <f aca="false">IF(Apontamentos!$C163="","",Apontamentos!D163&amp;"")</f>
        <v/>
      </c>
      <c r="C163" s="11" t="str">
        <f aca="false">IF(Apontamentos!$C163="","",Apontamentos!E163&amp;"")</f>
        <v/>
      </c>
      <c r="D163" s="10" t="str">
        <f aca="false">IF(Apontamentos!$C163="","",Apontamentos!F163&amp;"")</f>
        <v/>
      </c>
      <c r="E163" s="10" t="str">
        <f aca="false">IF(Apontamentos!$C163="","",Apontamentos!G163&amp;"")</f>
        <v/>
      </c>
      <c r="F163" s="14"/>
      <c r="G163" s="14"/>
      <c r="H163" s="14"/>
      <c r="I163" s="14"/>
      <c r="J163" s="13"/>
      <c r="K163" s="13"/>
    </row>
    <row r="164" customFormat="false" ht="15" hidden="false" customHeight="false" outlineLevel="0" collapsed="false">
      <c r="A164" s="11" t="str">
        <f aca="false">Apontamentos!C164</f>
        <v/>
      </c>
      <c r="B164" s="11" t="str">
        <f aca="false">IF(Apontamentos!$C164="","",Apontamentos!D164&amp;"")</f>
        <v/>
      </c>
      <c r="C164" s="11" t="str">
        <f aca="false">IF(Apontamentos!$C164="","",Apontamentos!E164&amp;"")</f>
        <v/>
      </c>
      <c r="D164" s="10" t="str">
        <f aca="false">IF(Apontamentos!$C164="","",Apontamentos!F164&amp;"")</f>
        <v/>
      </c>
      <c r="E164" s="10" t="str">
        <f aca="false">IF(Apontamentos!$C164="","",Apontamentos!G164&amp;"")</f>
        <v/>
      </c>
      <c r="F164" s="14"/>
      <c r="G164" s="14"/>
      <c r="H164" s="14"/>
      <c r="I164" s="14"/>
      <c r="J164" s="13"/>
      <c r="K164" s="13"/>
    </row>
    <row r="165" customFormat="false" ht="15" hidden="false" customHeight="false" outlineLevel="0" collapsed="false">
      <c r="A165" s="11" t="str">
        <f aca="false">Apontamentos!C165</f>
        <v/>
      </c>
      <c r="B165" s="11" t="str">
        <f aca="false">IF(Apontamentos!$C165="","",Apontamentos!D165&amp;"")</f>
        <v/>
      </c>
      <c r="C165" s="11" t="str">
        <f aca="false">IF(Apontamentos!$C165="","",Apontamentos!E165&amp;"")</f>
        <v/>
      </c>
      <c r="D165" s="10" t="str">
        <f aca="false">IF(Apontamentos!$C165="","",Apontamentos!F165&amp;"")</f>
        <v/>
      </c>
      <c r="E165" s="10" t="str">
        <f aca="false">IF(Apontamentos!$C165="","",Apontamentos!G165&amp;"")</f>
        <v/>
      </c>
      <c r="F165" s="14"/>
      <c r="G165" s="14"/>
      <c r="H165" s="14"/>
      <c r="I165" s="14"/>
      <c r="J165" s="13"/>
      <c r="K165" s="13"/>
    </row>
    <row r="166" customFormat="false" ht="15" hidden="false" customHeight="false" outlineLevel="0" collapsed="false">
      <c r="A166" s="11" t="str">
        <f aca="false">Apontamentos!C166</f>
        <v/>
      </c>
      <c r="B166" s="11" t="str">
        <f aca="false">IF(Apontamentos!$C166="","",Apontamentos!D166&amp;"")</f>
        <v/>
      </c>
      <c r="C166" s="11" t="str">
        <f aca="false">IF(Apontamentos!$C166="","",Apontamentos!E166&amp;"")</f>
        <v/>
      </c>
      <c r="D166" s="10" t="str">
        <f aca="false">IF(Apontamentos!$C166="","",Apontamentos!F166&amp;"")</f>
        <v/>
      </c>
      <c r="E166" s="10" t="str">
        <f aca="false">IF(Apontamentos!$C166="","",Apontamentos!G166&amp;"")</f>
        <v/>
      </c>
      <c r="F166" s="14"/>
      <c r="G166" s="14"/>
      <c r="H166" s="14"/>
      <c r="I166" s="14"/>
      <c r="J166" s="13"/>
      <c r="K166" s="13"/>
    </row>
    <row r="167" customFormat="false" ht="15" hidden="false" customHeight="false" outlineLevel="0" collapsed="false">
      <c r="A167" s="11" t="str">
        <f aca="false">Apontamentos!C167</f>
        <v/>
      </c>
      <c r="B167" s="11" t="str">
        <f aca="false">IF(Apontamentos!$C167="","",Apontamentos!D167&amp;"")</f>
        <v/>
      </c>
      <c r="C167" s="11" t="str">
        <f aca="false">IF(Apontamentos!$C167="","",Apontamentos!E167&amp;"")</f>
        <v/>
      </c>
      <c r="D167" s="10" t="str">
        <f aca="false">IF(Apontamentos!$C167="","",Apontamentos!F167&amp;"")</f>
        <v/>
      </c>
      <c r="E167" s="10" t="str">
        <f aca="false">IF(Apontamentos!$C167="","",Apontamentos!G167&amp;"")</f>
        <v/>
      </c>
      <c r="F167" s="14"/>
      <c r="G167" s="14"/>
      <c r="H167" s="14"/>
      <c r="I167" s="14"/>
      <c r="J167" s="13"/>
      <c r="K167" s="13"/>
    </row>
    <row r="168" customFormat="false" ht="15" hidden="false" customHeight="false" outlineLevel="0" collapsed="false">
      <c r="A168" s="11" t="str">
        <f aca="false">Apontamentos!C168</f>
        <v/>
      </c>
      <c r="B168" s="11" t="str">
        <f aca="false">IF(Apontamentos!$C168="","",Apontamentos!D168&amp;"")</f>
        <v/>
      </c>
      <c r="C168" s="11" t="str">
        <f aca="false">IF(Apontamentos!$C168="","",Apontamentos!E168&amp;"")</f>
        <v/>
      </c>
      <c r="D168" s="10" t="str">
        <f aca="false">IF(Apontamentos!$C168="","",Apontamentos!F168&amp;"")</f>
        <v/>
      </c>
      <c r="E168" s="10" t="str">
        <f aca="false">IF(Apontamentos!$C168="","",Apontamentos!G168&amp;"")</f>
        <v/>
      </c>
      <c r="F168" s="14"/>
      <c r="G168" s="14"/>
      <c r="H168" s="14"/>
      <c r="I168" s="14"/>
      <c r="J168" s="13"/>
      <c r="K168" s="13"/>
    </row>
    <row r="169" customFormat="false" ht="15" hidden="false" customHeight="false" outlineLevel="0" collapsed="false">
      <c r="A169" s="11" t="str">
        <f aca="false">Apontamentos!C169</f>
        <v/>
      </c>
      <c r="B169" s="11" t="str">
        <f aca="false">IF(Apontamentos!$C169="","",Apontamentos!D169&amp;"")</f>
        <v/>
      </c>
      <c r="C169" s="11" t="str">
        <f aca="false">IF(Apontamentos!$C169="","",Apontamentos!E169&amp;"")</f>
        <v/>
      </c>
      <c r="D169" s="10" t="str">
        <f aca="false">IF(Apontamentos!$C169="","",Apontamentos!F169&amp;"")</f>
        <v/>
      </c>
      <c r="E169" s="10" t="str">
        <f aca="false">IF(Apontamentos!$C169="","",Apontamentos!G169&amp;"")</f>
        <v/>
      </c>
      <c r="F169" s="14"/>
      <c r="G169" s="14"/>
      <c r="H169" s="14"/>
      <c r="I169" s="14"/>
      <c r="J169" s="13"/>
      <c r="K169" s="13"/>
    </row>
    <row r="170" customFormat="false" ht="15" hidden="false" customHeight="false" outlineLevel="0" collapsed="false">
      <c r="A170" s="11" t="str">
        <f aca="false">Apontamentos!C170</f>
        <v/>
      </c>
      <c r="B170" s="11" t="str">
        <f aca="false">IF(Apontamentos!$C170="","",Apontamentos!D170&amp;"")</f>
        <v/>
      </c>
      <c r="C170" s="11" t="str">
        <f aca="false">IF(Apontamentos!$C170="","",Apontamentos!E170&amp;"")</f>
        <v/>
      </c>
      <c r="D170" s="10" t="str">
        <f aca="false">IF(Apontamentos!$C170="","",Apontamentos!F170&amp;"")</f>
        <v/>
      </c>
      <c r="E170" s="10" t="str">
        <f aca="false">IF(Apontamentos!$C170="","",Apontamentos!G170&amp;"")</f>
        <v/>
      </c>
      <c r="F170" s="14"/>
      <c r="G170" s="14"/>
      <c r="H170" s="14"/>
      <c r="I170" s="14"/>
      <c r="J170" s="13"/>
      <c r="K170" s="13"/>
    </row>
    <row r="171" customFormat="false" ht="15" hidden="false" customHeight="false" outlineLevel="0" collapsed="false">
      <c r="A171" s="11" t="str">
        <f aca="false">Apontamentos!C171</f>
        <v/>
      </c>
      <c r="B171" s="11" t="str">
        <f aca="false">IF(Apontamentos!$C171="","",Apontamentos!D171&amp;"")</f>
        <v/>
      </c>
      <c r="C171" s="11" t="str">
        <f aca="false">IF(Apontamentos!$C171="","",Apontamentos!E171&amp;"")</f>
        <v/>
      </c>
      <c r="D171" s="10" t="str">
        <f aca="false">IF(Apontamentos!$C171="","",Apontamentos!F171&amp;"")</f>
        <v/>
      </c>
      <c r="E171" s="10" t="str">
        <f aca="false">IF(Apontamentos!$C171="","",Apontamentos!G171&amp;"")</f>
        <v/>
      </c>
      <c r="F171" s="14"/>
      <c r="G171" s="14"/>
      <c r="H171" s="14"/>
      <c r="I171" s="14"/>
      <c r="J171" s="13"/>
      <c r="K171" s="13"/>
    </row>
    <row r="172" customFormat="false" ht="15" hidden="false" customHeight="false" outlineLevel="0" collapsed="false">
      <c r="A172" s="11" t="str">
        <f aca="false">Apontamentos!C172</f>
        <v/>
      </c>
      <c r="B172" s="11" t="str">
        <f aca="false">IF(Apontamentos!$C172="","",Apontamentos!D172&amp;"")</f>
        <v/>
      </c>
      <c r="C172" s="11" t="str">
        <f aca="false">IF(Apontamentos!$C172="","",Apontamentos!E172&amp;"")</f>
        <v/>
      </c>
      <c r="D172" s="10" t="str">
        <f aca="false">IF(Apontamentos!$C172="","",Apontamentos!F172&amp;"")</f>
        <v/>
      </c>
      <c r="E172" s="10" t="str">
        <f aca="false">IF(Apontamentos!$C172="","",Apontamentos!G172&amp;"")</f>
        <v/>
      </c>
      <c r="F172" s="14"/>
      <c r="G172" s="14"/>
      <c r="H172" s="14"/>
      <c r="I172" s="14"/>
      <c r="J172" s="13"/>
      <c r="K172" s="13"/>
    </row>
    <row r="173" customFormat="false" ht="15" hidden="false" customHeight="false" outlineLevel="0" collapsed="false">
      <c r="A173" s="11" t="str">
        <f aca="false">Apontamentos!C173</f>
        <v/>
      </c>
      <c r="B173" s="11" t="str">
        <f aca="false">IF(Apontamentos!$C173="","",Apontamentos!D173&amp;"")</f>
        <v/>
      </c>
      <c r="C173" s="11" t="str">
        <f aca="false">IF(Apontamentos!$C173="","",Apontamentos!E173&amp;"")</f>
        <v/>
      </c>
      <c r="D173" s="10" t="str">
        <f aca="false">IF(Apontamentos!$C173="","",Apontamentos!F173&amp;"")</f>
        <v/>
      </c>
      <c r="E173" s="10" t="str">
        <f aca="false">IF(Apontamentos!$C173="","",Apontamentos!G173&amp;"")</f>
        <v/>
      </c>
      <c r="F173" s="14"/>
      <c r="G173" s="14"/>
      <c r="H173" s="14"/>
      <c r="I173" s="14"/>
      <c r="J173" s="13"/>
      <c r="K173" s="13"/>
    </row>
    <row r="174" customFormat="false" ht="15" hidden="false" customHeight="false" outlineLevel="0" collapsed="false">
      <c r="A174" s="11" t="str">
        <f aca="false">Apontamentos!C174</f>
        <v/>
      </c>
      <c r="B174" s="11" t="str">
        <f aca="false">IF(Apontamentos!$C174="","",Apontamentos!D174&amp;"")</f>
        <v/>
      </c>
      <c r="C174" s="11" t="str">
        <f aca="false">IF(Apontamentos!$C174="","",Apontamentos!E174&amp;"")</f>
        <v/>
      </c>
      <c r="D174" s="10" t="str">
        <f aca="false">IF(Apontamentos!$C174="","",Apontamentos!F174&amp;"")</f>
        <v/>
      </c>
      <c r="E174" s="10" t="str">
        <f aca="false">IF(Apontamentos!$C174="","",Apontamentos!G174&amp;"")</f>
        <v/>
      </c>
      <c r="F174" s="14"/>
      <c r="G174" s="14"/>
      <c r="H174" s="14"/>
      <c r="I174" s="14"/>
      <c r="J174" s="13"/>
      <c r="K174" s="13"/>
    </row>
    <row r="175" customFormat="false" ht="15" hidden="false" customHeight="false" outlineLevel="0" collapsed="false">
      <c r="A175" s="11" t="str">
        <f aca="false">Apontamentos!C175</f>
        <v/>
      </c>
      <c r="B175" s="11" t="str">
        <f aca="false">IF(Apontamentos!$C175="","",Apontamentos!D175&amp;"")</f>
        <v/>
      </c>
      <c r="C175" s="11" t="str">
        <f aca="false">IF(Apontamentos!$C175="","",Apontamentos!E175&amp;"")</f>
        <v/>
      </c>
      <c r="D175" s="10" t="str">
        <f aca="false">IF(Apontamentos!$C175="","",Apontamentos!F175&amp;"")</f>
        <v/>
      </c>
      <c r="E175" s="10" t="str">
        <f aca="false">IF(Apontamentos!$C175="","",Apontamentos!G175&amp;"")</f>
        <v/>
      </c>
      <c r="F175" s="14"/>
      <c r="G175" s="14"/>
      <c r="H175" s="14"/>
      <c r="I175" s="14"/>
      <c r="J175" s="13"/>
      <c r="K175" s="13"/>
    </row>
    <row r="176" customFormat="false" ht="15" hidden="false" customHeight="false" outlineLevel="0" collapsed="false">
      <c r="A176" s="11" t="str">
        <f aca="false">Apontamentos!C176</f>
        <v/>
      </c>
      <c r="B176" s="11" t="str">
        <f aca="false">IF(Apontamentos!$C176="","",Apontamentos!D176&amp;"")</f>
        <v/>
      </c>
      <c r="C176" s="11" t="str">
        <f aca="false">IF(Apontamentos!$C176="","",Apontamentos!E176&amp;"")</f>
        <v/>
      </c>
      <c r="D176" s="10" t="str">
        <f aca="false">IF(Apontamentos!$C176="","",Apontamentos!F176&amp;"")</f>
        <v/>
      </c>
      <c r="E176" s="10" t="str">
        <f aca="false">IF(Apontamentos!$C176="","",Apontamentos!G176&amp;"")</f>
        <v/>
      </c>
      <c r="F176" s="14"/>
      <c r="G176" s="14"/>
      <c r="H176" s="14"/>
      <c r="I176" s="14"/>
      <c r="J176" s="13"/>
      <c r="K176" s="13"/>
    </row>
    <row r="177" customFormat="false" ht="15" hidden="false" customHeight="false" outlineLevel="0" collapsed="false">
      <c r="A177" s="11" t="str">
        <f aca="false">Apontamentos!C177</f>
        <v/>
      </c>
      <c r="B177" s="11" t="str">
        <f aca="false">IF(Apontamentos!$C177="","",Apontamentos!D177&amp;"")</f>
        <v/>
      </c>
      <c r="C177" s="11" t="str">
        <f aca="false">IF(Apontamentos!$C177="","",Apontamentos!E177&amp;"")</f>
        <v/>
      </c>
      <c r="D177" s="10" t="str">
        <f aca="false">IF(Apontamentos!$C177="","",Apontamentos!F177&amp;"")</f>
        <v/>
      </c>
      <c r="E177" s="10" t="str">
        <f aca="false">IF(Apontamentos!$C177="","",Apontamentos!G177&amp;"")</f>
        <v/>
      </c>
      <c r="F177" s="14"/>
      <c r="G177" s="14"/>
      <c r="H177" s="14"/>
      <c r="I177" s="14"/>
      <c r="J177" s="13"/>
      <c r="K177" s="13"/>
    </row>
    <row r="178" customFormat="false" ht="15" hidden="false" customHeight="false" outlineLevel="0" collapsed="false">
      <c r="A178" s="11" t="str">
        <f aca="false">Apontamentos!C178</f>
        <v/>
      </c>
      <c r="B178" s="11" t="str">
        <f aca="false">IF(Apontamentos!$C178="","",Apontamentos!D178&amp;"")</f>
        <v/>
      </c>
      <c r="C178" s="11" t="str">
        <f aca="false">IF(Apontamentos!$C178="","",Apontamentos!E178&amp;"")</f>
        <v/>
      </c>
      <c r="D178" s="10" t="str">
        <f aca="false">IF(Apontamentos!$C178="","",Apontamentos!F178&amp;"")</f>
        <v/>
      </c>
      <c r="E178" s="10" t="str">
        <f aca="false">IF(Apontamentos!$C178="","",Apontamentos!G178&amp;"")</f>
        <v/>
      </c>
      <c r="F178" s="14"/>
      <c r="G178" s="14"/>
      <c r="H178" s="14"/>
      <c r="I178" s="14"/>
      <c r="J178" s="13"/>
      <c r="K178" s="13"/>
    </row>
    <row r="179" customFormat="false" ht="15" hidden="false" customHeight="false" outlineLevel="0" collapsed="false">
      <c r="A179" s="11" t="str">
        <f aca="false">Apontamentos!C179</f>
        <v/>
      </c>
      <c r="B179" s="11" t="str">
        <f aca="false">IF(Apontamentos!$C179="","",Apontamentos!D179&amp;"")</f>
        <v/>
      </c>
      <c r="C179" s="11" t="str">
        <f aca="false">IF(Apontamentos!$C179="","",Apontamentos!E179&amp;"")</f>
        <v/>
      </c>
      <c r="D179" s="10" t="str">
        <f aca="false">IF(Apontamentos!$C179="","",Apontamentos!F179&amp;"")</f>
        <v/>
      </c>
      <c r="E179" s="10" t="str">
        <f aca="false">IF(Apontamentos!$C179="","",Apontamentos!G179&amp;"")</f>
        <v/>
      </c>
      <c r="F179" s="14"/>
      <c r="G179" s="14"/>
      <c r="H179" s="14"/>
      <c r="I179" s="14"/>
      <c r="J179" s="13"/>
      <c r="K179" s="13"/>
    </row>
    <row r="180" customFormat="false" ht="15" hidden="false" customHeight="false" outlineLevel="0" collapsed="false">
      <c r="A180" s="11" t="str">
        <f aca="false">Apontamentos!C180</f>
        <v/>
      </c>
      <c r="B180" s="11" t="str">
        <f aca="false">IF(Apontamentos!$C180="","",Apontamentos!D180&amp;"")</f>
        <v/>
      </c>
      <c r="C180" s="11" t="str">
        <f aca="false">IF(Apontamentos!$C180="","",Apontamentos!E180&amp;"")</f>
        <v/>
      </c>
      <c r="D180" s="10" t="str">
        <f aca="false">IF(Apontamentos!$C180="","",Apontamentos!F180&amp;"")</f>
        <v/>
      </c>
      <c r="E180" s="10" t="str">
        <f aca="false">IF(Apontamentos!$C180="","",Apontamentos!G180&amp;"")</f>
        <v/>
      </c>
      <c r="F180" s="14"/>
      <c r="G180" s="14"/>
      <c r="H180" s="14"/>
      <c r="I180" s="14"/>
      <c r="J180" s="13"/>
      <c r="K180" s="13"/>
    </row>
    <row r="181" customFormat="false" ht="15" hidden="false" customHeight="false" outlineLevel="0" collapsed="false">
      <c r="A181" s="11" t="str">
        <f aca="false">Apontamentos!C181</f>
        <v/>
      </c>
      <c r="B181" s="11" t="str">
        <f aca="false">IF(Apontamentos!$C181="","",Apontamentos!D181&amp;"")</f>
        <v/>
      </c>
      <c r="C181" s="11" t="str">
        <f aca="false">IF(Apontamentos!$C181="","",Apontamentos!E181&amp;"")</f>
        <v/>
      </c>
      <c r="D181" s="10" t="str">
        <f aca="false">IF(Apontamentos!$C181="","",Apontamentos!F181&amp;"")</f>
        <v/>
      </c>
      <c r="E181" s="10" t="str">
        <f aca="false">IF(Apontamentos!$C181="","",Apontamentos!G181&amp;"")</f>
        <v/>
      </c>
      <c r="F181" s="14"/>
      <c r="G181" s="14"/>
      <c r="H181" s="14"/>
      <c r="I181" s="14"/>
      <c r="J181" s="13"/>
      <c r="K181" s="13"/>
    </row>
    <row r="182" customFormat="false" ht="15" hidden="false" customHeight="false" outlineLevel="0" collapsed="false">
      <c r="A182" s="11" t="str">
        <f aca="false">Apontamentos!C182</f>
        <v/>
      </c>
      <c r="B182" s="11" t="str">
        <f aca="false">IF(Apontamentos!$C182="","",Apontamentos!D182&amp;"")</f>
        <v/>
      </c>
      <c r="C182" s="11" t="str">
        <f aca="false">IF(Apontamentos!$C182="","",Apontamentos!E182&amp;"")</f>
        <v/>
      </c>
      <c r="D182" s="10" t="str">
        <f aca="false">IF(Apontamentos!$C182="","",Apontamentos!F182&amp;"")</f>
        <v/>
      </c>
      <c r="E182" s="10" t="str">
        <f aca="false">IF(Apontamentos!$C182="","",Apontamentos!G182&amp;"")</f>
        <v/>
      </c>
      <c r="F182" s="14"/>
      <c r="G182" s="14"/>
      <c r="H182" s="14"/>
      <c r="I182" s="14"/>
      <c r="J182" s="13"/>
      <c r="K182" s="13"/>
    </row>
    <row r="183" customFormat="false" ht="15" hidden="false" customHeight="false" outlineLevel="0" collapsed="false">
      <c r="A183" s="11" t="str">
        <f aca="false">Apontamentos!C183</f>
        <v/>
      </c>
      <c r="B183" s="11" t="str">
        <f aca="false">IF(Apontamentos!$C183="","",Apontamentos!D183&amp;"")</f>
        <v/>
      </c>
      <c r="C183" s="11" t="str">
        <f aca="false">IF(Apontamentos!$C183="","",Apontamentos!E183&amp;"")</f>
        <v/>
      </c>
      <c r="D183" s="10" t="str">
        <f aca="false">IF(Apontamentos!$C183="","",Apontamentos!F183&amp;"")</f>
        <v/>
      </c>
      <c r="E183" s="10" t="str">
        <f aca="false">IF(Apontamentos!$C183="","",Apontamentos!G183&amp;"")</f>
        <v/>
      </c>
      <c r="F183" s="14"/>
      <c r="G183" s="14"/>
      <c r="H183" s="14"/>
      <c r="I183" s="14"/>
      <c r="J183" s="13"/>
      <c r="K183" s="13"/>
    </row>
    <row r="184" customFormat="false" ht="15" hidden="false" customHeight="false" outlineLevel="0" collapsed="false">
      <c r="A184" s="11" t="str">
        <f aca="false">Apontamentos!C184</f>
        <v/>
      </c>
      <c r="B184" s="11" t="str">
        <f aca="false">IF(Apontamentos!$C184="","",Apontamentos!D184&amp;"")</f>
        <v/>
      </c>
      <c r="C184" s="11" t="str">
        <f aca="false">IF(Apontamentos!$C184="","",Apontamentos!E184&amp;"")</f>
        <v/>
      </c>
      <c r="D184" s="10" t="str">
        <f aca="false">IF(Apontamentos!$C184="","",Apontamentos!F184&amp;"")</f>
        <v/>
      </c>
      <c r="E184" s="10" t="str">
        <f aca="false">IF(Apontamentos!$C184="","",Apontamentos!G184&amp;"")</f>
        <v/>
      </c>
      <c r="F184" s="14"/>
      <c r="G184" s="14"/>
      <c r="H184" s="14"/>
      <c r="I184" s="14"/>
      <c r="J184" s="13"/>
      <c r="K184" s="13"/>
    </row>
    <row r="185" customFormat="false" ht="15" hidden="false" customHeight="false" outlineLevel="0" collapsed="false">
      <c r="A185" s="11" t="str">
        <f aca="false">Apontamentos!C185</f>
        <v/>
      </c>
      <c r="B185" s="11" t="str">
        <f aca="false">IF(Apontamentos!$C185="","",Apontamentos!D185&amp;"")</f>
        <v/>
      </c>
      <c r="C185" s="11" t="str">
        <f aca="false">IF(Apontamentos!$C185="","",Apontamentos!E185&amp;"")</f>
        <v/>
      </c>
      <c r="D185" s="10" t="str">
        <f aca="false">IF(Apontamentos!$C185="","",Apontamentos!F185&amp;"")</f>
        <v/>
      </c>
      <c r="E185" s="10" t="str">
        <f aca="false">IF(Apontamentos!$C185="","",Apontamentos!G185&amp;"")</f>
        <v/>
      </c>
      <c r="F185" s="14"/>
      <c r="G185" s="14"/>
      <c r="H185" s="14"/>
      <c r="I185" s="14"/>
      <c r="J185" s="13"/>
      <c r="K185" s="13"/>
    </row>
    <row r="186" customFormat="false" ht="15" hidden="false" customHeight="false" outlineLevel="0" collapsed="false">
      <c r="A186" s="11" t="str">
        <f aca="false">Apontamentos!C186</f>
        <v/>
      </c>
      <c r="B186" s="11" t="str">
        <f aca="false">IF(Apontamentos!$C186="","",Apontamentos!D186&amp;"")</f>
        <v/>
      </c>
      <c r="C186" s="11" t="str">
        <f aca="false">IF(Apontamentos!$C186="","",Apontamentos!E186&amp;"")</f>
        <v/>
      </c>
      <c r="D186" s="10" t="str">
        <f aca="false">IF(Apontamentos!$C186="","",Apontamentos!F186&amp;"")</f>
        <v/>
      </c>
      <c r="E186" s="10" t="str">
        <f aca="false">IF(Apontamentos!$C186="","",Apontamentos!G186&amp;"")</f>
        <v/>
      </c>
      <c r="F186" s="14"/>
      <c r="G186" s="14"/>
      <c r="H186" s="14"/>
      <c r="I186" s="14"/>
      <c r="J186" s="13"/>
      <c r="K186" s="13"/>
    </row>
    <row r="187" customFormat="false" ht="15" hidden="false" customHeight="false" outlineLevel="0" collapsed="false">
      <c r="A187" s="11" t="str">
        <f aca="false">Apontamentos!C187</f>
        <v/>
      </c>
      <c r="B187" s="11" t="str">
        <f aca="false">IF(Apontamentos!$C187="","",Apontamentos!D187&amp;"")</f>
        <v/>
      </c>
      <c r="C187" s="11" t="str">
        <f aca="false">IF(Apontamentos!$C187="","",Apontamentos!E187&amp;"")</f>
        <v/>
      </c>
      <c r="D187" s="10" t="str">
        <f aca="false">IF(Apontamentos!$C187="","",Apontamentos!F187&amp;"")</f>
        <v/>
      </c>
      <c r="E187" s="10" t="str">
        <f aca="false">IF(Apontamentos!$C187="","",Apontamentos!G187&amp;"")</f>
        <v/>
      </c>
      <c r="F187" s="14"/>
      <c r="G187" s="14"/>
      <c r="H187" s="14"/>
      <c r="I187" s="14"/>
      <c r="J187" s="13"/>
      <c r="K187" s="13"/>
    </row>
    <row r="188" customFormat="false" ht="15" hidden="false" customHeight="false" outlineLevel="0" collapsed="false">
      <c r="A188" s="11" t="str">
        <f aca="false">Apontamentos!C188</f>
        <v/>
      </c>
      <c r="B188" s="11" t="str">
        <f aca="false">IF(Apontamentos!$C188="","",Apontamentos!D188&amp;"")</f>
        <v/>
      </c>
      <c r="C188" s="11" t="str">
        <f aca="false">IF(Apontamentos!$C188="","",Apontamentos!E188&amp;"")</f>
        <v/>
      </c>
      <c r="D188" s="10" t="str">
        <f aca="false">IF(Apontamentos!$C188="","",Apontamentos!F188&amp;"")</f>
        <v/>
      </c>
      <c r="E188" s="10" t="str">
        <f aca="false">IF(Apontamentos!$C188="","",Apontamentos!G188&amp;"")</f>
        <v/>
      </c>
      <c r="F188" s="14"/>
      <c r="G188" s="14"/>
      <c r="H188" s="14"/>
      <c r="I188" s="14"/>
      <c r="J188" s="13"/>
      <c r="K188" s="13"/>
    </row>
    <row r="189" customFormat="false" ht="15" hidden="false" customHeight="false" outlineLevel="0" collapsed="false">
      <c r="A189" s="11" t="str">
        <f aca="false">Apontamentos!C189</f>
        <v/>
      </c>
      <c r="B189" s="11" t="str">
        <f aca="false">IF(Apontamentos!$C189="","",Apontamentos!D189&amp;"")</f>
        <v/>
      </c>
      <c r="C189" s="11" t="str">
        <f aca="false">IF(Apontamentos!$C189="","",Apontamentos!E189&amp;"")</f>
        <v/>
      </c>
      <c r="D189" s="10" t="str">
        <f aca="false">IF(Apontamentos!$C189="","",Apontamentos!F189&amp;"")</f>
        <v/>
      </c>
      <c r="E189" s="10" t="str">
        <f aca="false">IF(Apontamentos!$C189="","",Apontamentos!G189&amp;"")</f>
        <v/>
      </c>
      <c r="F189" s="14"/>
      <c r="G189" s="14"/>
      <c r="H189" s="14"/>
      <c r="I189" s="14"/>
      <c r="J189" s="13"/>
      <c r="K189" s="13"/>
    </row>
    <row r="190" customFormat="false" ht="15" hidden="false" customHeight="false" outlineLevel="0" collapsed="false">
      <c r="A190" s="11" t="str">
        <f aca="false">Apontamentos!C190</f>
        <v/>
      </c>
      <c r="B190" s="11" t="str">
        <f aca="false">IF(Apontamentos!$C190="","",Apontamentos!D190&amp;"")</f>
        <v/>
      </c>
      <c r="C190" s="11" t="str">
        <f aca="false">IF(Apontamentos!$C190="","",Apontamentos!E190&amp;"")</f>
        <v/>
      </c>
      <c r="D190" s="10" t="str">
        <f aca="false">IF(Apontamentos!$C190="","",Apontamentos!F190&amp;"")</f>
        <v/>
      </c>
      <c r="E190" s="10" t="str">
        <f aca="false">IF(Apontamentos!$C190="","",Apontamentos!G190&amp;"")</f>
        <v/>
      </c>
      <c r="F190" s="14"/>
      <c r="G190" s="14"/>
      <c r="H190" s="14"/>
      <c r="I190" s="14"/>
      <c r="J190" s="13"/>
      <c r="K190" s="13"/>
    </row>
    <row r="191" customFormat="false" ht="15" hidden="false" customHeight="false" outlineLevel="0" collapsed="false">
      <c r="A191" s="11" t="str">
        <f aca="false">Apontamentos!C191</f>
        <v/>
      </c>
      <c r="B191" s="11" t="str">
        <f aca="false">IF(Apontamentos!$C191="","",Apontamentos!D191&amp;"")</f>
        <v/>
      </c>
      <c r="C191" s="11" t="str">
        <f aca="false">IF(Apontamentos!$C191="","",Apontamentos!E191&amp;"")</f>
        <v/>
      </c>
      <c r="D191" s="10" t="str">
        <f aca="false">IF(Apontamentos!$C191="","",Apontamentos!F191&amp;"")</f>
        <v/>
      </c>
      <c r="E191" s="10" t="str">
        <f aca="false">IF(Apontamentos!$C191="","",Apontamentos!G191&amp;"")</f>
        <v/>
      </c>
      <c r="F191" s="14"/>
      <c r="G191" s="14"/>
      <c r="H191" s="14"/>
      <c r="I191" s="14"/>
      <c r="J191" s="13"/>
      <c r="K191" s="13"/>
    </row>
    <row r="192" customFormat="false" ht="15" hidden="false" customHeight="false" outlineLevel="0" collapsed="false">
      <c r="A192" s="11" t="str">
        <f aca="false">Apontamentos!C192</f>
        <v/>
      </c>
      <c r="B192" s="11" t="str">
        <f aca="false">IF(Apontamentos!$C192="","",Apontamentos!D192&amp;"")</f>
        <v/>
      </c>
      <c r="C192" s="11" t="str">
        <f aca="false">IF(Apontamentos!$C192="","",Apontamentos!E192&amp;"")</f>
        <v/>
      </c>
      <c r="D192" s="10" t="str">
        <f aca="false">IF(Apontamentos!$C192="","",Apontamentos!F192&amp;"")</f>
        <v/>
      </c>
      <c r="E192" s="10" t="str">
        <f aca="false">IF(Apontamentos!$C192="","",Apontamentos!G192&amp;"")</f>
        <v/>
      </c>
      <c r="F192" s="14"/>
      <c r="G192" s="14"/>
      <c r="H192" s="14"/>
      <c r="I192" s="14"/>
      <c r="J192" s="13"/>
      <c r="K192" s="13"/>
    </row>
    <row r="193" customFormat="false" ht="15" hidden="false" customHeight="false" outlineLevel="0" collapsed="false">
      <c r="A193" s="11" t="str">
        <f aca="false">Apontamentos!C193</f>
        <v/>
      </c>
      <c r="B193" s="11" t="str">
        <f aca="false">IF(Apontamentos!$C193="","",Apontamentos!D193&amp;"")</f>
        <v/>
      </c>
      <c r="C193" s="11" t="str">
        <f aca="false">IF(Apontamentos!$C193="","",Apontamentos!E193&amp;"")</f>
        <v/>
      </c>
      <c r="D193" s="10" t="str">
        <f aca="false">IF(Apontamentos!$C193="","",Apontamentos!F193&amp;"")</f>
        <v/>
      </c>
      <c r="E193" s="10" t="str">
        <f aca="false">IF(Apontamentos!$C193="","",Apontamentos!G193&amp;"")</f>
        <v/>
      </c>
      <c r="F193" s="14"/>
      <c r="G193" s="14"/>
      <c r="H193" s="14"/>
      <c r="I193" s="14"/>
      <c r="J193" s="13"/>
      <c r="K193" s="13"/>
    </row>
    <row r="194" customFormat="false" ht="15" hidden="false" customHeight="false" outlineLevel="0" collapsed="false">
      <c r="A194" s="11" t="str">
        <f aca="false">Apontamentos!C194</f>
        <v/>
      </c>
      <c r="B194" s="11" t="str">
        <f aca="false">IF(Apontamentos!$C194="","",Apontamentos!D194&amp;"")</f>
        <v/>
      </c>
      <c r="C194" s="11" t="str">
        <f aca="false">IF(Apontamentos!$C194="","",Apontamentos!E194&amp;"")</f>
        <v/>
      </c>
      <c r="D194" s="10" t="str">
        <f aca="false">IF(Apontamentos!$C194="","",Apontamentos!F194&amp;"")</f>
        <v/>
      </c>
      <c r="E194" s="10" t="str">
        <f aca="false">IF(Apontamentos!$C194="","",Apontamentos!G194&amp;"")</f>
        <v/>
      </c>
      <c r="F194" s="14"/>
      <c r="G194" s="14"/>
      <c r="H194" s="14"/>
      <c r="I194" s="14"/>
      <c r="J194" s="13"/>
      <c r="K194" s="13"/>
    </row>
    <row r="195" customFormat="false" ht="15" hidden="false" customHeight="false" outlineLevel="0" collapsed="false">
      <c r="A195" s="11" t="str">
        <f aca="false">Apontamentos!C195</f>
        <v/>
      </c>
      <c r="B195" s="11" t="str">
        <f aca="false">IF(Apontamentos!$C195="","",Apontamentos!D195&amp;"")</f>
        <v/>
      </c>
      <c r="C195" s="11" t="str">
        <f aca="false">IF(Apontamentos!$C195="","",Apontamentos!E195&amp;"")</f>
        <v/>
      </c>
      <c r="D195" s="10" t="str">
        <f aca="false">IF(Apontamentos!$C195="","",Apontamentos!F195&amp;"")</f>
        <v/>
      </c>
      <c r="E195" s="10" t="str">
        <f aca="false">IF(Apontamentos!$C195="","",Apontamentos!G195&amp;"")</f>
        <v/>
      </c>
      <c r="F195" s="14"/>
      <c r="G195" s="14"/>
      <c r="H195" s="14"/>
      <c r="I195" s="14"/>
      <c r="J195" s="13"/>
      <c r="K195" s="13"/>
    </row>
    <row r="196" customFormat="false" ht="15" hidden="false" customHeight="false" outlineLevel="0" collapsed="false">
      <c r="A196" s="11" t="str">
        <f aca="false">Apontamentos!C196</f>
        <v/>
      </c>
      <c r="B196" s="11" t="str">
        <f aca="false">IF(Apontamentos!$C196="","",Apontamentos!D196&amp;"")</f>
        <v/>
      </c>
      <c r="C196" s="11" t="str">
        <f aca="false">IF(Apontamentos!$C196="","",Apontamentos!E196&amp;"")</f>
        <v/>
      </c>
      <c r="D196" s="10" t="str">
        <f aca="false">IF(Apontamentos!$C196="","",Apontamentos!F196&amp;"")</f>
        <v/>
      </c>
      <c r="E196" s="10" t="str">
        <f aca="false">IF(Apontamentos!$C196="","",Apontamentos!G196&amp;"")</f>
        <v/>
      </c>
      <c r="F196" s="14"/>
      <c r="G196" s="14"/>
      <c r="H196" s="14"/>
      <c r="I196" s="14"/>
      <c r="J196" s="13"/>
      <c r="K196" s="13"/>
    </row>
    <row r="197" customFormat="false" ht="15" hidden="false" customHeight="false" outlineLevel="0" collapsed="false">
      <c r="A197" s="11" t="str">
        <f aca="false">Apontamentos!C197</f>
        <v/>
      </c>
      <c r="B197" s="11" t="str">
        <f aca="false">IF(Apontamentos!$C197="","",Apontamentos!D197&amp;"")</f>
        <v/>
      </c>
      <c r="C197" s="11" t="str">
        <f aca="false">IF(Apontamentos!$C197="","",Apontamentos!E197&amp;"")</f>
        <v/>
      </c>
      <c r="D197" s="10" t="str">
        <f aca="false">IF(Apontamentos!$C197="","",Apontamentos!F197&amp;"")</f>
        <v/>
      </c>
      <c r="E197" s="10" t="str">
        <f aca="false">IF(Apontamentos!$C197="","",Apontamentos!G197&amp;"")</f>
        <v/>
      </c>
      <c r="F197" s="14"/>
      <c r="G197" s="14"/>
      <c r="H197" s="14"/>
      <c r="I197" s="14"/>
      <c r="J197" s="13"/>
      <c r="K197" s="13"/>
    </row>
    <row r="198" customFormat="false" ht="15" hidden="false" customHeight="false" outlineLevel="0" collapsed="false">
      <c r="A198" s="11" t="str">
        <f aca="false">Apontamentos!C198</f>
        <v/>
      </c>
      <c r="B198" s="11" t="str">
        <f aca="false">IF(Apontamentos!$C198="","",Apontamentos!D198&amp;"")</f>
        <v/>
      </c>
      <c r="C198" s="11" t="str">
        <f aca="false">IF(Apontamentos!$C198="","",Apontamentos!E198&amp;"")</f>
        <v/>
      </c>
      <c r="D198" s="10" t="str">
        <f aca="false">IF(Apontamentos!$C198="","",Apontamentos!F198&amp;"")</f>
        <v/>
      </c>
      <c r="E198" s="10" t="str">
        <f aca="false">IF(Apontamentos!$C198="","",Apontamentos!G198&amp;"")</f>
        <v/>
      </c>
      <c r="F198" s="14"/>
      <c r="G198" s="14"/>
      <c r="H198" s="14"/>
      <c r="I198" s="14"/>
      <c r="J198" s="13"/>
      <c r="K198" s="13"/>
    </row>
    <row r="199" customFormat="false" ht="15" hidden="false" customHeight="false" outlineLevel="0" collapsed="false">
      <c r="A199" s="11" t="str">
        <f aca="false">Apontamentos!C199</f>
        <v/>
      </c>
      <c r="B199" s="11" t="str">
        <f aca="false">IF(Apontamentos!$C199="","",Apontamentos!D199&amp;"")</f>
        <v/>
      </c>
      <c r="C199" s="11" t="str">
        <f aca="false">IF(Apontamentos!$C199="","",Apontamentos!E199&amp;"")</f>
        <v/>
      </c>
      <c r="D199" s="10" t="str">
        <f aca="false">IF(Apontamentos!$C199="","",Apontamentos!F199&amp;"")</f>
        <v/>
      </c>
      <c r="E199" s="10" t="str">
        <f aca="false">IF(Apontamentos!$C199="","",Apontamentos!G199&amp;"")</f>
        <v/>
      </c>
      <c r="F199" s="14"/>
      <c r="G199" s="14"/>
      <c r="H199" s="14"/>
      <c r="I199" s="14"/>
      <c r="J199" s="13"/>
      <c r="K199" s="13"/>
    </row>
    <row r="200" customFormat="false" ht="15" hidden="false" customHeight="false" outlineLevel="0" collapsed="false">
      <c r="A200" s="11" t="str">
        <f aca="false">Apontamentos!C200</f>
        <v/>
      </c>
      <c r="B200" s="11" t="str">
        <f aca="false">IF(Apontamentos!$C200="","",Apontamentos!D200&amp;"")</f>
        <v/>
      </c>
      <c r="C200" s="11" t="str">
        <f aca="false">IF(Apontamentos!$C200="","",Apontamentos!E200&amp;"")</f>
        <v/>
      </c>
      <c r="D200" s="10" t="str">
        <f aca="false">IF(Apontamentos!$C200="","",Apontamentos!F200&amp;"")</f>
        <v/>
      </c>
      <c r="E200" s="10" t="str">
        <f aca="false">IF(Apontamentos!$C200="","",Apontamentos!G200&amp;"")</f>
        <v/>
      </c>
      <c r="F200" s="14"/>
      <c r="G200" s="14"/>
      <c r="H200" s="14"/>
      <c r="I200" s="14"/>
      <c r="J200" s="13"/>
      <c r="K200" s="13"/>
    </row>
    <row r="201" customFormat="false" ht="15" hidden="false" customHeight="false" outlineLevel="0" collapsed="false">
      <c r="A201" s="11" t="str">
        <f aca="false">Apontamentos!C201</f>
        <v/>
      </c>
      <c r="B201" s="11" t="str">
        <f aca="false">IF(Apontamentos!$C201="","",Apontamentos!D201&amp;"")</f>
        <v/>
      </c>
      <c r="C201" s="11" t="str">
        <f aca="false">IF(Apontamentos!$C201="","",Apontamentos!E201&amp;"")</f>
        <v/>
      </c>
      <c r="D201" s="10" t="str">
        <f aca="false">IF(Apontamentos!$C201="","",Apontamentos!F201&amp;"")</f>
        <v/>
      </c>
      <c r="E201" s="10" t="str">
        <f aca="false">IF(Apontamentos!$C201="","",Apontamentos!G201&amp;"")</f>
        <v/>
      </c>
      <c r="F201" s="14"/>
      <c r="G201" s="14"/>
      <c r="H201" s="14"/>
      <c r="I201" s="14"/>
      <c r="J201" s="13"/>
      <c r="K201" s="13"/>
    </row>
    <row r="202" customFormat="false" ht="15" hidden="false" customHeight="false" outlineLevel="0" collapsed="false">
      <c r="A202" s="11" t="str">
        <f aca="false">Apontamentos!C202</f>
        <v/>
      </c>
      <c r="B202" s="11" t="str">
        <f aca="false">IF(Apontamentos!$C202="","",Apontamentos!D202&amp;"")</f>
        <v/>
      </c>
      <c r="C202" s="11" t="str">
        <f aca="false">IF(Apontamentos!$C202="","",Apontamentos!E202&amp;"")</f>
        <v/>
      </c>
      <c r="D202" s="10" t="str">
        <f aca="false">IF(Apontamentos!$C202="","",Apontamentos!F202&amp;"")</f>
        <v/>
      </c>
      <c r="E202" s="10" t="str">
        <f aca="false">IF(Apontamentos!$C202="","",Apontamentos!G202&amp;"")</f>
        <v/>
      </c>
      <c r="F202" s="14"/>
      <c r="G202" s="14"/>
      <c r="H202" s="14"/>
      <c r="I202" s="14"/>
      <c r="J202" s="13"/>
      <c r="K202" s="13"/>
    </row>
    <row r="203" customFormat="false" ht="15" hidden="false" customHeight="false" outlineLevel="0" collapsed="false">
      <c r="A203" s="11" t="str">
        <f aca="false">Apontamentos!C203</f>
        <v/>
      </c>
      <c r="B203" s="11" t="str">
        <f aca="false">IF(Apontamentos!$C203="","",Apontamentos!D203&amp;"")</f>
        <v/>
      </c>
      <c r="C203" s="11" t="str">
        <f aca="false">IF(Apontamentos!$C203="","",Apontamentos!E203&amp;"")</f>
        <v/>
      </c>
      <c r="D203" s="10" t="str">
        <f aca="false">IF(Apontamentos!$C203="","",Apontamentos!F203&amp;"")</f>
        <v/>
      </c>
      <c r="E203" s="10" t="str">
        <f aca="false">IF(Apontamentos!$C203="","",Apontamentos!G203&amp;"")</f>
        <v/>
      </c>
      <c r="F203" s="14"/>
      <c r="G203" s="14"/>
      <c r="H203" s="14"/>
      <c r="I203" s="14"/>
      <c r="J203" s="13"/>
      <c r="K203" s="13"/>
    </row>
    <row r="204" customFormat="false" ht="15" hidden="false" customHeight="false" outlineLevel="0" collapsed="false">
      <c r="A204" s="11" t="str">
        <f aca="false">Apontamentos!C204</f>
        <v/>
      </c>
      <c r="B204" s="11" t="str">
        <f aca="false">IF(Apontamentos!$C204="","",Apontamentos!D204&amp;"")</f>
        <v/>
      </c>
      <c r="C204" s="11" t="str">
        <f aca="false">IF(Apontamentos!$C204="","",Apontamentos!E204&amp;"")</f>
        <v/>
      </c>
      <c r="D204" s="10" t="str">
        <f aca="false">IF(Apontamentos!$C204="","",Apontamentos!F204&amp;"")</f>
        <v/>
      </c>
      <c r="E204" s="10" t="str">
        <f aca="false">IF(Apontamentos!$C204="","",Apontamentos!G204&amp;"")</f>
        <v/>
      </c>
      <c r="F204" s="14"/>
      <c r="G204" s="14"/>
      <c r="H204" s="14"/>
      <c r="I204" s="14"/>
      <c r="J204" s="13"/>
      <c r="K204" s="13"/>
    </row>
    <row r="205" customFormat="false" ht="15" hidden="false" customHeight="false" outlineLevel="0" collapsed="false">
      <c r="A205" s="11" t="str">
        <f aca="false">Apontamentos!C205</f>
        <v/>
      </c>
      <c r="B205" s="11" t="str">
        <f aca="false">IF(Apontamentos!$C205="","",Apontamentos!D205&amp;"")</f>
        <v/>
      </c>
      <c r="C205" s="11" t="str">
        <f aca="false">IF(Apontamentos!$C205="","",Apontamentos!E205&amp;"")</f>
        <v/>
      </c>
      <c r="D205" s="10" t="str">
        <f aca="false">IF(Apontamentos!$C205="","",Apontamentos!F205&amp;"")</f>
        <v/>
      </c>
      <c r="E205" s="10" t="str">
        <f aca="false">IF(Apontamentos!$C205="","",Apontamentos!G205&amp;"")</f>
        <v/>
      </c>
      <c r="F205" s="14"/>
      <c r="G205" s="14"/>
      <c r="H205" s="14"/>
      <c r="I205" s="14"/>
      <c r="J205" s="13"/>
      <c r="K205" s="13"/>
    </row>
    <row r="206" customFormat="false" ht="15" hidden="false" customHeight="false" outlineLevel="0" collapsed="false">
      <c r="A206" s="11" t="str">
        <f aca="false">Apontamentos!C206</f>
        <v/>
      </c>
      <c r="B206" s="11" t="str">
        <f aca="false">IF(Apontamentos!$C206="","",Apontamentos!D206&amp;"")</f>
        <v/>
      </c>
      <c r="C206" s="11" t="str">
        <f aca="false">IF(Apontamentos!$C206="","",Apontamentos!E206&amp;"")</f>
        <v/>
      </c>
      <c r="D206" s="10" t="str">
        <f aca="false">IF(Apontamentos!$C206="","",Apontamentos!F206&amp;"")</f>
        <v/>
      </c>
      <c r="E206" s="10" t="str">
        <f aca="false">IF(Apontamentos!$C206="","",Apontamentos!G206&amp;"")</f>
        <v/>
      </c>
      <c r="F206" s="14"/>
      <c r="G206" s="14"/>
      <c r="H206" s="14"/>
      <c r="I206" s="14"/>
      <c r="J206" s="13"/>
      <c r="K206" s="13"/>
    </row>
    <row r="207" customFormat="false" ht="15" hidden="false" customHeight="false" outlineLevel="0" collapsed="false">
      <c r="A207" s="11" t="str">
        <f aca="false">Apontamentos!C207</f>
        <v/>
      </c>
      <c r="B207" s="11" t="str">
        <f aca="false">IF(Apontamentos!$C207="","",Apontamentos!D207&amp;"")</f>
        <v/>
      </c>
      <c r="C207" s="11" t="str">
        <f aca="false">IF(Apontamentos!$C207="","",Apontamentos!E207&amp;"")</f>
        <v/>
      </c>
      <c r="D207" s="10" t="str">
        <f aca="false">IF(Apontamentos!$C207="","",Apontamentos!F207&amp;"")</f>
        <v/>
      </c>
      <c r="E207" s="10" t="str">
        <f aca="false">IF(Apontamentos!$C207="","",Apontamentos!G207&amp;"")</f>
        <v/>
      </c>
      <c r="F207" s="14"/>
      <c r="G207" s="14"/>
      <c r="H207" s="14"/>
      <c r="I207" s="14"/>
      <c r="J207" s="13"/>
      <c r="K207" s="13"/>
    </row>
    <row r="208" customFormat="false" ht="15" hidden="false" customHeight="false" outlineLevel="0" collapsed="false">
      <c r="A208" s="11" t="str">
        <f aca="false">Apontamentos!C208</f>
        <v/>
      </c>
      <c r="B208" s="11" t="str">
        <f aca="false">IF(Apontamentos!$C208="","",Apontamentos!D208&amp;"")</f>
        <v/>
      </c>
      <c r="C208" s="11" t="str">
        <f aca="false">IF(Apontamentos!$C208="","",Apontamentos!E208&amp;"")</f>
        <v/>
      </c>
      <c r="D208" s="10" t="str">
        <f aca="false">IF(Apontamentos!$C208="","",Apontamentos!F208&amp;"")</f>
        <v/>
      </c>
      <c r="E208" s="10" t="str">
        <f aca="false">IF(Apontamentos!$C208="","",Apontamentos!G208&amp;"")</f>
        <v/>
      </c>
      <c r="F208" s="14"/>
      <c r="G208" s="14"/>
      <c r="H208" s="14"/>
      <c r="I208" s="14"/>
      <c r="J208" s="13"/>
      <c r="K208" s="13"/>
    </row>
    <row r="209" customFormat="false" ht="15" hidden="false" customHeight="false" outlineLevel="0" collapsed="false">
      <c r="A209" s="11" t="str">
        <f aca="false">Apontamentos!C209</f>
        <v/>
      </c>
      <c r="B209" s="11" t="str">
        <f aca="false">IF(Apontamentos!$C209="","",Apontamentos!D209&amp;"")</f>
        <v/>
      </c>
      <c r="C209" s="11" t="str">
        <f aca="false">IF(Apontamentos!$C209="","",Apontamentos!E209&amp;"")</f>
        <v/>
      </c>
      <c r="D209" s="10" t="str">
        <f aca="false">IF(Apontamentos!$C209="","",Apontamentos!F209&amp;"")</f>
        <v/>
      </c>
      <c r="E209" s="10" t="str">
        <f aca="false">IF(Apontamentos!$C209="","",Apontamentos!G209&amp;"")</f>
        <v/>
      </c>
      <c r="F209" s="14"/>
      <c r="G209" s="14"/>
      <c r="H209" s="14"/>
      <c r="I209" s="14"/>
      <c r="J209" s="13"/>
      <c r="K209" s="13"/>
    </row>
    <row r="210" customFormat="false" ht="15" hidden="false" customHeight="false" outlineLevel="0" collapsed="false">
      <c r="A210" s="11" t="str">
        <f aca="false">Apontamentos!C210</f>
        <v/>
      </c>
      <c r="B210" s="11" t="str">
        <f aca="false">IF(Apontamentos!$C210="","",Apontamentos!D210&amp;"")</f>
        <v/>
      </c>
      <c r="C210" s="11" t="str">
        <f aca="false">IF(Apontamentos!$C210="","",Apontamentos!E210&amp;"")</f>
        <v/>
      </c>
      <c r="D210" s="10" t="str">
        <f aca="false">IF(Apontamentos!$C210="","",Apontamentos!F210&amp;"")</f>
        <v/>
      </c>
      <c r="E210" s="10" t="str">
        <f aca="false">IF(Apontamentos!$C210="","",Apontamentos!G210&amp;"")</f>
        <v/>
      </c>
      <c r="F210" s="14"/>
      <c r="G210" s="14"/>
      <c r="H210" s="14"/>
      <c r="I210" s="14"/>
      <c r="J210" s="13"/>
      <c r="K210" s="13"/>
    </row>
    <row r="211" customFormat="false" ht="15" hidden="false" customHeight="false" outlineLevel="0" collapsed="false">
      <c r="A211" s="11" t="str">
        <f aca="false">Apontamentos!C211</f>
        <v/>
      </c>
      <c r="B211" s="11" t="str">
        <f aca="false">IF(Apontamentos!$C211="","",Apontamentos!D211&amp;"")</f>
        <v/>
      </c>
      <c r="C211" s="11" t="str">
        <f aca="false">IF(Apontamentos!$C211="","",Apontamentos!E211&amp;"")</f>
        <v/>
      </c>
      <c r="D211" s="10" t="str">
        <f aca="false">IF(Apontamentos!$C211="","",Apontamentos!F211&amp;"")</f>
        <v/>
      </c>
      <c r="E211" s="10" t="str">
        <f aca="false">IF(Apontamentos!$C211="","",Apontamentos!G211&amp;"")</f>
        <v/>
      </c>
      <c r="F211" s="14"/>
      <c r="G211" s="14"/>
      <c r="H211" s="14"/>
      <c r="I211" s="14"/>
      <c r="J211" s="13"/>
      <c r="K211" s="13"/>
    </row>
    <row r="212" customFormat="false" ht="15" hidden="false" customHeight="false" outlineLevel="0" collapsed="false">
      <c r="A212" s="11" t="str">
        <f aca="false">Apontamentos!C212</f>
        <v/>
      </c>
      <c r="B212" s="11" t="str">
        <f aca="false">IF(Apontamentos!$C212="","",Apontamentos!D212&amp;"")</f>
        <v/>
      </c>
      <c r="C212" s="11" t="str">
        <f aca="false">IF(Apontamentos!$C212="","",Apontamentos!E212&amp;"")</f>
        <v/>
      </c>
      <c r="D212" s="10" t="str">
        <f aca="false">IF(Apontamentos!$C212="","",Apontamentos!F212&amp;"")</f>
        <v/>
      </c>
      <c r="E212" s="10" t="str">
        <f aca="false">IF(Apontamentos!$C212="","",Apontamentos!G212&amp;"")</f>
        <v/>
      </c>
      <c r="F212" s="14"/>
      <c r="G212" s="14"/>
      <c r="H212" s="14"/>
      <c r="I212" s="14"/>
      <c r="J212" s="13"/>
      <c r="K212" s="13"/>
    </row>
    <row r="213" customFormat="false" ht="15" hidden="false" customHeight="false" outlineLevel="0" collapsed="false">
      <c r="A213" s="11" t="str">
        <f aca="false">Apontamentos!C213</f>
        <v/>
      </c>
      <c r="B213" s="11" t="str">
        <f aca="false">IF(Apontamentos!$C213="","",Apontamentos!D213&amp;"")</f>
        <v/>
      </c>
      <c r="C213" s="11" t="str">
        <f aca="false">IF(Apontamentos!$C213="","",Apontamentos!E213&amp;"")</f>
        <v/>
      </c>
      <c r="D213" s="10" t="str">
        <f aca="false">IF(Apontamentos!$C213="","",Apontamentos!F213&amp;"")</f>
        <v/>
      </c>
      <c r="E213" s="10" t="str">
        <f aca="false">IF(Apontamentos!$C213="","",Apontamentos!G213&amp;"")</f>
        <v/>
      </c>
      <c r="F213" s="14"/>
      <c r="G213" s="14"/>
      <c r="H213" s="14"/>
      <c r="I213" s="14"/>
      <c r="J213" s="13"/>
      <c r="K213" s="13"/>
    </row>
    <row r="214" customFormat="false" ht="15" hidden="false" customHeight="false" outlineLevel="0" collapsed="false">
      <c r="A214" s="11" t="str">
        <f aca="false">Apontamentos!C214</f>
        <v/>
      </c>
      <c r="B214" s="11" t="str">
        <f aca="false">IF(Apontamentos!$C214="","",Apontamentos!D214&amp;"")</f>
        <v/>
      </c>
      <c r="C214" s="11" t="str">
        <f aca="false">IF(Apontamentos!$C214="","",Apontamentos!E214&amp;"")</f>
        <v/>
      </c>
      <c r="D214" s="10" t="str">
        <f aca="false">IF(Apontamentos!$C214="","",Apontamentos!F214&amp;"")</f>
        <v/>
      </c>
      <c r="E214" s="10" t="str">
        <f aca="false">IF(Apontamentos!$C214="","",Apontamentos!G214&amp;"")</f>
        <v/>
      </c>
      <c r="F214" s="14"/>
      <c r="G214" s="14"/>
      <c r="H214" s="14"/>
      <c r="I214" s="14"/>
      <c r="J214" s="13"/>
      <c r="K214" s="13"/>
    </row>
    <row r="215" customFormat="false" ht="15" hidden="false" customHeight="false" outlineLevel="0" collapsed="false">
      <c r="A215" s="11" t="str">
        <f aca="false">Apontamentos!C215</f>
        <v/>
      </c>
      <c r="B215" s="11" t="str">
        <f aca="false">IF(Apontamentos!$C215="","",Apontamentos!D215&amp;"")</f>
        <v/>
      </c>
      <c r="C215" s="11" t="str">
        <f aca="false">IF(Apontamentos!$C215="","",Apontamentos!E215&amp;"")</f>
        <v/>
      </c>
      <c r="D215" s="10" t="str">
        <f aca="false">IF(Apontamentos!$C215="","",Apontamentos!F215&amp;"")</f>
        <v/>
      </c>
      <c r="E215" s="10" t="str">
        <f aca="false">IF(Apontamentos!$C215="","",Apontamentos!G215&amp;"")</f>
        <v/>
      </c>
      <c r="F215" s="14"/>
      <c r="G215" s="14"/>
      <c r="H215" s="14"/>
      <c r="I215" s="14"/>
      <c r="J215" s="13"/>
      <c r="K215" s="13"/>
    </row>
    <row r="216" customFormat="false" ht="15" hidden="false" customHeight="false" outlineLevel="0" collapsed="false">
      <c r="A216" s="11" t="str">
        <f aca="false">Apontamentos!C216</f>
        <v/>
      </c>
      <c r="B216" s="11" t="str">
        <f aca="false">IF(Apontamentos!$C216="","",Apontamentos!D216&amp;"")</f>
        <v/>
      </c>
      <c r="C216" s="11" t="str">
        <f aca="false">IF(Apontamentos!$C216="","",Apontamentos!E216&amp;"")</f>
        <v/>
      </c>
      <c r="D216" s="10" t="str">
        <f aca="false">IF(Apontamentos!$C216="","",Apontamentos!F216&amp;"")</f>
        <v/>
      </c>
      <c r="E216" s="10" t="str">
        <f aca="false">IF(Apontamentos!$C216="","",Apontamentos!G216&amp;"")</f>
        <v/>
      </c>
      <c r="F216" s="14"/>
      <c r="G216" s="14"/>
      <c r="H216" s="14"/>
      <c r="I216" s="14"/>
      <c r="J216" s="13"/>
      <c r="K216" s="13"/>
    </row>
    <row r="217" customFormat="false" ht="15" hidden="false" customHeight="false" outlineLevel="0" collapsed="false">
      <c r="A217" s="11" t="str">
        <f aca="false">Apontamentos!C217</f>
        <v/>
      </c>
      <c r="B217" s="11" t="str">
        <f aca="false">IF(Apontamentos!$C217="","",Apontamentos!D217&amp;"")</f>
        <v/>
      </c>
      <c r="C217" s="11" t="str">
        <f aca="false">IF(Apontamentos!$C217="","",Apontamentos!E217&amp;"")</f>
        <v/>
      </c>
      <c r="D217" s="10" t="str">
        <f aca="false">IF(Apontamentos!$C217="","",Apontamentos!F217&amp;"")</f>
        <v/>
      </c>
      <c r="E217" s="10" t="str">
        <f aca="false">IF(Apontamentos!$C217="","",Apontamentos!G217&amp;"")</f>
        <v/>
      </c>
      <c r="F217" s="14"/>
      <c r="G217" s="14"/>
      <c r="H217" s="14"/>
      <c r="I217" s="14"/>
      <c r="J217" s="13"/>
      <c r="K217" s="13"/>
    </row>
    <row r="218" customFormat="false" ht="15" hidden="false" customHeight="false" outlineLevel="0" collapsed="false">
      <c r="A218" s="11" t="str">
        <f aca="false">Apontamentos!C218</f>
        <v/>
      </c>
      <c r="B218" s="11" t="str">
        <f aca="false">IF(Apontamentos!$C218="","",Apontamentos!D218&amp;"")</f>
        <v/>
      </c>
      <c r="C218" s="11" t="str">
        <f aca="false">IF(Apontamentos!$C218="","",Apontamentos!E218&amp;"")</f>
        <v/>
      </c>
      <c r="D218" s="10" t="str">
        <f aca="false">IF(Apontamentos!$C218="","",Apontamentos!F218&amp;"")</f>
        <v/>
      </c>
      <c r="E218" s="10" t="str">
        <f aca="false">IF(Apontamentos!$C218="","",Apontamentos!G218&amp;"")</f>
        <v/>
      </c>
      <c r="F218" s="14"/>
      <c r="G218" s="14"/>
      <c r="H218" s="14"/>
      <c r="I218" s="14"/>
      <c r="J218" s="13"/>
      <c r="K218" s="13"/>
    </row>
    <row r="219" customFormat="false" ht="15" hidden="false" customHeight="false" outlineLevel="0" collapsed="false">
      <c r="A219" s="11" t="str">
        <f aca="false">Apontamentos!C219</f>
        <v/>
      </c>
      <c r="B219" s="11" t="str">
        <f aca="false">IF(Apontamentos!$C219="","",Apontamentos!D219&amp;"")</f>
        <v/>
      </c>
      <c r="C219" s="11" t="str">
        <f aca="false">IF(Apontamentos!$C219="","",Apontamentos!E219&amp;"")</f>
        <v/>
      </c>
      <c r="D219" s="10" t="str">
        <f aca="false">IF(Apontamentos!$C219="","",Apontamentos!F219&amp;"")</f>
        <v/>
      </c>
      <c r="E219" s="10" t="str">
        <f aca="false">IF(Apontamentos!$C219="","",Apontamentos!G219&amp;"")</f>
        <v/>
      </c>
      <c r="F219" s="14"/>
      <c r="G219" s="14"/>
      <c r="H219" s="14"/>
      <c r="I219" s="14"/>
      <c r="J219" s="13"/>
      <c r="K219" s="13"/>
    </row>
    <row r="220" customFormat="false" ht="15" hidden="false" customHeight="false" outlineLevel="0" collapsed="false">
      <c r="A220" s="11" t="str">
        <f aca="false">Apontamentos!C220</f>
        <v/>
      </c>
      <c r="B220" s="11" t="str">
        <f aca="false">IF(Apontamentos!$C220="","",Apontamentos!D220&amp;"")</f>
        <v/>
      </c>
      <c r="C220" s="11" t="str">
        <f aca="false">IF(Apontamentos!$C220="","",Apontamentos!E220&amp;"")</f>
        <v/>
      </c>
      <c r="D220" s="10" t="str">
        <f aca="false">IF(Apontamentos!$C220="","",Apontamentos!F220&amp;"")</f>
        <v/>
      </c>
      <c r="E220" s="10" t="str">
        <f aca="false">IF(Apontamentos!$C220="","",Apontamentos!G220&amp;"")</f>
        <v/>
      </c>
      <c r="F220" s="14"/>
      <c r="G220" s="14"/>
      <c r="H220" s="14"/>
      <c r="I220" s="14"/>
      <c r="J220" s="13"/>
      <c r="K220" s="13"/>
    </row>
    <row r="221" customFormat="false" ht="15" hidden="false" customHeight="false" outlineLevel="0" collapsed="false">
      <c r="A221" s="11" t="str">
        <f aca="false">Apontamentos!C221</f>
        <v/>
      </c>
      <c r="B221" s="11" t="str">
        <f aca="false">IF(Apontamentos!$C221="","",Apontamentos!D221&amp;"")</f>
        <v/>
      </c>
      <c r="C221" s="11" t="str">
        <f aca="false">IF(Apontamentos!$C221="","",Apontamentos!E221&amp;"")</f>
        <v/>
      </c>
      <c r="D221" s="10" t="str">
        <f aca="false">IF(Apontamentos!$C221="","",Apontamentos!F221&amp;"")</f>
        <v/>
      </c>
      <c r="E221" s="10" t="str">
        <f aca="false">IF(Apontamentos!$C221="","",Apontamentos!G221&amp;"")</f>
        <v/>
      </c>
      <c r="F221" s="14"/>
      <c r="G221" s="14"/>
      <c r="H221" s="14"/>
      <c r="I221" s="14"/>
      <c r="J221" s="13"/>
      <c r="K221" s="13"/>
    </row>
    <row r="222" customFormat="false" ht="15" hidden="false" customHeight="false" outlineLevel="0" collapsed="false">
      <c r="A222" s="11" t="str">
        <f aca="false">Apontamentos!C222</f>
        <v/>
      </c>
      <c r="B222" s="11" t="str">
        <f aca="false">IF(Apontamentos!$C222="","",Apontamentos!D222&amp;"")</f>
        <v/>
      </c>
      <c r="C222" s="11" t="str">
        <f aca="false">IF(Apontamentos!$C222="","",Apontamentos!E222&amp;"")</f>
        <v/>
      </c>
      <c r="D222" s="10" t="str">
        <f aca="false">IF(Apontamentos!$C222="","",Apontamentos!F222&amp;"")</f>
        <v/>
      </c>
      <c r="E222" s="10" t="str">
        <f aca="false">IF(Apontamentos!$C222="","",Apontamentos!G222&amp;"")</f>
        <v/>
      </c>
      <c r="F222" s="14"/>
      <c r="G222" s="14"/>
      <c r="H222" s="14"/>
      <c r="I222" s="14"/>
      <c r="J222" s="13"/>
      <c r="K222" s="13"/>
    </row>
    <row r="223" customFormat="false" ht="15" hidden="false" customHeight="false" outlineLevel="0" collapsed="false">
      <c r="A223" s="11" t="str">
        <f aca="false">Apontamentos!C223</f>
        <v/>
      </c>
      <c r="B223" s="11" t="str">
        <f aca="false">IF(Apontamentos!$C223="","",Apontamentos!D223&amp;"")</f>
        <v/>
      </c>
      <c r="C223" s="11" t="str">
        <f aca="false">IF(Apontamentos!$C223="","",Apontamentos!E223&amp;"")</f>
        <v/>
      </c>
      <c r="D223" s="10" t="str">
        <f aca="false">IF(Apontamentos!$C223="","",Apontamentos!F223&amp;"")</f>
        <v/>
      </c>
      <c r="E223" s="10" t="str">
        <f aca="false">IF(Apontamentos!$C223="","",Apontamentos!G223&amp;"")</f>
        <v/>
      </c>
      <c r="F223" s="14"/>
      <c r="G223" s="14"/>
      <c r="H223" s="14"/>
      <c r="I223" s="14"/>
      <c r="J223" s="13"/>
      <c r="K223" s="13"/>
    </row>
    <row r="224" customFormat="false" ht="15" hidden="false" customHeight="false" outlineLevel="0" collapsed="false">
      <c r="A224" s="11" t="str">
        <f aca="false">Apontamentos!C224</f>
        <v/>
      </c>
      <c r="B224" s="11" t="str">
        <f aca="false">IF(Apontamentos!$C224="","",Apontamentos!D224&amp;"")</f>
        <v/>
      </c>
      <c r="C224" s="11" t="str">
        <f aca="false">IF(Apontamentos!$C224="","",Apontamentos!E224&amp;"")</f>
        <v/>
      </c>
      <c r="D224" s="10" t="str">
        <f aca="false">IF(Apontamentos!$C224="","",Apontamentos!F224&amp;"")</f>
        <v/>
      </c>
      <c r="E224" s="10" t="str">
        <f aca="false">IF(Apontamentos!$C224="","",Apontamentos!G224&amp;"")</f>
        <v/>
      </c>
      <c r="F224" s="14"/>
      <c r="G224" s="14"/>
      <c r="H224" s="14"/>
      <c r="I224" s="14"/>
      <c r="J224" s="13"/>
      <c r="K224" s="13"/>
    </row>
    <row r="225" customFormat="false" ht="15" hidden="false" customHeight="false" outlineLevel="0" collapsed="false">
      <c r="A225" s="11" t="str">
        <f aca="false">Apontamentos!C225</f>
        <v/>
      </c>
      <c r="B225" s="11" t="str">
        <f aca="false">IF(Apontamentos!$C225="","",Apontamentos!D225&amp;"")</f>
        <v/>
      </c>
      <c r="C225" s="11" t="str">
        <f aca="false">IF(Apontamentos!$C225="","",Apontamentos!E225&amp;"")</f>
        <v/>
      </c>
      <c r="D225" s="10" t="str">
        <f aca="false">IF(Apontamentos!$C225="","",Apontamentos!F225&amp;"")</f>
        <v/>
      </c>
      <c r="E225" s="10" t="str">
        <f aca="false">IF(Apontamentos!$C225="","",Apontamentos!G225&amp;"")</f>
        <v/>
      </c>
      <c r="F225" s="14"/>
      <c r="G225" s="14"/>
      <c r="H225" s="14"/>
      <c r="I225" s="14"/>
      <c r="J225" s="13"/>
      <c r="K225" s="13"/>
    </row>
    <row r="226" customFormat="false" ht="15" hidden="false" customHeight="false" outlineLevel="0" collapsed="false">
      <c r="A226" s="11" t="str">
        <f aca="false">Apontamentos!C226</f>
        <v/>
      </c>
      <c r="B226" s="11" t="str">
        <f aca="false">IF(Apontamentos!$C226="","",Apontamentos!D226&amp;"")</f>
        <v/>
      </c>
      <c r="C226" s="11" t="str">
        <f aca="false">IF(Apontamentos!$C226="","",Apontamentos!E226&amp;"")</f>
        <v/>
      </c>
      <c r="D226" s="10" t="str">
        <f aca="false">IF(Apontamentos!$C226="","",Apontamentos!F226&amp;"")</f>
        <v/>
      </c>
      <c r="E226" s="10" t="str">
        <f aca="false">IF(Apontamentos!$C226="","",Apontamentos!G226&amp;"")</f>
        <v/>
      </c>
      <c r="F226" s="14"/>
      <c r="G226" s="14"/>
      <c r="H226" s="14"/>
      <c r="I226" s="14"/>
      <c r="J226" s="13"/>
      <c r="K226" s="13"/>
    </row>
    <row r="227" customFormat="false" ht="15" hidden="false" customHeight="false" outlineLevel="0" collapsed="false">
      <c r="A227" s="11" t="str">
        <f aca="false">Apontamentos!C227</f>
        <v/>
      </c>
      <c r="B227" s="11" t="str">
        <f aca="false">IF(Apontamentos!$C227="","",Apontamentos!D227&amp;"")</f>
        <v/>
      </c>
      <c r="C227" s="11" t="str">
        <f aca="false">IF(Apontamentos!$C227="","",Apontamentos!E227&amp;"")</f>
        <v/>
      </c>
      <c r="D227" s="10" t="str">
        <f aca="false">IF(Apontamentos!$C227="","",Apontamentos!F227&amp;"")</f>
        <v/>
      </c>
      <c r="E227" s="10" t="str">
        <f aca="false">IF(Apontamentos!$C227="","",Apontamentos!G227&amp;"")</f>
        <v/>
      </c>
      <c r="F227" s="14"/>
      <c r="G227" s="14"/>
      <c r="H227" s="14"/>
      <c r="I227" s="14"/>
      <c r="J227" s="13"/>
      <c r="K227" s="13"/>
    </row>
    <row r="228" customFormat="false" ht="15" hidden="false" customHeight="false" outlineLevel="0" collapsed="false">
      <c r="A228" s="11" t="str">
        <f aca="false">Apontamentos!C228</f>
        <v/>
      </c>
      <c r="B228" s="11" t="str">
        <f aca="false">IF(Apontamentos!$C228="","",Apontamentos!D228&amp;"")</f>
        <v/>
      </c>
      <c r="C228" s="11" t="str">
        <f aca="false">IF(Apontamentos!$C228="","",Apontamentos!E228&amp;"")</f>
        <v/>
      </c>
      <c r="D228" s="10" t="str">
        <f aca="false">IF(Apontamentos!$C228="","",Apontamentos!F228&amp;"")</f>
        <v/>
      </c>
      <c r="E228" s="10" t="str">
        <f aca="false">IF(Apontamentos!$C228="","",Apontamentos!G228&amp;"")</f>
        <v/>
      </c>
      <c r="F228" s="14"/>
      <c r="G228" s="14"/>
      <c r="H228" s="14"/>
      <c r="I228" s="14"/>
      <c r="J228" s="13"/>
      <c r="K228" s="13"/>
    </row>
    <row r="229" customFormat="false" ht="15" hidden="false" customHeight="false" outlineLevel="0" collapsed="false">
      <c r="A229" s="11" t="str">
        <f aca="false">Apontamentos!C229</f>
        <v/>
      </c>
      <c r="B229" s="11" t="str">
        <f aca="false">IF(Apontamentos!$C229="","",Apontamentos!D229&amp;"")</f>
        <v/>
      </c>
      <c r="C229" s="11" t="str">
        <f aca="false">IF(Apontamentos!$C229="","",Apontamentos!E229&amp;"")</f>
        <v/>
      </c>
      <c r="D229" s="10" t="str">
        <f aca="false">IF(Apontamentos!$C229="","",Apontamentos!F229&amp;"")</f>
        <v/>
      </c>
      <c r="E229" s="10" t="str">
        <f aca="false">IF(Apontamentos!$C229="","",Apontamentos!G229&amp;"")</f>
        <v/>
      </c>
      <c r="F229" s="14"/>
      <c r="G229" s="14"/>
      <c r="H229" s="14"/>
      <c r="I229" s="14"/>
      <c r="J229" s="13"/>
      <c r="K229" s="13"/>
    </row>
    <row r="230" customFormat="false" ht="15" hidden="false" customHeight="false" outlineLevel="0" collapsed="false">
      <c r="A230" s="11" t="str">
        <f aca="false">Apontamentos!C230</f>
        <v/>
      </c>
      <c r="B230" s="11" t="str">
        <f aca="false">IF(Apontamentos!$C230="","",Apontamentos!D230&amp;"")</f>
        <v/>
      </c>
      <c r="C230" s="11" t="str">
        <f aca="false">IF(Apontamentos!$C230="","",Apontamentos!E230&amp;"")</f>
        <v/>
      </c>
      <c r="D230" s="10" t="str">
        <f aca="false">IF(Apontamentos!$C230="","",Apontamentos!F230&amp;"")</f>
        <v/>
      </c>
      <c r="E230" s="10" t="str">
        <f aca="false">IF(Apontamentos!$C230="","",Apontamentos!G230&amp;"")</f>
        <v/>
      </c>
      <c r="F230" s="14"/>
      <c r="G230" s="14"/>
      <c r="H230" s="14"/>
      <c r="I230" s="14"/>
      <c r="J230" s="13"/>
      <c r="K230" s="13"/>
    </row>
    <row r="231" customFormat="false" ht="15" hidden="false" customHeight="false" outlineLevel="0" collapsed="false">
      <c r="A231" s="11" t="str">
        <f aca="false">Apontamentos!C231</f>
        <v/>
      </c>
      <c r="B231" s="11" t="str">
        <f aca="false">IF(Apontamentos!$C231="","",Apontamentos!D231&amp;"")</f>
        <v/>
      </c>
      <c r="C231" s="11" t="str">
        <f aca="false">IF(Apontamentos!$C231="","",Apontamentos!E231&amp;"")</f>
        <v/>
      </c>
      <c r="D231" s="10" t="str">
        <f aca="false">IF(Apontamentos!$C231="","",Apontamentos!F231&amp;"")</f>
        <v/>
      </c>
      <c r="E231" s="10" t="str">
        <f aca="false">IF(Apontamentos!$C231="","",Apontamentos!G231&amp;"")</f>
        <v/>
      </c>
      <c r="F231" s="14"/>
      <c r="G231" s="14"/>
      <c r="H231" s="14"/>
      <c r="I231" s="14"/>
      <c r="J231" s="13"/>
      <c r="K231" s="13"/>
    </row>
    <row r="232" customFormat="false" ht="15" hidden="false" customHeight="false" outlineLevel="0" collapsed="false">
      <c r="A232" s="11" t="str">
        <f aca="false">Apontamentos!C232</f>
        <v/>
      </c>
      <c r="B232" s="11" t="str">
        <f aca="false">IF(Apontamentos!$C232="","",Apontamentos!D232&amp;"")</f>
        <v/>
      </c>
      <c r="C232" s="11" t="str">
        <f aca="false">IF(Apontamentos!$C232="","",Apontamentos!E232&amp;"")</f>
        <v/>
      </c>
      <c r="D232" s="10" t="str">
        <f aca="false">IF(Apontamentos!$C232="","",Apontamentos!F232&amp;"")</f>
        <v/>
      </c>
      <c r="E232" s="10" t="str">
        <f aca="false">IF(Apontamentos!$C232="","",Apontamentos!G232&amp;"")</f>
        <v/>
      </c>
      <c r="F232" s="14"/>
      <c r="G232" s="14"/>
      <c r="H232" s="14"/>
      <c r="I232" s="14"/>
      <c r="J232" s="13"/>
      <c r="K232" s="13"/>
    </row>
    <row r="233" customFormat="false" ht="15" hidden="false" customHeight="false" outlineLevel="0" collapsed="false">
      <c r="A233" s="11" t="str">
        <f aca="false">Apontamentos!C233</f>
        <v/>
      </c>
      <c r="B233" s="11" t="str">
        <f aca="false">IF(Apontamentos!$C233="","",Apontamentos!D233&amp;"")</f>
        <v/>
      </c>
      <c r="C233" s="11" t="str">
        <f aca="false">IF(Apontamentos!$C233="","",Apontamentos!E233&amp;"")</f>
        <v/>
      </c>
      <c r="D233" s="10" t="str">
        <f aca="false">IF(Apontamentos!$C233="","",Apontamentos!F233&amp;"")</f>
        <v/>
      </c>
      <c r="E233" s="10" t="str">
        <f aca="false">IF(Apontamentos!$C233="","",Apontamentos!G233&amp;"")</f>
        <v/>
      </c>
      <c r="F233" s="14"/>
      <c r="G233" s="14"/>
      <c r="H233" s="14"/>
      <c r="I233" s="14"/>
      <c r="J233" s="13"/>
      <c r="K233" s="13"/>
    </row>
    <row r="234" customFormat="false" ht="15" hidden="false" customHeight="false" outlineLevel="0" collapsed="false">
      <c r="A234" s="11" t="str">
        <f aca="false">Apontamentos!C234</f>
        <v/>
      </c>
      <c r="B234" s="11" t="str">
        <f aca="false">IF(Apontamentos!$C234="","",Apontamentos!D234&amp;"")</f>
        <v/>
      </c>
      <c r="C234" s="11" t="str">
        <f aca="false">IF(Apontamentos!$C234="","",Apontamentos!E234&amp;"")</f>
        <v/>
      </c>
      <c r="D234" s="10" t="str">
        <f aca="false">IF(Apontamentos!$C234="","",Apontamentos!F234&amp;"")</f>
        <v/>
      </c>
      <c r="E234" s="10" t="str">
        <f aca="false">IF(Apontamentos!$C234="","",Apontamentos!G234&amp;"")</f>
        <v/>
      </c>
      <c r="F234" s="14"/>
      <c r="G234" s="14"/>
      <c r="H234" s="14"/>
      <c r="I234" s="14"/>
      <c r="J234" s="13"/>
      <c r="K234" s="13"/>
    </row>
    <row r="235" customFormat="false" ht="15" hidden="false" customHeight="false" outlineLevel="0" collapsed="false">
      <c r="A235" s="11" t="str">
        <f aca="false">Apontamentos!C235</f>
        <v/>
      </c>
      <c r="B235" s="11" t="str">
        <f aca="false">IF(Apontamentos!$C235="","",Apontamentos!D235&amp;"")</f>
        <v/>
      </c>
      <c r="C235" s="11" t="str">
        <f aca="false">IF(Apontamentos!$C235="","",Apontamentos!E235&amp;"")</f>
        <v/>
      </c>
      <c r="D235" s="10" t="str">
        <f aca="false">IF(Apontamentos!$C235="","",Apontamentos!F235&amp;"")</f>
        <v/>
      </c>
      <c r="E235" s="10" t="str">
        <f aca="false">IF(Apontamentos!$C235="","",Apontamentos!G235&amp;"")</f>
        <v/>
      </c>
      <c r="F235" s="14"/>
      <c r="G235" s="14"/>
      <c r="H235" s="14"/>
      <c r="I235" s="14"/>
      <c r="J235" s="13"/>
      <c r="K235" s="13"/>
    </row>
    <row r="236" customFormat="false" ht="15" hidden="false" customHeight="false" outlineLevel="0" collapsed="false">
      <c r="A236" s="11" t="str">
        <f aca="false">Apontamentos!C236</f>
        <v/>
      </c>
      <c r="B236" s="11" t="str">
        <f aca="false">IF(Apontamentos!$C236="","",Apontamentos!D236&amp;"")</f>
        <v/>
      </c>
      <c r="C236" s="11" t="str">
        <f aca="false">IF(Apontamentos!$C236="","",Apontamentos!E236&amp;"")</f>
        <v/>
      </c>
      <c r="D236" s="10" t="str">
        <f aca="false">IF(Apontamentos!$C236="","",Apontamentos!F236&amp;"")</f>
        <v/>
      </c>
      <c r="E236" s="10" t="str">
        <f aca="false">IF(Apontamentos!$C236="","",Apontamentos!G236&amp;"")</f>
        <v/>
      </c>
      <c r="F236" s="14"/>
      <c r="G236" s="14"/>
      <c r="H236" s="14"/>
      <c r="I236" s="14"/>
      <c r="J236" s="13"/>
      <c r="K236" s="13"/>
    </row>
    <row r="237" customFormat="false" ht="15" hidden="false" customHeight="false" outlineLevel="0" collapsed="false">
      <c r="A237" s="11" t="str">
        <f aca="false">Apontamentos!C237</f>
        <v/>
      </c>
      <c r="B237" s="11" t="str">
        <f aca="false">IF(Apontamentos!$C237="","",Apontamentos!D237&amp;"")</f>
        <v/>
      </c>
      <c r="C237" s="11" t="str">
        <f aca="false">IF(Apontamentos!$C237="","",Apontamentos!E237&amp;"")</f>
        <v/>
      </c>
      <c r="D237" s="10" t="str">
        <f aca="false">IF(Apontamentos!$C237="","",Apontamentos!F237&amp;"")</f>
        <v/>
      </c>
      <c r="E237" s="10" t="str">
        <f aca="false">IF(Apontamentos!$C237="","",Apontamentos!G237&amp;"")</f>
        <v/>
      </c>
      <c r="F237" s="14"/>
      <c r="G237" s="14"/>
      <c r="H237" s="14"/>
      <c r="I237" s="14"/>
      <c r="J237" s="13"/>
      <c r="K237" s="13"/>
    </row>
    <row r="238" customFormat="false" ht="15" hidden="false" customHeight="false" outlineLevel="0" collapsed="false">
      <c r="A238" s="11" t="str">
        <f aca="false">Apontamentos!C238</f>
        <v/>
      </c>
      <c r="B238" s="11" t="str">
        <f aca="false">IF(Apontamentos!$C238="","",Apontamentos!D238&amp;"")</f>
        <v/>
      </c>
      <c r="C238" s="11" t="str">
        <f aca="false">IF(Apontamentos!$C238="","",Apontamentos!E238&amp;"")</f>
        <v/>
      </c>
      <c r="D238" s="10" t="str">
        <f aca="false">IF(Apontamentos!$C238="","",Apontamentos!F238&amp;"")</f>
        <v/>
      </c>
      <c r="E238" s="10" t="str">
        <f aca="false">IF(Apontamentos!$C238="","",Apontamentos!G238&amp;"")</f>
        <v/>
      </c>
      <c r="F238" s="14"/>
      <c r="G238" s="14"/>
      <c r="H238" s="14"/>
      <c r="I238" s="14"/>
      <c r="J238" s="13"/>
      <c r="K238" s="13"/>
    </row>
    <row r="239" customFormat="false" ht="15" hidden="false" customHeight="false" outlineLevel="0" collapsed="false">
      <c r="A239" s="11" t="str">
        <f aca="false">Apontamentos!C239</f>
        <v/>
      </c>
      <c r="B239" s="11" t="str">
        <f aca="false">IF(Apontamentos!$C239="","",Apontamentos!D239&amp;"")</f>
        <v/>
      </c>
      <c r="C239" s="11" t="str">
        <f aca="false">IF(Apontamentos!$C239="","",Apontamentos!E239&amp;"")</f>
        <v/>
      </c>
      <c r="D239" s="10" t="str">
        <f aca="false">IF(Apontamentos!$C239="","",Apontamentos!F239&amp;"")</f>
        <v/>
      </c>
      <c r="E239" s="10" t="str">
        <f aca="false">IF(Apontamentos!$C239="","",Apontamentos!G239&amp;"")</f>
        <v/>
      </c>
      <c r="F239" s="14"/>
      <c r="G239" s="14"/>
      <c r="H239" s="14"/>
      <c r="I239" s="14"/>
      <c r="J239" s="13"/>
      <c r="K239" s="13"/>
    </row>
    <row r="240" customFormat="false" ht="15" hidden="false" customHeight="false" outlineLevel="0" collapsed="false">
      <c r="A240" s="11" t="str">
        <f aca="false">Apontamentos!C240</f>
        <v/>
      </c>
      <c r="B240" s="11" t="str">
        <f aca="false">IF(Apontamentos!$C240="","",Apontamentos!D240&amp;"")</f>
        <v/>
      </c>
      <c r="C240" s="11" t="str">
        <f aca="false">IF(Apontamentos!$C240="","",Apontamentos!E240&amp;"")</f>
        <v/>
      </c>
      <c r="D240" s="10" t="str">
        <f aca="false">IF(Apontamentos!$C240="","",Apontamentos!F240&amp;"")</f>
        <v/>
      </c>
      <c r="E240" s="10" t="str">
        <f aca="false">IF(Apontamentos!$C240="","",Apontamentos!G240&amp;"")</f>
        <v/>
      </c>
      <c r="F240" s="14"/>
      <c r="G240" s="14"/>
      <c r="H240" s="14"/>
      <c r="I240" s="14"/>
      <c r="J240" s="13"/>
      <c r="K240" s="13"/>
    </row>
    <row r="241" customFormat="false" ht="15" hidden="false" customHeight="false" outlineLevel="0" collapsed="false">
      <c r="A241" s="11" t="str">
        <f aca="false">Apontamentos!C241</f>
        <v/>
      </c>
      <c r="B241" s="11" t="str">
        <f aca="false">IF(Apontamentos!$C241="","",Apontamentos!D241&amp;"")</f>
        <v/>
      </c>
      <c r="C241" s="11" t="str">
        <f aca="false">IF(Apontamentos!$C241="","",Apontamentos!E241&amp;"")</f>
        <v/>
      </c>
      <c r="D241" s="10" t="str">
        <f aca="false">IF(Apontamentos!$C241="","",Apontamentos!F241&amp;"")</f>
        <v/>
      </c>
      <c r="E241" s="10" t="str">
        <f aca="false">IF(Apontamentos!$C241="","",Apontamentos!G241&amp;"")</f>
        <v/>
      </c>
      <c r="F241" s="14"/>
      <c r="G241" s="14"/>
      <c r="H241" s="14"/>
      <c r="I241" s="14"/>
      <c r="J241" s="13"/>
      <c r="K241" s="13"/>
    </row>
    <row r="242" customFormat="false" ht="15" hidden="false" customHeight="false" outlineLevel="0" collapsed="false">
      <c r="A242" s="11" t="str">
        <f aca="false">Apontamentos!C242</f>
        <v/>
      </c>
      <c r="B242" s="11" t="str">
        <f aca="false">IF(Apontamentos!$C242="","",Apontamentos!D242&amp;"")</f>
        <v/>
      </c>
      <c r="C242" s="11" t="str">
        <f aca="false">IF(Apontamentos!$C242="","",Apontamentos!E242&amp;"")</f>
        <v/>
      </c>
      <c r="D242" s="10" t="str">
        <f aca="false">IF(Apontamentos!$C242="","",Apontamentos!F242&amp;"")</f>
        <v/>
      </c>
      <c r="E242" s="10" t="str">
        <f aca="false">IF(Apontamentos!$C242="","",Apontamentos!G242&amp;"")</f>
        <v/>
      </c>
      <c r="F242" s="14"/>
      <c r="G242" s="14"/>
      <c r="H242" s="14"/>
      <c r="I242" s="14"/>
      <c r="J242" s="13"/>
      <c r="K242" s="13"/>
    </row>
    <row r="243" customFormat="false" ht="15" hidden="false" customHeight="false" outlineLevel="0" collapsed="false">
      <c r="A243" s="11" t="str">
        <f aca="false">Apontamentos!C243</f>
        <v/>
      </c>
      <c r="B243" s="11" t="str">
        <f aca="false">IF(Apontamentos!$C243="","",Apontamentos!D243&amp;"")</f>
        <v/>
      </c>
      <c r="C243" s="11" t="str">
        <f aca="false">IF(Apontamentos!$C243="","",Apontamentos!E243&amp;"")</f>
        <v/>
      </c>
      <c r="D243" s="10" t="str">
        <f aca="false">IF(Apontamentos!$C243="","",Apontamentos!F243&amp;"")</f>
        <v/>
      </c>
      <c r="E243" s="10" t="str">
        <f aca="false">IF(Apontamentos!$C243="","",Apontamentos!G243&amp;"")</f>
        <v/>
      </c>
      <c r="F243" s="14"/>
      <c r="G243" s="14"/>
      <c r="H243" s="14"/>
      <c r="I243" s="14"/>
      <c r="J243" s="13"/>
      <c r="K243" s="13"/>
    </row>
    <row r="244" customFormat="false" ht="15" hidden="false" customHeight="false" outlineLevel="0" collapsed="false">
      <c r="A244" s="11" t="str">
        <f aca="false">Apontamentos!C244</f>
        <v/>
      </c>
      <c r="B244" s="11" t="str">
        <f aca="false">IF(Apontamentos!$C244="","",Apontamentos!D244&amp;"")</f>
        <v/>
      </c>
      <c r="C244" s="11" t="str">
        <f aca="false">IF(Apontamentos!$C244="","",Apontamentos!E244&amp;"")</f>
        <v/>
      </c>
      <c r="D244" s="10" t="str">
        <f aca="false">IF(Apontamentos!$C244="","",Apontamentos!F244&amp;"")</f>
        <v/>
      </c>
      <c r="E244" s="10" t="str">
        <f aca="false">IF(Apontamentos!$C244="","",Apontamentos!G244&amp;"")</f>
        <v/>
      </c>
      <c r="F244" s="14"/>
      <c r="G244" s="14"/>
      <c r="H244" s="14"/>
      <c r="I244" s="14"/>
      <c r="J244" s="13"/>
      <c r="K244" s="13"/>
    </row>
    <row r="245" customFormat="false" ht="15" hidden="false" customHeight="false" outlineLevel="0" collapsed="false">
      <c r="A245" s="11" t="str">
        <f aca="false">Apontamentos!C245</f>
        <v/>
      </c>
      <c r="B245" s="11" t="str">
        <f aca="false">IF(Apontamentos!$C245="","",Apontamentos!D245&amp;"")</f>
        <v/>
      </c>
      <c r="C245" s="11" t="str">
        <f aca="false">IF(Apontamentos!$C245="","",Apontamentos!E245&amp;"")</f>
        <v/>
      </c>
      <c r="D245" s="10" t="str">
        <f aca="false">IF(Apontamentos!$C245="","",Apontamentos!F245&amp;"")</f>
        <v/>
      </c>
      <c r="E245" s="10" t="str">
        <f aca="false">IF(Apontamentos!$C245="","",Apontamentos!G245&amp;"")</f>
        <v/>
      </c>
      <c r="F245" s="14"/>
      <c r="G245" s="14"/>
      <c r="H245" s="14"/>
      <c r="I245" s="14"/>
      <c r="J245" s="13"/>
      <c r="K245" s="13"/>
    </row>
    <row r="246" customFormat="false" ht="15" hidden="false" customHeight="false" outlineLevel="0" collapsed="false">
      <c r="A246" s="11" t="str">
        <f aca="false">Apontamentos!C246</f>
        <v/>
      </c>
      <c r="B246" s="11" t="str">
        <f aca="false">IF(Apontamentos!$C246="","",Apontamentos!D246&amp;"")</f>
        <v/>
      </c>
      <c r="C246" s="11" t="str">
        <f aca="false">IF(Apontamentos!$C246="","",Apontamentos!E246&amp;"")</f>
        <v/>
      </c>
      <c r="D246" s="10" t="str">
        <f aca="false">IF(Apontamentos!$C246="","",Apontamentos!F246&amp;"")</f>
        <v/>
      </c>
      <c r="E246" s="10" t="str">
        <f aca="false">IF(Apontamentos!$C246="","",Apontamentos!G246&amp;"")</f>
        <v/>
      </c>
      <c r="F246" s="14"/>
      <c r="G246" s="14"/>
      <c r="H246" s="14"/>
      <c r="I246" s="14"/>
      <c r="J246" s="13"/>
      <c r="K246" s="13"/>
    </row>
    <row r="247" customFormat="false" ht="15" hidden="false" customHeight="false" outlineLevel="0" collapsed="false">
      <c r="A247" s="11" t="str">
        <f aca="false">Apontamentos!C247</f>
        <v/>
      </c>
      <c r="B247" s="11" t="str">
        <f aca="false">IF(Apontamentos!$C247="","",Apontamentos!D247&amp;"")</f>
        <v/>
      </c>
      <c r="C247" s="11" t="str">
        <f aca="false">IF(Apontamentos!$C247="","",Apontamentos!E247&amp;"")</f>
        <v/>
      </c>
      <c r="D247" s="10" t="str">
        <f aca="false">IF(Apontamentos!$C247="","",Apontamentos!F247&amp;"")</f>
        <v/>
      </c>
      <c r="E247" s="10" t="str">
        <f aca="false">IF(Apontamentos!$C247="","",Apontamentos!G247&amp;"")</f>
        <v/>
      </c>
      <c r="F247" s="14"/>
      <c r="G247" s="14"/>
      <c r="H247" s="14"/>
      <c r="I247" s="14"/>
      <c r="J247" s="13"/>
      <c r="K247" s="13"/>
    </row>
    <row r="248" customFormat="false" ht="15" hidden="false" customHeight="false" outlineLevel="0" collapsed="false">
      <c r="A248" s="11" t="str">
        <f aca="false">Apontamentos!C248</f>
        <v/>
      </c>
      <c r="B248" s="11" t="str">
        <f aca="false">IF(Apontamentos!$C248="","",Apontamentos!D248&amp;"")</f>
        <v/>
      </c>
      <c r="C248" s="11" t="str">
        <f aca="false">IF(Apontamentos!$C248="","",Apontamentos!E248&amp;"")</f>
        <v/>
      </c>
      <c r="D248" s="10" t="str">
        <f aca="false">IF(Apontamentos!$C248="","",Apontamentos!F248&amp;"")</f>
        <v/>
      </c>
      <c r="E248" s="10" t="str">
        <f aca="false">IF(Apontamentos!$C248="","",Apontamentos!G248&amp;"")</f>
        <v/>
      </c>
      <c r="F248" s="14"/>
      <c r="G248" s="14"/>
      <c r="H248" s="14"/>
      <c r="I248" s="14"/>
      <c r="J248" s="13"/>
      <c r="K248" s="13"/>
    </row>
    <row r="249" customFormat="false" ht="15" hidden="false" customHeight="false" outlineLevel="0" collapsed="false">
      <c r="A249" s="11" t="str">
        <f aca="false">Apontamentos!C249</f>
        <v/>
      </c>
      <c r="B249" s="11" t="str">
        <f aca="false">IF(Apontamentos!$C249="","",Apontamentos!D249&amp;"")</f>
        <v/>
      </c>
      <c r="C249" s="11" t="str">
        <f aca="false">IF(Apontamentos!$C249="","",Apontamentos!E249&amp;"")</f>
        <v/>
      </c>
      <c r="D249" s="10" t="str">
        <f aca="false">IF(Apontamentos!$C249="","",Apontamentos!F249&amp;"")</f>
        <v/>
      </c>
      <c r="E249" s="10" t="str">
        <f aca="false">IF(Apontamentos!$C249="","",Apontamentos!G249&amp;"")</f>
        <v/>
      </c>
      <c r="F249" s="14"/>
      <c r="G249" s="14"/>
      <c r="H249" s="14"/>
      <c r="I249" s="14"/>
      <c r="J249" s="13"/>
      <c r="K249" s="13"/>
    </row>
    <row r="250" customFormat="false" ht="15" hidden="false" customHeight="false" outlineLevel="0" collapsed="false">
      <c r="A250" s="11" t="str">
        <f aca="false">Apontamentos!C250</f>
        <v/>
      </c>
      <c r="B250" s="11" t="str">
        <f aca="false">IF(Apontamentos!$C250="","",Apontamentos!D250&amp;"")</f>
        <v/>
      </c>
      <c r="C250" s="11" t="str">
        <f aca="false">IF(Apontamentos!$C250="","",Apontamentos!E250&amp;"")</f>
        <v/>
      </c>
      <c r="D250" s="10" t="str">
        <f aca="false">IF(Apontamentos!$C250="","",Apontamentos!F250&amp;"")</f>
        <v/>
      </c>
      <c r="E250" s="10" t="str">
        <f aca="false">IF(Apontamentos!$C250="","",Apontamentos!G250&amp;"")</f>
        <v/>
      </c>
      <c r="F250" s="14"/>
      <c r="G250" s="14"/>
      <c r="H250" s="14"/>
      <c r="I250" s="14"/>
      <c r="J250" s="13"/>
      <c r="K250" s="13"/>
    </row>
    <row r="251" customFormat="false" ht="15" hidden="false" customHeight="false" outlineLevel="0" collapsed="false">
      <c r="A251" s="11" t="str">
        <f aca="false">Apontamentos!C251</f>
        <v/>
      </c>
      <c r="B251" s="11" t="str">
        <f aca="false">IF(Apontamentos!$C251="","",Apontamentos!D251&amp;"")</f>
        <v/>
      </c>
      <c r="C251" s="11" t="str">
        <f aca="false">IF(Apontamentos!$C251="","",Apontamentos!E251&amp;"")</f>
        <v/>
      </c>
      <c r="D251" s="10" t="str">
        <f aca="false">IF(Apontamentos!$C251="","",Apontamentos!F251&amp;"")</f>
        <v/>
      </c>
      <c r="E251" s="10" t="str">
        <f aca="false">IF(Apontamentos!$C251="","",Apontamentos!G251&amp;"")</f>
        <v/>
      </c>
      <c r="F251" s="14"/>
      <c r="G251" s="14"/>
      <c r="H251" s="14"/>
      <c r="I251" s="14"/>
      <c r="J251" s="13"/>
      <c r="K251" s="13"/>
    </row>
    <row r="252" customFormat="false" ht="15" hidden="false" customHeight="false" outlineLevel="0" collapsed="false">
      <c r="A252" s="11" t="str">
        <f aca="false">Apontamentos!C252</f>
        <v/>
      </c>
      <c r="B252" s="11" t="str">
        <f aca="false">IF(Apontamentos!$C252="","",Apontamentos!D252&amp;"")</f>
        <v/>
      </c>
      <c r="C252" s="11" t="str">
        <f aca="false">IF(Apontamentos!$C252="","",Apontamentos!E252&amp;"")</f>
        <v/>
      </c>
      <c r="D252" s="10" t="str">
        <f aca="false">IF(Apontamentos!$C252="","",Apontamentos!F252&amp;"")</f>
        <v/>
      </c>
      <c r="E252" s="10" t="str">
        <f aca="false">IF(Apontamentos!$C252="","",Apontamentos!G252&amp;"")</f>
        <v/>
      </c>
      <c r="F252" s="14"/>
      <c r="G252" s="14"/>
      <c r="H252" s="14"/>
      <c r="I252" s="14"/>
      <c r="J252" s="13"/>
      <c r="K252" s="13"/>
    </row>
    <row r="253" customFormat="false" ht="15" hidden="false" customHeight="false" outlineLevel="0" collapsed="false">
      <c r="A253" s="11" t="str">
        <f aca="false">Apontamentos!C253</f>
        <v/>
      </c>
      <c r="B253" s="11" t="str">
        <f aca="false">IF(Apontamentos!$C253="","",Apontamentos!D253&amp;"")</f>
        <v/>
      </c>
      <c r="C253" s="11" t="str">
        <f aca="false">IF(Apontamentos!$C253="","",Apontamentos!E253&amp;"")</f>
        <v/>
      </c>
      <c r="D253" s="10" t="str">
        <f aca="false">IF(Apontamentos!$C253="","",Apontamentos!F253&amp;"")</f>
        <v/>
      </c>
      <c r="E253" s="10" t="str">
        <f aca="false">IF(Apontamentos!$C253="","",Apontamentos!G253&amp;"")</f>
        <v/>
      </c>
      <c r="F253" s="14"/>
      <c r="G253" s="14"/>
      <c r="H253" s="14"/>
      <c r="I253" s="14"/>
      <c r="J253" s="13"/>
      <c r="K253" s="13"/>
    </row>
    <row r="254" customFormat="false" ht="15" hidden="false" customHeight="false" outlineLevel="0" collapsed="false">
      <c r="A254" s="11" t="str">
        <f aca="false">Apontamentos!C254</f>
        <v/>
      </c>
      <c r="B254" s="11" t="str">
        <f aca="false">IF(Apontamentos!$C254="","",Apontamentos!D254&amp;"")</f>
        <v/>
      </c>
      <c r="C254" s="11" t="str">
        <f aca="false">IF(Apontamentos!$C254="","",Apontamentos!E254&amp;"")</f>
        <v/>
      </c>
      <c r="D254" s="10" t="str">
        <f aca="false">IF(Apontamentos!$C254="","",Apontamentos!F254&amp;"")</f>
        <v/>
      </c>
      <c r="E254" s="10" t="str">
        <f aca="false">IF(Apontamentos!$C254="","",Apontamentos!G254&amp;"")</f>
        <v/>
      </c>
      <c r="F254" s="14"/>
      <c r="G254" s="14"/>
      <c r="H254" s="14"/>
      <c r="I254" s="14"/>
      <c r="J254" s="13"/>
      <c r="K254" s="13"/>
    </row>
    <row r="255" customFormat="false" ht="15" hidden="false" customHeight="false" outlineLevel="0" collapsed="false">
      <c r="A255" s="11" t="str">
        <f aca="false">Apontamentos!C255</f>
        <v/>
      </c>
      <c r="B255" s="11" t="str">
        <f aca="false">IF(Apontamentos!$C255="","",Apontamentos!D255&amp;"")</f>
        <v/>
      </c>
      <c r="C255" s="11" t="str">
        <f aca="false">IF(Apontamentos!$C255="","",Apontamentos!E255&amp;"")</f>
        <v/>
      </c>
      <c r="D255" s="10" t="str">
        <f aca="false">IF(Apontamentos!$C255="","",Apontamentos!F255&amp;"")</f>
        <v/>
      </c>
      <c r="E255" s="10" t="str">
        <f aca="false">IF(Apontamentos!$C255="","",Apontamentos!G255&amp;"")</f>
        <v/>
      </c>
      <c r="F255" s="14"/>
      <c r="G255" s="14"/>
      <c r="H255" s="14"/>
      <c r="I255" s="14"/>
      <c r="J255" s="13"/>
      <c r="K255" s="13"/>
    </row>
    <row r="256" customFormat="false" ht="15" hidden="false" customHeight="false" outlineLevel="0" collapsed="false">
      <c r="A256" s="11" t="str">
        <f aca="false">Apontamentos!C256</f>
        <v/>
      </c>
      <c r="B256" s="11" t="str">
        <f aca="false">IF(Apontamentos!$C256="","",Apontamentos!D256&amp;"")</f>
        <v/>
      </c>
      <c r="C256" s="11" t="str">
        <f aca="false">IF(Apontamentos!$C256="","",Apontamentos!E256&amp;"")</f>
        <v/>
      </c>
      <c r="D256" s="10" t="str">
        <f aca="false">IF(Apontamentos!$C256="","",Apontamentos!F256&amp;"")</f>
        <v/>
      </c>
      <c r="E256" s="10" t="str">
        <f aca="false">IF(Apontamentos!$C256="","",Apontamentos!G256&amp;"")</f>
        <v/>
      </c>
      <c r="F256" s="14"/>
      <c r="G256" s="14"/>
      <c r="H256" s="14"/>
      <c r="I256" s="14"/>
      <c r="J256" s="13"/>
      <c r="K256" s="13"/>
    </row>
    <row r="257" customFormat="false" ht="15" hidden="false" customHeight="false" outlineLevel="0" collapsed="false">
      <c r="A257" s="11" t="str">
        <f aca="false">Apontamentos!C257</f>
        <v/>
      </c>
      <c r="B257" s="11" t="str">
        <f aca="false">IF(Apontamentos!$C257="","",Apontamentos!D257&amp;"")</f>
        <v/>
      </c>
      <c r="C257" s="11" t="str">
        <f aca="false">IF(Apontamentos!$C257="","",Apontamentos!E257&amp;"")</f>
        <v/>
      </c>
      <c r="D257" s="10" t="str">
        <f aca="false">IF(Apontamentos!$C257="","",Apontamentos!F257&amp;"")</f>
        <v/>
      </c>
      <c r="E257" s="10" t="str">
        <f aca="false">IF(Apontamentos!$C257="","",Apontamentos!G257&amp;"")</f>
        <v/>
      </c>
      <c r="F257" s="14"/>
      <c r="G257" s="14"/>
      <c r="H257" s="14"/>
      <c r="I257" s="14"/>
      <c r="J257" s="13"/>
      <c r="K257" s="13"/>
    </row>
    <row r="258" customFormat="false" ht="15" hidden="false" customHeight="false" outlineLevel="0" collapsed="false">
      <c r="A258" s="11" t="str">
        <f aca="false">Apontamentos!C258</f>
        <v/>
      </c>
      <c r="B258" s="11" t="str">
        <f aca="false">IF(Apontamentos!$C258="","",Apontamentos!D258&amp;"")</f>
        <v/>
      </c>
      <c r="C258" s="11" t="str">
        <f aca="false">IF(Apontamentos!$C258="","",Apontamentos!E258&amp;"")</f>
        <v/>
      </c>
      <c r="D258" s="10" t="str">
        <f aca="false">IF(Apontamentos!$C258="","",Apontamentos!F258&amp;"")</f>
        <v/>
      </c>
      <c r="E258" s="10" t="str">
        <f aca="false">IF(Apontamentos!$C258="","",Apontamentos!G258&amp;"")</f>
        <v/>
      </c>
      <c r="F258" s="14"/>
      <c r="G258" s="14"/>
      <c r="H258" s="14"/>
      <c r="I258" s="14"/>
      <c r="J258" s="13"/>
      <c r="K258" s="13"/>
    </row>
    <row r="259" customFormat="false" ht="15" hidden="false" customHeight="false" outlineLevel="0" collapsed="false">
      <c r="A259" s="11" t="str">
        <f aca="false">Apontamentos!C259</f>
        <v/>
      </c>
      <c r="B259" s="11" t="str">
        <f aca="false">IF(Apontamentos!$C259="","",Apontamentos!D259&amp;"")</f>
        <v/>
      </c>
      <c r="C259" s="11" t="str">
        <f aca="false">IF(Apontamentos!$C259="","",Apontamentos!E259&amp;"")</f>
        <v/>
      </c>
      <c r="D259" s="10" t="str">
        <f aca="false">IF(Apontamentos!$C259="","",Apontamentos!F259&amp;"")</f>
        <v/>
      </c>
      <c r="E259" s="10" t="str">
        <f aca="false">IF(Apontamentos!$C259="","",Apontamentos!G259&amp;"")</f>
        <v/>
      </c>
      <c r="F259" s="14"/>
      <c r="G259" s="14"/>
      <c r="H259" s="14"/>
      <c r="I259" s="14"/>
      <c r="J259" s="13"/>
      <c r="K259" s="13"/>
    </row>
    <row r="260" customFormat="false" ht="15" hidden="false" customHeight="false" outlineLevel="0" collapsed="false">
      <c r="A260" s="11" t="str">
        <f aca="false">Apontamentos!C260</f>
        <v/>
      </c>
      <c r="B260" s="11" t="str">
        <f aca="false">IF(Apontamentos!$C260="","",Apontamentos!D260&amp;"")</f>
        <v/>
      </c>
      <c r="C260" s="11" t="str">
        <f aca="false">IF(Apontamentos!$C260="","",Apontamentos!E260&amp;"")</f>
        <v/>
      </c>
      <c r="D260" s="10" t="str">
        <f aca="false">IF(Apontamentos!$C260="","",Apontamentos!F260&amp;"")</f>
        <v/>
      </c>
      <c r="E260" s="10" t="str">
        <f aca="false">IF(Apontamentos!$C260="","",Apontamentos!G260&amp;"")</f>
        <v/>
      </c>
      <c r="F260" s="14"/>
      <c r="G260" s="14"/>
      <c r="H260" s="14"/>
      <c r="I260" s="14"/>
      <c r="J260" s="13"/>
      <c r="K260" s="13"/>
    </row>
    <row r="261" customFormat="false" ht="15" hidden="false" customHeight="false" outlineLevel="0" collapsed="false">
      <c r="A261" s="11" t="str">
        <f aca="false">Apontamentos!C261</f>
        <v/>
      </c>
      <c r="B261" s="11" t="str">
        <f aca="false">IF(Apontamentos!$C261="","",Apontamentos!D261&amp;"")</f>
        <v/>
      </c>
      <c r="C261" s="11" t="str">
        <f aca="false">IF(Apontamentos!$C261="","",Apontamentos!E261&amp;"")</f>
        <v/>
      </c>
      <c r="D261" s="10" t="str">
        <f aca="false">IF(Apontamentos!$C261="","",Apontamentos!F261&amp;"")</f>
        <v/>
      </c>
      <c r="E261" s="10" t="str">
        <f aca="false">IF(Apontamentos!$C261="","",Apontamentos!G261&amp;"")</f>
        <v/>
      </c>
      <c r="F261" s="14"/>
      <c r="G261" s="14"/>
      <c r="H261" s="14"/>
      <c r="I261" s="14"/>
      <c r="J261" s="13"/>
      <c r="K261" s="13"/>
    </row>
    <row r="262" customFormat="false" ht="15" hidden="false" customHeight="false" outlineLevel="0" collapsed="false">
      <c r="A262" s="11" t="str">
        <f aca="false">Apontamentos!C262</f>
        <v/>
      </c>
      <c r="B262" s="11" t="str">
        <f aca="false">IF(Apontamentos!$C262="","",Apontamentos!D262&amp;"")</f>
        <v/>
      </c>
      <c r="C262" s="11" t="str">
        <f aca="false">IF(Apontamentos!$C262="","",Apontamentos!E262&amp;"")</f>
        <v/>
      </c>
      <c r="D262" s="10" t="str">
        <f aca="false">IF(Apontamentos!$C262="","",Apontamentos!F262&amp;"")</f>
        <v/>
      </c>
      <c r="E262" s="10" t="str">
        <f aca="false">IF(Apontamentos!$C262="","",Apontamentos!G262&amp;"")</f>
        <v/>
      </c>
      <c r="F262" s="14"/>
      <c r="G262" s="14"/>
      <c r="H262" s="14"/>
      <c r="I262" s="14"/>
      <c r="J262" s="13"/>
      <c r="K262" s="13"/>
    </row>
    <row r="263" customFormat="false" ht="15" hidden="false" customHeight="false" outlineLevel="0" collapsed="false">
      <c r="A263" s="11" t="str">
        <f aca="false">Apontamentos!C263</f>
        <v/>
      </c>
      <c r="B263" s="11" t="str">
        <f aca="false">IF(Apontamentos!$C263="","",Apontamentos!D263&amp;"")</f>
        <v/>
      </c>
      <c r="C263" s="11" t="str">
        <f aca="false">IF(Apontamentos!$C263="","",Apontamentos!E263&amp;"")</f>
        <v/>
      </c>
      <c r="D263" s="10" t="str">
        <f aca="false">IF(Apontamentos!$C263="","",Apontamentos!F263&amp;"")</f>
        <v/>
      </c>
      <c r="E263" s="10" t="str">
        <f aca="false">IF(Apontamentos!$C263="","",Apontamentos!G263&amp;"")</f>
        <v/>
      </c>
      <c r="F263" s="14"/>
      <c r="G263" s="14"/>
      <c r="H263" s="14"/>
      <c r="I263" s="14"/>
      <c r="J263" s="13"/>
      <c r="K263" s="13"/>
    </row>
    <row r="264" customFormat="false" ht="15" hidden="false" customHeight="false" outlineLevel="0" collapsed="false">
      <c r="A264" s="11" t="str">
        <f aca="false">Apontamentos!C264</f>
        <v/>
      </c>
      <c r="B264" s="11" t="str">
        <f aca="false">IF(Apontamentos!$C264="","",Apontamentos!D264&amp;"")</f>
        <v/>
      </c>
      <c r="C264" s="11" t="str">
        <f aca="false">IF(Apontamentos!$C264="","",Apontamentos!E264&amp;"")</f>
        <v/>
      </c>
      <c r="D264" s="10" t="str">
        <f aca="false">IF(Apontamentos!$C264="","",Apontamentos!F264&amp;"")</f>
        <v/>
      </c>
      <c r="E264" s="10" t="str">
        <f aca="false">IF(Apontamentos!$C264="","",Apontamentos!G264&amp;"")</f>
        <v/>
      </c>
      <c r="F264" s="14"/>
      <c r="G264" s="14"/>
      <c r="H264" s="14"/>
      <c r="I264" s="14"/>
      <c r="J264" s="13"/>
      <c r="K264" s="13"/>
    </row>
    <row r="265" customFormat="false" ht="15" hidden="false" customHeight="false" outlineLevel="0" collapsed="false">
      <c r="A265" s="11" t="str">
        <f aca="false">Apontamentos!C265</f>
        <v/>
      </c>
      <c r="B265" s="11" t="str">
        <f aca="false">IF(Apontamentos!$C265="","",Apontamentos!D265&amp;"")</f>
        <v/>
      </c>
      <c r="C265" s="11" t="str">
        <f aca="false">IF(Apontamentos!$C265="","",Apontamentos!E265&amp;"")</f>
        <v/>
      </c>
      <c r="D265" s="10" t="str">
        <f aca="false">IF(Apontamentos!$C265="","",Apontamentos!F265&amp;"")</f>
        <v/>
      </c>
      <c r="E265" s="10" t="str">
        <f aca="false">IF(Apontamentos!$C265="","",Apontamentos!G265&amp;"")</f>
        <v/>
      </c>
      <c r="F265" s="14"/>
      <c r="G265" s="14"/>
      <c r="H265" s="14"/>
      <c r="I265" s="14"/>
      <c r="J265" s="13"/>
      <c r="K265" s="13"/>
    </row>
    <row r="266" customFormat="false" ht="15" hidden="false" customHeight="false" outlineLevel="0" collapsed="false">
      <c r="A266" s="11" t="str">
        <f aca="false">Apontamentos!C266</f>
        <v/>
      </c>
      <c r="B266" s="11" t="str">
        <f aca="false">IF(Apontamentos!$C266="","",Apontamentos!D266&amp;"")</f>
        <v/>
      </c>
      <c r="C266" s="11" t="str">
        <f aca="false">IF(Apontamentos!$C266="","",Apontamentos!E266&amp;"")</f>
        <v/>
      </c>
      <c r="D266" s="10" t="str">
        <f aca="false">IF(Apontamentos!$C266="","",Apontamentos!F266&amp;"")</f>
        <v/>
      </c>
      <c r="E266" s="10" t="str">
        <f aca="false">IF(Apontamentos!$C266="","",Apontamentos!G266&amp;"")</f>
        <v/>
      </c>
      <c r="F266" s="14"/>
      <c r="G266" s="14"/>
      <c r="H266" s="14"/>
      <c r="I266" s="14"/>
      <c r="J266" s="13"/>
      <c r="K266" s="13"/>
    </row>
    <row r="267" customFormat="false" ht="15" hidden="false" customHeight="false" outlineLevel="0" collapsed="false">
      <c r="A267" s="11" t="str">
        <f aca="false">Apontamentos!C267</f>
        <v/>
      </c>
      <c r="B267" s="11" t="str">
        <f aca="false">IF(Apontamentos!$C267="","",Apontamentos!D267&amp;"")</f>
        <v/>
      </c>
      <c r="C267" s="11" t="str">
        <f aca="false">IF(Apontamentos!$C267="","",Apontamentos!E267&amp;"")</f>
        <v/>
      </c>
      <c r="D267" s="10" t="str">
        <f aca="false">IF(Apontamentos!$C267="","",Apontamentos!F267&amp;"")</f>
        <v/>
      </c>
      <c r="E267" s="10" t="str">
        <f aca="false">IF(Apontamentos!$C267="","",Apontamentos!G267&amp;"")</f>
        <v/>
      </c>
      <c r="F267" s="14"/>
      <c r="G267" s="14"/>
      <c r="H267" s="14"/>
      <c r="I267" s="14"/>
      <c r="J267" s="13"/>
      <c r="K267" s="13"/>
    </row>
    <row r="268" customFormat="false" ht="15" hidden="false" customHeight="false" outlineLevel="0" collapsed="false">
      <c r="A268" s="11" t="str">
        <f aca="false">Apontamentos!C268</f>
        <v/>
      </c>
      <c r="B268" s="11" t="str">
        <f aca="false">IF(Apontamentos!$C268="","",Apontamentos!D268&amp;"")</f>
        <v/>
      </c>
      <c r="C268" s="11" t="str">
        <f aca="false">IF(Apontamentos!$C268="","",Apontamentos!E268&amp;"")</f>
        <v/>
      </c>
      <c r="D268" s="10" t="str">
        <f aca="false">IF(Apontamentos!$C268="","",Apontamentos!F268&amp;"")</f>
        <v/>
      </c>
      <c r="E268" s="10" t="str">
        <f aca="false">IF(Apontamentos!$C268="","",Apontamentos!G268&amp;"")</f>
        <v/>
      </c>
      <c r="F268" s="14"/>
      <c r="G268" s="14"/>
      <c r="H268" s="14"/>
      <c r="I268" s="14"/>
      <c r="J268" s="13"/>
      <c r="K268" s="13"/>
    </row>
    <row r="269" customFormat="false" ht="15" hidden="false" customHeight="false" outlineLevel="0" collapsed="false">
      <c r="A269" s="11" t="str">
        <f aca="false">Apontamentos!C269</f>
        <v/>
      </c>
      <c r="B269" s="11" t="str">
        <f aca="false">IF(Apontamentos!$C269="","",Apontamentos!D269&amp;"")</f>
        <v/>
      </c>
      <c r="C269" s="11" t="str">
        <f aca="false">IF(Apontamentos!$C269="","",Apontamentos!E269&amp;"")</f>
        <v/>
      </c>
      <c r="D269" s="10" t="str">
        <f aca="false">IF(Apontamentos!$C269="","",Apontamentos!F269&amp;"")</f>
        <v/>
      </c>
      <c r="E269" s="10" t="str">
        <f aca="false">IF(Apontamentos!$C269="","",Apontamentos!G269&amp;"")</f>
        <v/>
      </c>
      <c r="F269" s="14"/>
      <c r="G269" s="14"/>
      <c r="H269" s="14"/>
      <c r="I269" s="14"/>
      <c r="J269" s="13"/>
      <c r="K269" s="13"/>
    </row>
    <row r="270" customFormat="false" ht="15" hidden="false" customHeight="false" outlineLevel="0" collapsed="false">
      <c r="A270" s="11" t="str">
        <f aca="false">Apontamentos!C270</f>
        <v/>
      </c>
      <c r="B270" s="11" t="str">
        <f aca="false">IF(Apontamentos!$C270="","",Apontamentos!D270&amp;"")</f>
        <v/>
      </c>
      <c r="C270" s="11" t="str">
        <f aca="false">IF(Apontamentos!$C270="","",Apontamentos!E270&amp;"")</f>
        <v/>
      </c>
      <c r="D270" s="10" t="str">
        <f aca="false">IF(Apontamentos!$C270="","",Apontamentos!F270&amp;"")</f>
        <v/>
      </c>
      <c r="E270" s="10" t="str">
        <f aca="false">IF(Apontamentos!$C270="","",Apontamentos!G270&amp;"")</f>
        <v/>
      </c>
      <c r="F270" s="14"/>
      <c r="G270" s="14"/>
      <c r="H270" s="14"/>
      <c r="I270" s="14"/>
      <c r="J270" s="13"/>
      <c r="K270" s="13"/>
    </row>
    <row r="271" customFormat="false" ht="15" hidden="false" customHeight="false" outlineLevel="0" collapsed="false">
      <c r="A271" s="11" t="str">
        <f aca="false">Apontamentos!C271</f>
        <v/>
      </c>
      <c r="B271" s="11" t="str">
        <f aca="false">IF(Apontamentos!$C271="","",Apontamentos!D271&amp;"")</f>
        <v/>
      </c>
      <c r="C271" s="11" t="str">
        <f aca="false">IF(Apontamentos!$C271="","",Apontamentos!E271&amp;"")</f>
        <v/>
      </c>
      <c r="D271" s="10" t="str">
        <f aca="false">IF(Apontamentos!$C271="","",Apontamentos!F271&amp;"")</f>
        <v/>
      </c>
      <c r="E271" s="10" t="str">
        <f aca="false">IF(Apontamentos!$C271="","",Apontamentos!G271&amp;"")</f>
        <v/>
      </c>
      <c r="F271" s="14"/>
      <c r="G271" s="14"/>
      <c r="H271" s="14"/>
      <c r="I271" s="14"/>
      <c r="J271" s="13"/>
      <c r="K271" s="13"/>
    </row>
    <row r="272" customFormat="false" ht="15" hidden="false" customHeight="false" outlineLevel="0" collapsed="false">
      <c r="A272" s="11" t="str">
        <f aca="false">Apontamentos!C272</f>
        <v/>
      </c>
      <c r="B272" s="11" t="str">
        <f aca="false">IF(Apontamentos!$C272="","",Apontamentos!D272&amp;"")</f>
        <v/>
      </c>
      <c r="C272" s="11" t="str">
        <f aca="false">IF(Apontamentos!$C272="","",Apontamentos!E272&amp;"")</f>
        <v/>
      </c>
      <c r="D272" s="10" t="str">
        <f aca="false">IF(Apontamentos!$C272="","",Apontamentos!F272&amp;"")</f>
        <v/>
      </c>
      <c r="E272" s="10" t="str">
        <f aca="false">IF(Apontamentos!$C272="","",Apontamentos!G272&amp;"")</f>
        <v/>
      </c>
      <c r="F272" s="14"/>
      <c r="G272" s="14"/>
      <c r="H272" s="14"/>
      <c r="I272" s="14"/>
      <c r="J272" s="13"/>
      <c r="K272" s="13"/>
    </row>
    <row r="273" customFormat="false" ht="15" hidden="false" customHeight="false" outlineLevel="0" collapsed="false">
      <c r="A273" s="11" t="str">
        <f aca="false">Apontamentos!C273</f>
        <v/>
      </c>
      <c r="B273" s="11" t="str">
        <f aca="false">IF(Apontamentos!$C273="","",Apontamentos!D273&amp;"")</f>
        <v/>
      </c>
      <c r="C273" s="11" t="str">
        <f aca="false">IF(Apontamentos!$C273="","",Apontamentos!E273&amp;"")</f>
        <v/>
      </c>
      <c r="D273" s="10" t="str">
        <f aca="false">IF(Apontamentos!$C273="","",Apontamentos!F273&amp;"")</f>
        <v/>
      </c>
      <c r="E273" s="10" t="str">
        <f aca="false">IF(Apontamentos!$C273="","",Apontamentos!G273&amp;"")</f>
        <v/>
      </c>
      <c r="F273" s="14"/>
      <c r="G273" s="14"/>
      <c r="H273" s="14"/>
      <c r="I273" s="14"/>
      <c r="J273" s="13"/>
      <c r="K273" s="13"/>
    </row>
    <row r="274" customFormat="false" ht="15" hidden="false" customHeight="false" outlineLevel="0" collapsed="false">
      <c r="A274" s="11" t="str">
        <f aca="false">Apontamentos!C274</f>
        <v/>
      </c>
      <c r="B274" s="11" t="str">
        <f aca="false">IF(Apontamentos!$C274="","",Apontamentos!D274&amp;"")</f>
        <v/>
      </c>
      <c r="C274" s="11" t="str">
        <f aca="false">IF(Apontamentos!$C274="","",Apontamentos!E274&amp;"")</f>
        <v/>
      </c>
      <c r="D274" s="10" t="str">
        <f aca="false">IF(Apontamentos!$C274="","",Apontamentos!F274&amp;"")</f>
        <v/>
      </c>
      <c r="E274" s="10" t="str">
        <f aca="false">IF(Apontamentos!$C274="","",Apontamentos!G274&amp;"")</f>
        <v/>
      </c>
      <c r="F274" s="14"/>
      <c r="G274" s="14"/>
      <c r="H274" s="14"/>
      <c r="I274" s="14"/>
      <c r="J274" s="13"/>
      <c r="K274" s="13"/>
    </row>
    <row r="275" customFormat="false" ht="15" hidden="false" customHeight="false" outlineLevel="0" collapsed="false">
      <c r="A275" s="11" t="str">
        <f aca="false">Apontamentos!C275</f>
        <v/>
      </c>
      <c r="B275" s="11" t="str">
        <f aca="false">IF(Apontamentos!$C275="","",Apontamentos!D275&amp;"")</f>
        <v/>
      </c>
      <c r="C275" s="11" t="str">
        <f aca="false">IF(Apontamentos!$C275="","",Apontamentos!E275&amp;"")</f>
        <v/>
      </c>
      <c r="D275" s="10" t="str">
        <f aca="false">IF(Apontamentos!$C275="","",Apontamentos!F275&amp;"")</f>
        <v/>
      </c>
      <c r="E275" s="10" t="str">
        <f aca="false">IF(Apontamentos!$C275="","",Apontamentos!G275&amp;"")</f>
        <v/>
      </c>
      <c r="F275" s="14"/>
      <c r="G275" s="14"/>
      <c r="H275" s="14"/>
      <c r="I275" s="14"/>
      <c r="J275" s="13"/>
      <c r="K275" s="13"/>
    </row>
    <row r="276" customFormat="false" ht="15" hidden="false" customHeight="false" outlineLevel="0" collapsed="false">
      <c r="A276" s="11" t="str">
        <f aca="false">Apontamentos!C276</f>
        <v/>
      </c>
      <c r="B276" s="11" t="str">
        <f aca="false">IF(Apontamentos!$C276="","",Apontamentos!D276&amp;"")</f>
        <v/>
      </c>
      <c r="C276" s="11" t="str">
        <f aca="false">IF(Apontamentos!$C276="","",Apontamentos!E276&amp;"")</f>
        <v/>
      </c>
      <c r="D276" s="10" t="str">
        <f aca="false">IF(Apontamentos!$C276="","",Apontamentos!F276&amp;"")</f>
        <v/>
      </c>
      <c r="E276" s="10" t="str">
        <f aca="false">IF(Apontamentos!$C276="","",Apontamentos!G276&amp;"")</f>
        <v/>
      </c>
      <c r="F276" s="14"/>
      <c r="G276" s="14"/>
      <c r="H276" s="14"/>
      <c r="I276" s="14"/>
      <c r="J276" s="13"/>
      <c r="K276" s="13"/>
    </row>
    <row r="277" customFormat="false" ht="15" hidden="false" customHeight="false" outlineLevel="0" collapsed="false">
      <c r="A277" s="11" t="str">
        <f aca="false">Apontamentos!C277</f>
        <v/>
      </c>
      <c r="B277" s="11" t="str">
        <f aca="false">IF(Apontamentos!$C277="","",Apontamentos!D277&amp;"")</f>
        <v/>
      </c>
      <c r="C277" s="11" t="str">
        <f aca="false">IF(Apontamentos!$C277="","",Apontamentos!E277&amp;"")</f>
        <v/>
      </c>
      <c r="D277" s="10" t="str">
        <f aca="false">IF(Apontamentos!$C277="","",Apontamentos!F277&amp;"")</f>
        <v/>
      </c>
      <c r="E277" s="10" t="str">
        <f aca="false">IF(Apontamentos!$C277="","",Apontamentos!G277&amp;"")</f>
        <v/>
      </c>
      <c r="F277" s="14"/>
      <c r="G277" s="14"/>
      <c r="H277" s="14"/>
      <c r="I277" s="14"/>
      <c r="J277" s="13"/>
      <c r="K277" s="13"/>
    </row>
    <row r="278" customFormat="false" ht="15" hidden="false" customHeight="false" outlineLevel="0" collapsed="false">
      <c r="A278" s="11" t="str">
        <f aca="false">Apontamentos!C278</f>
        <v/>
      </c>
      <c r="B278" s="11" t="str">
        <f aca="false">IF(Apontamentos!$C278="","",Apontamentos!D278&amp;"")</f>
        <v/>
      </c>
      <c r="C278" s="11" t="str">
        <f aca="false">IF(Apontamentos!$C278="","",Apontamentos!E278&amp;"")</f>
        <v/>
      </c>
      <c r="D278" s="10" t="str">
        <f aca="false">IF(Apontamentos!$C278="","",Apontamentos!F278&amp;"")</f>
        <v/>
      </c>
      <c r="E278" s="10" t="str">
        <f aca="false">IF(Apontamentos!$C278="","",Apontamentos!G278&amp;"")</f>
        <v/>
      </c>
      <c r="F278" s="14"/>
      <c r="G278" s="14"/>
      <c r="H278" s="14"/>
      <c r="I278" s="14"/>
      <c r="J278" s="13"/>
      <c r="K278" s="13"/>
    </row>
    <row r="279" customFormat="false" ht="15" hidden="false" customHeight="false" outlineLevel="0" collapsed="false">
      <c r="A279" s="11" t="str">
        <f aca="false">Apontamentos!C279</f>
        <v/>
      </c>
      <c r="B279" s="11" t="str">
        <f aca="false">IF(Apontamentos!$C279="","",Apontamentos!D279&amp;"")</f>
        <v/>
      </c>
      <c r="C279" s="11" t="str">
        <f aca="false">IF(Apontamentos!$C279="","",Apontamentos!E279&amp;"")</f>
        <v/>
      </c>
      <c r="D279" s="10" t="str">
        <f aca="false">IF(Apontamentos!$C279="","",Apontamentos!F279&amp;"")</f>
        <v/>
      </c>
      <c r="E279" s="10" t="str">
        <f aca="false">IF(Apontamentos!$C279="","",Apontamentos!G279&amp;"")</f>
        <v/>
      </c>
      <c r="F279" s="14"/>
      <c r="G279" s="14"/>
      <c r="H279" s="14"/>
      <c r="I279" s="14"/>
      <c r="J279" s="13"/>
      <c r="K279" s="13"/>
    </row>
    <row r="280" customFormat="false" ht="15" hidden="false" customHeight="false" outlineLevel="0" collapsed="false">
      <c r="A280" s="11" t="str">
        <f aca="false">Apontamentos!C280</f>
        <v/>
      </c>
      <c r="B280" s="11" t="str">
        <f aca="false">IF(Apontamentos!$C280="","",Apontamentos!D280&amp;"")</f>
        <v/>
      </c>
      <c r="C280" s="11" t="str">
        <f aca="false">IF(Apontamentos!$C280="","",Apontamentos!E280&amp;"")</f>
        <v/>
      </c>
      <c r="D280" s="10" t="str">
        <f aca="false">IF(Apontamentos!$C280="","",Apontamentos!F280&amp;"")</f>
        <v/>
      </c>
      <c r="E280" s="10" t="str">
        <f aca="false">IF(Apontamentos!$C280="","",Apontamentos!G280&amp;"")</f>
        <v/>
      </c>
      <c r="F280" s="14"/>
      <c r="G280" s="14"/>
      <c r="H280" s="14"/>
      <c r="I280" s="14"/>
      <c r="J280" s="13"/>
      <c r="K280" s="13"/>
    </row>
    <row r="281" customFormat="false" ht="15" hidden="false" customHeight="false" outlineLevel="0" collapsed="false">
      <c r="A281" s="11" t="str">
        <f aca="false">Apontamentos!C281</f>
        <v/>
      </c>
      <c r="B281" s="11" t="str">
        <f aca="false">IF(Apontamentos!$C281="","",Apontamentos!D281&amp;"")</f>
        <v/>
      </c>
      <c r="C281" s="11" t="str">
        <f aca="false">IF(Apontamentos!$C281="","",Apontamentos!E281&amp;"")</f>
        <v/>
      </c>
      <c r="D281" s="10" t="str">
        <f aca="false">IF(Apontamentos!$C281="","",Apontamentos!F281&amp;"")</f>
        <v/>
      </c>
      <c r="E281" s="10" t="str">
        <f aca="false">IF(Apontamentos!$C281="","",Apontamentos!G281&amp;"")</f>
        <v/>
      </c>
      <c r="F281" s="14"/>
      <c r="G281" s="14"/>
      <c r="H281" s="14"/>
      <c r="I281" s="14"/>
      <c r="J281" s="13"/>
      <c r="K281" s="13"/>
    </row>
    <row r="282" customFormat="false" ht="15" hidden="false" customHeight="false" outlineLevel="0" collapsed="false">
      <c r="A282" s="11" t="str">
        <f aca="false">Apontamentos!C282</f>
        <v/>
      </c>
      <c r="B282" s="11" t="str">
        <f aca="false">IF(Apontamentos!$C282="","",Apontamentos!D282&amp;"")</f>
        <v/>
      </c>
      <c r="C282" s="11" t="str">
        <f aca="false">IF(Apontamentos!$C282="","",Apontamentos!E282&amp;"")</f>
        <v/>
      </c>
      <c r="D282" s="10" t="str">
        <f aca="false">IF(Apontamentos!$C282="","",Apontamentos!F282&amp;"")</f>
        <v/>
      </c>
      <c r="E282" s="10" t="str">
        <f aca="false">IF(Apontamentos!$C282="","",Apontamentos!G282&amp;"")</f>
        <v/>
      </c>
      <c r="F282" s="14"/>
      <c r="G282" s="14"/>
      <c r="H282" s="14"/>
      <c r="I282" s="14"/>
      <c r="J282" s="13"/>
      <c r="K282" s="13"/>
    </row>
    <row r="283" customFormat="false" ht="15" hidden="false" customHeight="false" outlineLevel="0" collapsed="false">
      <c r="A283" s="11" t="str">
        <f aca="false">Apontamentos!C283</f>
        <v/>
      </c>
      <c r="B283" s="11" t="str">
        <f aca="false">IF(Apontamentos!$C283="","",Apontamentos!D283&amp;"")</f>
        <v/>
      </c>
      <c r="C283" s="11" t="str">
        <f aca="false">IF(Apontamentos!$C283="","",Apontamentos!E283&amp;"")</f>
        <v/>
      </c>
      <c r="D283" s="10" t="str">
        <f aca="false">IF(Apontamentos!$C283="","",Apontamentos!F283&amp;"")</f>
        <v/>
      </c>
      <c r="E283" s="10" t="str">
        <f aca="false">IF(Apontamentos!$C283="","",Apontamentos!G283&amp;"")</f>
        <v/>
      </c>
      <c r="F283" s="14"/>
      <c r="G283" s="14"/>
      <c r="H283" s="14"/>
      <c r="I283" s="14"/>
      <c r="J283" s="13"/>
      <c r="K283" s="13"/>
    </row>
    <row r="284" customFormat="false" ht="15" hidden="false" customHeight="false" outlineLevel="0" collapsed="false">
      <c r="A284" s="11" t="str">
        <f aca="false">Apontamentos!C284</f>
        <v/>
      </c>
      <c r="B284" s="11" t="str">
        <f aca="false">IF(Apontamentos!$C284="","",Apontamentos!D284&amp;"")</f>
        <v/>
      </c>
      <c r="C284" s="11" t="str">
        <f aca="false">IF(Apontamentos!$C284="","",Apontamentos!E284&amp;"")</f>
        <v/>
      </c>
      <c r="D284" s="10" t="str">
        <f aca="false">IF(Apontamentos!$C284="","",Apontamentos!F284&amp;"")</f>
        <v/>
      </c>
      <c r="E284" s="10" t="str">
        <f aca="false">IF(Apontamentos!$C284="","",Apontamentos!G284&amp;"")</f>
        <v/>
      </c>
      <c r="F284" s="14"/>
      <c r="G284" s="14"/>
      <c r="H284" s="14"/>
      <c r="I284" s="14"/>
      <c r="J284" s="13"/>
      <c r="K284" s="13"/>
    </row>
    <row r="285" customFormat="false" ht="15" hidden="false" customHeight="false" outlineLevel="0" collapsed="false">
      <c r="A285" s="11" t="str">
        <f aca="false">Apontamentos!C285</f>
        <v/>
      </c>
      <c r="B285" s="11" t="str">
        <f aca="false">IF(Apontamentos!$C285="","",Apontamentos!D285&amp;"")</f>
        <v/>
      </c>
      <c r="C285" s="11" t="str">
        <f aca="false">IF(Apontamentos!$C285="","",Apontamentos!E285&amp;"")</f>
        <v/>
      </c>
      <c r="D285" s="10" t="str">
        <f aca="false">IF(Apontamentos!$C285="","",Apontamentos!F285&amp;"")</f>
        <v/>
      </c>
      <c r="E285" s="10" t="str">
        <f aca="false">IF(Apontamentos!$C285="","",Apontamentos!G285&amp;"")</f>
        <v/>
      </c>
      <c r="F285" s="14"/>
      <c r="G285" s="14"/>
      <c r="H285" s="14"/>
      <c r="I285" s="14"/>
      <c r="J285" s="13"/>
      <c r="K285" s="13"/>
    </row>
    <row r="286" customFormat="false" ht="15" hidden="false" customHeight="false" outlineLevel="0" collapsed="false">
      <c r="A286" s="11" t="str">
        <f aca="false">Apontamentos!C286</f>
        <v/>
      </c>
      <c r="B286" s="11" t="str">
        <f aca="false">IF(Apontamentos!$C286="","",Apontamentos!D286&amp;"")</f>
        <v/>
      </c>
      <c r="C286" s="11" t="str">
        <f aca="false">IF(Apontamentos!$C286="","",Apontamentos!E286&amp;"")</f>
        <v/>
      </c>
      <c r="D286" s="10" t="str">
        <f aca="false">IF(Apontamentos!$C286="","",Apontamentos!F286&amp;"")</f>
        <v/>
      </c>
      <c r="E286" s="10" t="str">
        <f aca="false">IF(Apontamentos!$C286="","",Apontamentos!G286&amp;"")</f>
        <v/>
      </c>
      <c r="F286" s="14"/>
      <c r="G286" s="14"/>
      <c r="H286" s="14"/>
      <c r="I286" s="14"/>
      <c r="J286" s="13"/>
      <c r="K286" s="13"/>
    </row>
    <row r="287" customFormat="false" ht="15" hidden="false" customHeight="false" outlineLevel="0" collapsed="false">
      <c r="A287" s="11" t="str">
        <f aca="false">Apontamentos!C287</f>
        <v/>
      </c>
      <c r="B287" s="11" t="str">
        <f aca="false">IF(Apontamentos!$C287="","",Apontamentos!D287&amp;"")</f>
        <v/>
      </c>
      <c r="C287" s="11" t="str">
        <f aca="false">IF(Apontamentos!$C287="","",Apontamentos!E287&amp;"")</f>
        <v/>
      </c>
      <c r="D287" s="10" t="str">
        <f aca="false">IF(Apontamentos!$C287="","",Apontamentos!F287&amp;"")</f>
        <v/>
      </c>
      <c r="E287" s="10" t="str">
        <f aca="false">IF(Apontamentos!$C287="","",Apontamentos!G287&amp;"")</f>
        <v/>
      </c>
      <c r="F287" s="14"/>
      <c r="G287" s="14"/>
      <c r="H287" s="14"/>
      <c r="I287" s="14"/>
      <c r="J287" s="13"/>
      <c r="K287" s="13"/>
    </row>
    <row r="288" customFormat="false" ht="15" hidden="false" customHeight="false" outlineLevel="0" collapsed="false">
      <c r="A288" s="11" t="str">
        <f aca="false">Apontamentos!C288</f>
        <v/>
      </c>
      <c r="B288" s="11" t="str">
        <f aca="false">IF(Apontamentos!$C288="","",Apontamentos!D288&amp;"")</f>
        <v/>
      </c>
      <c r="C288" s="11" t="str">
        <f aca="false">IF(Apontamentos!$C288="","",Apontamentos!E288&amp;"")</f>
        <v/>
      </c>
      <c r="D288" s="10" t="str">
        <f aca="false">IF(Apontamentos!$C288="","",Apontamentos!F288&amp;"")</f>
        <v/>
      </c>
      <c r="E288" s="10" t="str">
        <f aca="false">IF(Apontamentos!$C288="","",Apontamentos!G288&amp;"")</f>
        <v/>
      </c>
      <c r="F288" s="14"/>
      <c r="G288" s="14"/>
      <c r="H288" s="14"/>
      <c r="I288" s="14"/>
      <c r="J288" s="13"/>
      <c r="K288" s="13"/>
    </row>
    <row r="289" customFormat="false" ht="15" hidden="false" customHeight="false" outlineLevel="0" collapsed="false">
      <c r="A289" s="11" t="str">
        <f aca="false">Apontamentos!C289</f>
        <v/>
      </c>
      <c r="B289" s="11" t="str">
        <f aca="false">IF(Apontamentos!$C289="","",Apontamentos!D289&amp;"")</f>
        <v/>
      </c>
      <c r="C289" s="11" t="str">
        <f aca="false">IF(Apontamentos!$C289="","",Apontamentos!E289&amp;"")</f>
        <v/>
      </c>
      <c r="D289" s="10" t="str">
        <f aca="false">IF(Apontamentos!$C289="","",Apontamentos!F289&amp;"")</f>
        <v/>
      </c>
      <c r="E289" s="10" t="str">
        <f aca="false">IF(Apontamentos!$C289="","",Apontamentos!G289&amp;"")</f>
        <v/>
      </c>
      <c r="F289" s="14"/>
      <c r="G289" s="14"/>
      <c r="H289" s="14"/>
      <c r="I289" s="14"/>
      <c r="J289" s="13"/>
      <c r="K289" s="13"/>
    </row>
    <row r="290" customFormat="false" ht="15" hidden="false" customHeight="false" outlineLevel="0" collapsed="false">
      <c r="A290" s="11" t="str">
        <f aca="false">Apontamentos!C290</f>
        <v/>
      </c>
      <c r="B290" s="11" t="str">
        <f aca="false">IF(Apontamentos!$C290="","",Apontamentos!D290&amp;"")</f>
        <v/>
      </c>
      <c r="C290" s="11" t="str">
        <f aca="false">IF(Apontamentos!$C290="","",Apontamentos!E290&amp;"")</f>
        <v/>
      </c>
      <c r="D290" s="10" t="str">
        <f aca="false">IF(Apontamentos!$C290="","",Apontamentos!F290&amp;"")</f>
        <v/>
      </c>
      <c r="E290" s="10" t="str">
        <f aca="false">IF(Apontamentos!$C290="","",Apontamentos!G290&amp;"")</f>
        <v/>
      </c>
      <c r="F290" s="14"/>
      <c r="G290" s="14"/>
      <c r="H290" s="14"/>
      <c r="I290" s="14"/>
      <c r="J290" s="13"/>
      <c r="K290" s="13"/>
    </row>
    <row r="291" customFormat="false" ht="15" hidden="false" customHeight="false" outlineLevel="0" collapsed="false">
      <c r="A291" s="11" t="str">
        <f aca="false">Apontamentos!C291</f>
        <v/>
      </c>
      <c r="B291" s="11" t="str">
        <f aca="false">IF(Apontamentos!$C291="","",Apontamentos!D291&amp;"")</f>
        <v/>
      </c>
      <c r="C291" s="11" t="str">
        <f aca="false">IF(Apontamentos!$C291="","",Apontamentos!E291&amp;"")</f>
        <v/>
      </c>
      <c r="D291" s="10" t="str">
        <f aca="false">IF(Apontamentos!$C291="","",Apontamentos!F291&amp;"")</f>
        <v/>
      </c>
      <c r="E291" s="10" t="str">
        <f aca="false">IF(Apontamentos!$C291="","",Apontamentos!G291&amp;"")</f>
        <v/>
      </c>
      <c r="F291" s="14"/>
      <c r="G291" s="14"/>
      <c r="H291" s="14"/>
      <c r="I291" s="14"/>
      <c r="J291" s="13"/>
      <c r="K291" s="13"/>
    </row>
    <row r="292" customFormat="false" ht="15" hidden="false" customHeight="false" outlineLevel="0" collapsed="false">
      <c r="A292" s="11" t="str">
        <f aca="false">Apontamentos!C292</f>
        <v/>
      </c>
      <c r="B292" s="11" t="str">
        <f aca="false">IF(Apontamentos!$C292="","",Apontamentos!D292&amp;"")</f>
        <v/>
      </c>
      <c r="C292" s="11" t="str">
        <f aca="false">IF(Apontamentos!$C292="","",Apontamentos!E292&amp;"")</f>
        <v/>
      </c>
      <c r="D292" s="10" t="str">
        <f aca="false">IF(Apontamentos!$C292="","",Apontamentos!F292&amp;"")</f>
        <v/>
      </c>
      <c r="E292" s="10" t="str">
        <f aca="false">IF(Apontamentos!$C292="","",Apontamentos!G292&amp;"")</f>
        <v/>
      </c>
      <c r="F292" s="14"/>
      <c r="G292" s="14"/>
      <c r="H292" s="14"/>
      <c r="I292" s="14"/>
      <c r="J292" s="13"/>
      <c r="K292" s="13"/>
    </row>
    <row r="293" customFormat="false" ht="15" hidden="false" customHeight="false" outlineLevel="0" collapsed="false">
      <c r="A293" s="11" t="str">
        <f aca="false">Apontamentos!C293</f>
        <v/>
      </c>
      <c r="B293" s="11" t="str">
        <f aca="false">IF(Apontamentos!$C293="","",Apontamentos!D293&amp;"")</f>
        <v/>
      </c>
      <c r="C293" s="11" t="str">
        <f aca="false">IF(Apontamentos!$C293="","",Apontamentos!E293&amp;"")</f>
        <v/>
      </c>
      <c r="D293" s="10" t="str">
        <f aca="false">IF(Apontamentos!$C293="","",Apontamentos!F293&amp;"")</f>
        <v/>
      </c>
      <c r="E293" s="10" t="str">
        <f aca="false">IF(Apontamentos!$C293="","",Apontamentos!G293&amp;"")</f>
        <v/>
      </c>
      <c r="F293" s="14"/>
      <c r="G293" s="14"/>
      <c r="H293" s="14"/>
      <c r="I293" s="14"/>
      <c r="J293" s="13"/>
      <c r="K293" s="13"/>
    </row>
    <row r="294" customFormat="false" ht="15" hidden="false" customHeight="false" outlineLevel="0" collapsed="false">
      <c r="A294" s="11" t="str">
        <f aca="false">Apontamentos!C294</f>
        <v/>
      </c>
      <c r="B294" s="11" t="str">
        <f aca="false">IF(Apontamentos!$C294="","",Apontamentos!D294&amp;"")</f>
        <v/>
      </c>
      <c r="C294" s="11" t="str">
        <f aca="false">IF(Apontamentos!$C294="","",Apontamentos!E294&amp;"")</f>
        <v/>
      </c>
      <c r="D294" s="10" t="str">
        <f aca="false">IF(Apontamentos!$C294="","",Apontamentos!F294&amp;"")</f>
        <v/>
      </c>
      <c r="E294" s="10" t="str">
        <f aca="false">IF(Apontamentos!$C294="","",Apontamentos!G294&amp;"")</f>
        <v/>
      </c>
      <c r="F294" s="14"/>
      <c r="G294" s="14"/>
      <c r="H294" s="14"/>
      <c r="I294" s="14"/>
      <c r="J294" s="13"/>
      <c r="K294" s="13"/>
    </row>
    <row r="295" customFormat="false" ht="15" hidden="false" customHeight="false" outlineLevel="0" collapsed="false">
      <c r="A295" s="11" t="str">
        <f aca="false">Apontamentos!C295</f>
        <v/>
      </c>
      <c r="B295" s="11" t="str">
        <f aca="false">IF(Apontamentos!$C295="","",Apontamentos!D295&amp;"")</f>
        <v/>
      </c>
      <c r="C295" s="11" t="str">
        <f aca="false">IF(Apontamentos!$C295="","",Apontamentos!E295&amp;"")</f>
        <v/>
      </c>
      <c r="D295" s="10" t="str">
        <f aca="false">IF(Apontamentos!$C295="","",Apontamentos!F295&amp;"")</f>
        <v/>
      </c>
      <c r="E295" s="10" t="str">
        <f aca="false">IF(Apontamentos!$C295="","",Apontamentos!G295&amp;"")</f>
        <v/>
      </c>
      <c r="F295" s="14"/>
      <c r="G295" s="14"/>
      <c r="H295" s="14"/>
      <c r="I295" s="14"/>
      <c r="J295" s="13"/>
      <c r="K295" s="13"/>
    </row>
    <row r="296" customFormat="false" ht="15" hidden="false" customHeight="false" outlineLevel="0" collapsed="false">
      <c r="A296" s="11" t="str">
        <f aca="false">Apontamentos!C296</f>
        <v/>
      </c>
      <c r="B296" s="11" t="str">
        <f aca="false">IF(Apontamentos!$C296="","",Apontamentos!D296&amp;"")</f>
        <v/>
      </c>
      <c r="C296" s="11" t="str">
        <f aca="false">IF(Apontamentos!$C296="","",Apontamentos!E296&amp;"")</f>
        <v/>
      </c>
      <c r="D296" s="10" t="str">
        <f aca="false">IF(Apontamentos!$C296="","",Apontamentos!F296&amp;"")</f>
        <v/>
      </c>
      <c r="E296" s="10" t="str">
        <f aca="false">IF(Apontamentos!$C296="","",Apontamentos!G296&amp;"")</f>
        <v/>
      </c>
      <c r="F296" s="14"/>
      <c r="G296" s="14"/>
      <c r="H296" s="14"/>
      <c r="I296" s="14"/>
      <c r="J296" s="13"/>
      <c r="K296" s="13"/>
    </row>
    <row r="297" customFormat="false" ht="15" hidden="false" customHeight="false" outlineLevel="0" collapsed="false">
      <c r="A297" s="11" t="str">
        <f aca="false">Apontamentos!C297</f>
        <v/>
      </c>
      <c r="B297" s="11" t="str">
        <f aca="false">IF(Apontamentos!$C297="","",Apontamentos!D297&amp;"")</f>
        <v/>
      </c>
      <c r="C297" s="11" t="str">
        <f aca="false">IF(Apontamentos!$C297="","",Apontamentos!E297&amp;"")</f>
        <v/>
      </c>
      <c r="D297" s="10" t="str">
        <f aca="false">IF(Apontamentos!$C297="","",Apontamentos!F297&amp;"")</f>
        <v/>
      </c>
      <c r="E297" s="10" t="str">
        <f aca="false">IF(Apontamentos!$C297="","",Apontamentos!G297&amp;"")</f>
        <v/>
      </c>
      <c r="F297" s="14"/>
      <c r="G297" s="14"/>
      <c r="H297" s="14"/>
      <c r="I297" s="14"/>
      <c r="J297" s="13"/>
      <c r="K297" s="13"/>
    </row>
    <row r="298" customFormat="false" ht="15" hidden="false" customHeight="false" outlineLevel="0" collapsed="false">
      <c r="A298" s="11" t="str">
        <f aca="false">Apontamentos!C298</f>
        <v/>
      </c>
      <c r="B298" s="11" t="str">
        <f aca="false">IF(Apontamentos!$C298="","",Apontamentos!D298&amp;"")</f>
        <v/>
      </c>
      <c r="C298" s="11" t="str">
        <f aca="false">IF(Apontamentos!$C298="","",Apontamentos!E298&amp;"")</f>
        <v/>
      </c>
      <c r="D298" s="10" t="str">
        <f aca="false">IF(Apontamentos!$C298="","",Apontamentos!F298&amp;"")</f>
        <v/>
      </c>
      <c r="E298" s="10" t="str">
        <f aca="false">IF(Apontamentos!$C298="","",Apontamentos!G298&amp;"")</f>
        <v/>
      </c>
      <c r="F298" s="14"/>
      <c r="G298" s="14"/>
      <c r="H298" s="14"/>
      <c r="I298" s="14"/>
      <c r="J298" s="13"/>
      <c r="K298" s="13"/>
    </row>
    <row r="299" customFormat="false" ht="15" hidden="false" customHeight="false" outlineLevel="0" collapsed="false">
      <c r="A299" s="11" t="str">
        <f aca="false">Apontamentos!C299</f>
        <v/>
      </c>
      <c r="B299" s="11" t="str">
        <f aca="false">IF(Apontamentos!$C299="","",Apontamentos!D299&amp;"")</f>
        <v/>
      </c>
      <c r="C299" s="11" t="str">
        <f aca="false">IF(Apontamentos!$C299="","",Apontamentos!E299&amp;"")</f>
        <v/>
      </c>
      <c r="D299" s="10" t="str">
        <f aca="false">IF(Apontamentos!$C299="","",Apontamentos!F299&amp;"")</f>
        <v/>
      </c>
      <c r="E299" s="10" t="str">
        <f aca="false">IF(Apontamentos!$C299="","",Apontamentos!G299&amp;"")</f>
        <v/>
      </c>
      <c r="F299" s="14"/>
      <c r="G299" s="14"/>
      <c r="H299" s="14"/>
      <c r="I299" s="14"/>
      <c r="J299" s="13"/>
      <c r="K299" s="13"/>
    </row>
    <row r="300" customFormat="false" ht="15" hidden="false" customHeight="false" outlineLevel="0" collapsed="false">
      <c r="A300" s="11" t="str">
        <f aca="false">Apontamentos!C300</f>
        <v/>
      </c>
      <c r="B300" s="11" t="str">
        <f aca="false">IF(Apontamentos!$C300="","",Apontamentos!D300&amp;"")</f>
        <v/>
      </c>
      <c r="C300" s="11" t="str">
        <f aca="false">IF(Apontamentos!$C300="","",Apontamentos!E300&amp;"")</f>
        <v/>
      </c>
      <c r="D300" s="10" t="str">
        <f aca="false">IF(Apontamentos!$C300="","",Apontamentos!F300&amp;"")</f>
        <v/>
      </c>
      <c r="E300" s="10" t="str">
        <f aca="false">IF(Apontamentos!$C300="","",Apontamentos!G300&amp;"")</f>
        <v/>
      </c>
      <c r="F300" s="14"/>
      <c r="G300" s="14"/>
      <c r="H300" s="14"/>
      <c r="I300" s="14"/>
      <c r="J300" s="13"/>
      <c r="K300" s="13"/>
    </row>
    <row r="301" customFormat="false" ht="15" hidden="false" customHeight="false" outlineLevel="0" collapsed="false">
      <c r="A301" s="11" t="str">
        <f aca="false">Apontamentos!C301</f>
        <v/>
      </c>
      <c r="B301" s="11" t="str">
        <f aca="false">IF(Apontamentos!$C301="","",Apontamentos!D301&amp;"")</f>
        <v/>
      </c>
      <c r="C301" s="11" t="str">
        <f aca="false">IF(Apontamentos!$C301="","",Apontamentos!E301&amp;"")</f>
        <v/>
      </c>
      <c r="D301" s="10" t="str">
        <f aca="false">IF(Apontamentos!$C301="","",Apontamentos!F301&amp;"")</f>
        <v/>
      </c>
      <c r="E301" s="10" t="str">
        <f aca="false">IF(Apontamentos!$C301="","",Apontamentos!G301&amp;"")</f>
        <v/>
      </c>
      <c r="F301" s="14"/>
      <c r="G301" s="14"/>
      <c r="H301" s="14"/>
      <c r="I301" s="14"/>
      <c r="J301" s="13"/>
      <c r="K301" s="13"/>
    </row>
    <row r="302" customFormat="false" ht="15" hidden="false" customHeight="false" outlineLevel="0" collapsed="false">
      <c r="A302" s="11" t="str">
        <f aca="false">Apontamentos!C302</f>
        <v/>
      </c>
      <c r="B302" s="11" t="str">
        <f aca="false">IF(Apontamentos!$C302="","",Apontamentos!D302&amp;"")</f>
        <v/>
      </c>
      <c r="C302" s="11" t="str">
        <f aca="false">IF(Apontamentos!$C302="","",Apontamentos!E302&amp;"")</f>
        <v/>
      </c>
      <c r="D302" s="10" t="str">
        <f aca="false">IF(Apontamentos!$C302="","",Apontamentos!F302&amp;"")</f>
        <v/>
      </c>
      <c r="E302" s="10" t="str">
        <f aca="false">IF(Apontamentos!$C302="","",Apontamentos!G302&amp;"")</f>
        <v/>
      </c>
      <c r="F302" s="14"/>
      <c r="G302" s="14"/>
      <c r="H302" s="14"/>
      <c r="I302" s="14"/>
      <c r="J302" s="13"/>
      <c r="K302" s="13"/>
    </row>
    <row r="303" customFormat="false" ht="15" hidden="false" customHeight="false" outlineLevel="0" collapsed="false">
      <c r="A303" s="11" t="str">
        <f aca="false">Apontamentos!C303</f>
        <v/>
      </c>
      <c r="B303" s="11" t="str">
        <f aca="false">IF(Apontamentos!$C303="","",Apontamentos!D303&amp;"")</f>
        <v/>
      </c>
      <c r="C303" s="11" t="str">
        <f aca="false">IF(Apontamentos!$C303="","",Apontamentos!E303&amp;"")</f>
        <v/>
      </c>
      <c r="D303" s="10" t="str">
        <f aca="false">IF(Apontamentos!$C303="","",Apontamentos!F303&amp;"")</f>
        <v/>
      </c>
      <c r="E303" s="10" t="str">
        <f aca="false">IF(Apontamentos!$C303="","",Apontamentos!G303&amp;"")</f>
        <v/>
      </c>
      <c r="F303" s="14"/>
      <c r="G303" s="14"/>
      <c r="H303" s="14"/>
      <c r="I303" s="14"/>
      <c r="J303" s="13"/>
      <c r="K303" s="13"/>
    </row>
    <row r="304" customFormat="false" ht="15" hidden="false" customHeight="false" outlineLevel="0" collapsed="false">
      <c r="A304" s="11" t="str">
        <f aca="false">Apontamentos!C304</f>
        <v/>
      </c>
      <c r="B304" s="11" t="str">
        <f aca="false">IF(Apontamentos!$C304="","",Apontamentos!D304&amp;"")</f>
        <v/>
      </c>
      <c r="C304" s="11" t="str">
        <f aca="false">IF(Apontamentos!$C304="","",Apontamentos!E304&amp;"")</f>
        <v/>
      </c>
      <c r="D304" s="10" t="str">
        <f aca="false">IF(Apontamentos!$C304="","",Apontamentos!F304&amp;"")</f>
        <v/>
      </c>
      <c r="E304" s="10" t="str">
        <f aca="false">IF(Apontamentos!$C304="","",Apontamentos!G304&amp;"")</f>
        <v/>
      </c>
      <c r="F304" s="14"/>
      <c r="G304" s="14"/>
      <c r="H304" s="14"/>
      <c r="I304" s="14"/>
      <c r="J304" s="13"/>
      <c r="K304" s="13"/>
    </row>
    <row r="305" customFormat="false" ht="15" hidden="false" customHeight="false" outlineLevel="0" collapsed="false">
      <c r="A305" s="11" t="str">
        <f aca="false">Apontamentos!C305</f>
        <v/>
      </c>
      <c r="B305" s="11" t="str">
        <f aca="false">IF(Apontamentos!$C305="","",Apontamentos!D305&amp;"")</f>
        <v/>
      </c>
      <c r="C305" s="11" t="str">
        <f aca="false">IF(Apontamentos!$C305="","",Apontamentos!E305&amp;"")</f>
        <v/>
      </c>
      <c r="D305" s="10" t="str">
        <f aca="false">IF(Apontamentos!$C305="","",Apontamentos!F305&amp;"")</f>
        <v/>
      </c>
      <c r="E305" s="10" t="str">
        <f aca="false">IF(Apontamentos!$C305="","",Apontamentos!G305&amp;"")</f>
        <v/>
      </c>
      <c r="F305" s="14"/>
      <c r="G305" s="14"/>
      <c r="H305" s="14"/>
      <c r="I305" s="14"/>
      <c r="J305" s="13"/>
      <c r="K305" s="13"/>
    </row>
    <row r="306" customFormat="false" ht="15" hidden="false" customHeight="false" outlineLevel="0" collapsed="false">
      <c r="A306" s="11" t="str">
        <f aca="false">Apontamentos!C306</f>
        <v/>
      </c>
      <c r="B306" s="11" t="str">
        <f aca="false">IF(Apontamentos!$C306="","",Apontamentos!D306&amp;"")</f>
        <v/>
      </c>
      <c r="C306" s="11" t="str">
        <f aca="false">IF(Apontamentos!$C306="","",Apontamentos!E306&amp;"")</f>
        <v/>
      </c>
      <c r="D306" s="10" t="str">
        <f aca="false">IF(Apontamentos!$C306="","",Apontamentos!F306&amp;"")</f>
        <v/>
      </c>
      <c r="E306" s="10" t="str">
        <f aca="false">IF(Apontamentos!$C306="","",Apontamentos!G306&amp;"")</f>
        <v/>
      </c>
      <c r="F306" s="14"/>
      <c r="G306" s="14"/>
      <c r="H306" s="14"/>
      <c r="I306" s="14"/>
      <c r="J306" s="13"/>
      <c r="K306" s="13"/>
    </row>
    <row r="307" customFormat="false" ht="15" hidden="false" customHeight="false" outlineLevel="0" collapsed="false">
      <c r="A307" s="11" t="str">
        <f aca="false">Apontamentos!C307</f>
        <v/>
      </c>
      <c r="B307" s="11" t="str">
        <f aca="false">IF(Apontamentos!$C307="","",Apontamentos!D307&amp;"")</f>
        <v/>
      </c>
      <c r="C307" s="11" t="str">
        <f aca="false">IF(Apontamentos!$C307="","",Apontamentos!E307&amp;"")</f>
        <v/>
      </c>
      <c r="D307" s="10" t="str">
        <f aca="false">IF(Apontamentos!$C307="","",Apontamentos!F307&amp;"")</f>
        <v/>
      </c>
      <c r="E307" s="10" t="str">
        <f aca="false">IF(Apontamentos!$C307="","",Apontamentos!G307&amp;"")</f>
        <v/>
      </c>
      <c r="F307" s="14"/>
      <c r="G307" s="14"/>
      <c r="H307" s="14"/>
      <c r="I307" s="14"/>
      <c r="J307" s="13"/>
      <c r="K307" s="13"/>
    </row>
    <row r="308" customFormat="false" ht="15" hidden="false" customHeight="false" outlineLevel="0" collapsed="false">
      <c r="A308" s="11" t="str">
        <f aca="false">Apontamentos!C308</f>
        <v/>
      </c>
      <c r="B308" s="11" t="str">
        <f aca="false">IF(Apontamentos!$C308="","",Apontamentos!D308&amp;"")</f>
        <v/>
      </c>
      <c r="C308" s="11" t="str">
        <f aca="false">IF(Apontamentos!$C308="","",Apontamentos!E308&amp;"")</f>
        <v/>
      </c>
      <c r="D308" s="10" t="str">
        <f aca="false">IF(Apontamentos!$C308="","",Apontamentos!F308&amp;"")</f>
        <v/>
      </c>
      <c r="E308" s="10" t="str">
        <f aca="false">IF(Apontamentos!$C308="","",Apontamentos!G308&amp;"")</f>
        <v/>
      </c>
      <c r="F308" s="14"/>
      <c r="G308" s="14"/>
      <c r="H308" s="14"/>
      <c r="I308" s="14"/>
      <c r="J308" s="13"/>
      <c r="K308" s="13"/>
    </row>
    <row r="309" customFormat="false" ht="15" hidden="false" customHeight="false" outlineLevel="0" collapsed="false">
      <c r="A309" s="11" t="str">
        <f aca="false">Apontamentos!C309</f>
        <v/>
      </c>
      <c r="B309" s="11" t="str">
        <f aca="false">IF(Apontamentos!$C309="","",Apontamentos!D309&amp;"")</f>
        <v/>
      </c>
      <c r="C309" s="11" t="str">
        <f aca="false">IF(Apontamentos!$C309="","",Apontamentos!E309&amp;"")</f>
        <v/>
      </c>
      <c r="D309" s="10" t="str">
        <f aca="false">IF(Apontamentos!$C309="","",Apontamentos!F309&amp;"")</f>
        <v/>
      </c>
      <c r="E309" s="10" t="str">
        <f aca="false">IF(Apontamentos!$C309="","",Apontamentos!G309&amp;"")</f>
        <v/>
      </c>
      <c r="F309" s="14"/>
      <c r="G309" s="14"/>
      <c r="H309" s="14"/>
      <c r="I309" s="14"/>
      <c r="J309" s="13"/>
      <c r="K309" s="13"/>
    </row>
    <row r="310" customFormat="false" ht="15" hidden="false" customHeight="false" outlineLevel="0" collapsed="false">
      <c r="A310" s="11" t="str">
        <f aca="false">Apontamentos!C310</f>
        <v/>
      </c>
      <c r="B310" s="11" t="str">
        <f aca="false">IF(Apontamentos!$C310="","",Apontamentos!D310&amp;"")</f>
        <v/>
      </c>
      <c r="C310" s="11" t="str">
        <f aca="false">IF(Apontamentos!$C310="","",Apontamentos!E310&amp;"")</f>
        <v/>
      </c>
      <c r="D310" s="10" t="str">
        <f aca="false">IF(Apontamentos!$C310="","",Apontamentos!F310&amp;"")</f>
        <v/>
      </c>
      <c r="E310" s="10" t="str">
        <f aca="false">IF(Apontamentos!$C310="","",Apontamentos!G310&amp;"")</f>
        <v/>
      </c>
      <c r="F310" s="14"/>
      <c r="G310" s="14"/>
      <c r="H310" s="14"/>
      <c r="I310" s="14"/>
      <c r="J310" s="13"/>
      <c r="K310" s="13"/>
    </row>
    <row r="311" customFormat="false" ht="15" hidden="false" customHeight="false" outlineLevel="0" collapsed="false">
      <c r="A311" s="11" t="str">
        <f aca="false">Apontamentos!C311</f>
        <v/>
      </c>
      <c r="B311" s="11" t="str">
        <f aca="false">IF(Apontamentos!$C311="","",Apontamentos!D311&amp;"")</f>
        <v/>
      </c>
      <c r="C311" s="11" t="str">
        <f aca="false">IF(Apontamentos!$C311="","",Apontamentos!E311&amp;"")</f>
        <v/>
      </c>
      <c r="D311" s="10" t="str">
        <f aca="false">IF(Apontamentos!$C311="","",Apontamentos!F311&amp;"")</f>
        <v/>
      </c>
      <c r="E311" s="10" t="str">
        <f aca="false">IF(Apontamentos!$C311="","",Apontamentos!G311&amp;"")</f>
        <v/>
      </c>
      <c r="F311" s="14"/>
      <c r="G311" s="14"/>
      <c r="H311" s="14"/>
      <c r="I311" s="14"/>
      <c r="J311" s="13"/>
      <c r="K311" s="13"/>
    </row>
    <row r="312" customFormat="false" ht="15" hidden="false" customHeight="false" outlineLevel="0" collapsed="false">
      <c r="A312" s="11" t="str">
        <f aca="false">Apontamentos!C312</f>
        <v/>
      </c>
      <c r="B312" s="11" t="str">
        <f aca="false">IF(Apontamentos!$C312="","",Apontamentos!D312&amp;"")</f>
        <v/>
      </c>
      <c r="C312" s="11" t="str">
        <f aca="false">IF(Apontamentos!$C312="","",Apontamentos!E312&amp;"")</f>
        <v/>
      </c>
      <c r="D312" s="10" t="str">
        <f aca="false">IF(Apontamentos!$C312="","",Apontamentos!F312&amp;"")</f>
        <v/>
      </c>
      <c r="E312" s="10" t="str">
        <f aca="false">IF(Apontamentos!$C312="","",Apontamentos!G312&amp;"")</f>
        <v/>
      </c>
      <c r="F312" s="14"/>
      <c r="G312" s="14"/>
      <c r="H312" s="14"/>
      <c r="I312" s="14"/>
      <c r="J312" s="13"/>
      <c r="K312" s="13"/>
    </row>
    <row r="313" customFormat="false" ht="15" hidden="false" customHeight="false" outlineLevel="0" collapsed="false">
      <c r="A313" s="11" t="str">
        <f aca="false">Apontamentos!C313</f>
        <v/>
      </c>
      <c r="B313" s="11" t="str">
        <f aca="false">IF(Apontamentos!$C313="","",Apontamentos!D313&amp;"")</f>
        <v/>
      </c>
      <c r="C313" s="11" t="str">
        <f aca="false">IF(Apontamentos!$C313="","",Apontamentos!E313&amp;"")</f>
        <v/>
      </c>
      <c r="D313" s="10" t="str">
        <f aca="false">IF(Apontamentos!$C313="","",Apontamentos!F313&amp;"")</f>
        <v/>
      </c>
      <c r="E313" s="10" t="str">
        <f aca="false">IF(Apontamentos!$C313="","",Apontamentos!G313&amp;"")</f>
        <v/>
      </c>
      <c r="F313" s="14"/>
      <c r="G313" s="14"/>
      <c r="H313" s="14"/>
      <c r="I313" s="14"/>
      <c r="J313" s="13"/>
      <c r="K313" s="13"/>
    </row>
    <row r="314" customFormat="false" ht="15" hidden="false" customHeight="false" outlineLevel="0" collapsed="false">
      <c r="A314" s="11" t="str">
        <f aca="false">Apontamentos!C314</f>
        <v/>
      </c>
      <c r="B314" s="11" t="str">
        <f aca="false">IF(Apontamentos!$C314="","",Apontamentos!D314&amp;"")</f>
        <v/>
      </c>
      <c r="C314" s="11" t="str">
        <f aca="false">IF(Apontamentos!$C314="","",Apontamentos!E314&amp;"")</f>
        <v/>
      </c>
      <c r="D314" s="10" t="str">
        <f aca="false">IF(Apontamentos!$C314="","",Apontamentos!F314&amp;"")</f>
        <v/>
      </c>
      <c r="E314" s="10" t="str">
        <f aca="false">IF(Apontamentos!$C314="","",Apontamentos!G314&amp;"")</f>
        <v/>
      </c>
      <c r="F314" s="14"/>
      <c r="G314" s="14"/>
      <c r="H314" s="14"/>
      <c r="I314" s="14"/>
      <c r="J314" s="13"/>
      <c r="K314" s="13"/>
    </row>
    <row r="315" customFormat="false" ht="15" hidden="false" customHeight="false" outlineLevel="0" collapsed="false">
      <c r="A315" s="11" t="str">
        <f aca="false">Apontamentos!C315</f>
        <v/>
      </c>
      <c r="B315" s="11" t="str">
        <f aca="false">IF(Apontamentos!$C315="","",Apontamentos!D315&amp;"")</f>
        <v/>
      </c>
      <c r="C315" s="11" t="str">
        <f aca="false">IF(Apontamentos!$C315="","",Apontamentos!E315&amp;"")</f>
        <v/>
      </c>
      <c r="D315" s="10" t="str">
        <f aca="false">IF(Apontamentos!$C315="","",Apontamentos!F315&amp;"")</f>
        <v/>
      </c>
      <c r="E315" s="10" t="str">
        <f aca="false">IF(Apontamentos!$C315="","",Apontamentos!G315&amp;"")</f>
        <v/>
      </c>
      <c r="F315" s="14"/>
      <c r="G315" s="14"/>
      <c r="H315" s="14"/>
      <c r="I315" s="14"/>
      <c r="J315" s="13"/>
      <c r="K315" s="13"/>
    </row>
    <row r="316" customFormat="false" ht="15" hidden="false" customHeight="false" outlineLevel="0" collapsed="false">
      <c r="A316" s="11" t="str">
        <f aca="false">Apontamentos!C316</f>
        <v/>
      </c>
      <c r="B316" s="11" t="str">
        <f aca="false">IF(Apontamentos!$C316="","",Apontamentos!D316&amp;"")</f>
        <v/>
      </c>
      <c r="C316" s="11" t="str">
        <f aca="false">IF(Apontamentos!$C316="","",Apontamentos!E316&amp;"")</f>
        <v/>
      </c>
      <c r="D316" s="10" t="str">
        <f aca="false">IF(Apontamentos!$C316="","",Apontamentos!F316&amp;"")</f>
        <v/>
      </c>
      <c r="E316" s="10" t="str">
        <f aca="false">IF(Apontamentos!$C316="","",Apontamentos!G316&amp;"")</f>
        <v/>
      </c>
      <c r="F316" s="14"/>
      <c r="G316" s="14"/>
      <c r="H316" s="14"/>
      <c r="I316" s="14"/>
      <c r="J316" s="13"/>
      <c r="K316" s="13"/>
    </row>
    <row r="317" customFormat="false" ht="15" hidden="false" customHeight="false" outlineLevel="0" collapsed="false">
      <c r="A317" s="11" t="str">
        <f aca="false">Apontamentos!C317</f>
        <v/>
      </c>
      <c r="B317" s="11" t="str">
        <f aca="false">IF(Apontamentos!$C317="","",Apontamentos!D317&amp;"")</f>
        <v/>
      </c>
      <c r="C317" s="11" t="str">
        <f aca="false">IF(Apontamentos!$C317="","",Apontamentos!E317&amp;"")</f>
        <v/>
      </c>
      <c r="D317" s="10" t="str">
        <f aca="false">IF(Apontamentos!$C317="","",Apontamentos!F317&amp;"")</f>
        <v/>
      </c>
      <c r="E317" s="10" t="str">
        <f aca="false">IF(Apontamentos!$C317="","",Apontamentos!G317&amp;"")</f>
        <v/>
      </c>
      <c r="F317" s="14"/>
      <c r="G317" s="14"/>
      <c r="H317" s="14"/>
      <c r="I317" s="14"/>
      <c r="J317" s="13"/>
      <c r="K317" s="13"/>
    </row>
    <row r="318" customFormat="false" ht="15" hidden="false" customHeight="false" outlineLevel="0" collapsed="false">
      <c r="A318" s="11" t="str">
        <f aca="false">Apontamentos!C318</f>
        <v/>
      </c>
      <c r="B318" s="11" t="str">
        <f aca="false">IF(Apontamentos!$C318="","",Apontamentos!D318&amp;"")</f>
        <v/>
      </c>
      <c r="C318" s="11" t="str">
        <f aca="false">IF(Apontamentos!$C318="","",Apontamentos!E318&amp;"")</f>
        <v/>
      </c>
      <c r="D318" s="10" t="str">
        <f aca="false">IF(Apontamentos!$C318="","",Apontamentos!F318&amp;"")</f>
        <v/>
      </c>
      <c r="E318" s="10" t="str">
        <f aca="false">IF(Apontamentos!$C318="","",Apontamentos!G318&amp;"")</f>
        <v/>
      </c>
      <c r="F318" s="14"/>
      <c r="G318" s="14"/>
      <c r="H318" s="14"/>
      <c r="I318" s="14"/>
      <c r="J318" s="13"/>
      <c r="K318" s="13"/>
    </row>
    <row r="319" customFormat="false" ht="15" hidden="false" customHeight="false" outlineLevel="0" collapsed="false">
      <c r="A319" s="11" t="str">
        <f aca="false">Apontamentos!C319</f>
        <v/>
      </c>
      <c r="B319" s="11" t="str">
        <f aca="false">IF(Apontamentos!$C319="","",Apontamentos!D319&amp;"")</f>
        <v/>
      </c>
      <c r="C319" s="11" t="str">
        <f aca="false">IF(Apontamentos!$C319="","",Apontamentos!E319&amp;"")</f>
        <v/>
      </c>
      <c r="D319" s="10" t="str">
        <f aca="false">IF(Apontamentos!$C319="","",Apontamentos!F319&amp;"")</f>
        <v/>
      </c>
      <c r="E319" s="10" t="str">
        <f aca="false">IF(Apontamentos!$C319="","",Apontamentos!G319&amp;"")</f>
        <v/>
      </c>
      <c r="F319" s="14"/>
      <c r="G319" s="14"/>
      <c r="H319" s="14"/>
      <c r="I319" s="14"/>
      <c r="J319" s="13"/>
      <c r="K319" s="13"/>
    </row>
    <row r="320" customFormat="false" ht="15" hidden="false" customHeight="false" outlineLevel="0" collapsed="false">
      <c r="A320" s="11" t="str">
        <f aca="false">Apontamentos!C320</f>
        <v/>
      </c>
      <c r="B320" s="11" t="str">
        <f aca="false">IF(Apontamentos!$C320="","",Apontamentos!D320&amp;"")</f>
        <v/>
      </c>
      <c r="C320" s="11" t="str">
        <f aca="false">IF(Apontamentos!$C320="","",Apontamentos!E320&amp;"")</f>
        <v/>
      </c>
      <c r="D320" s="10" t="str">
        <f aca="false">IF(Apontamentos!$C320="","",Apontamentos!F320&amp;"")</f>
        <v/>
      </c>
      <c r="E320" s="10" t="str">
        <f aca="false">IF(Apontamentos!$C320="","",Apontamentos!G320&amp;"")</f>
        <v/>
      </c>
      <c r="F320" s="14"/>
      <c r="G320" s="14"/>
      <c r="H320" s="14"/>
      <c r="I320" s="14"/>
      <c r="J320" s="13"/>
      <c r="K320" s="13"/>
    </row>
    <row r="321" customFormat="false" ht="15" hidden="false" customHeight="false" outlineLevel="0" collapsed="false">
      <c r="A321" s="11" t="str">
        <f aca="false">Apontamentos!C321</f>
        <v/>
      </c>
      <c r="B321" s="11" t="str">
        <f aca="false">IF(Apontamentos!$C321="","",Apontamentos!D321&amp;"")</f>
        <v/>
      </c>
      <c r="C321" s="11" t="str">
        <f aca="false">IF(Apontamentos!$C321="","",Apontamentos!E321&amp;"")</f>
        <v/>
      </c>
      <c r="D321" s="10" t="str">
        <f aca="false">IF(Apontamentos!$C321="","",Apontamentos!F321&amp;"")</f>
        <v/>
      </c>
      <c r="E321" s="10" t="str">
        <f aca="false">IF(Apontamentos!$C321="","",Apontamentos!G321&amp;"")</f>
        <v/>
      </c>
      <c r="F321" s="14"/>
      <c r="G321" s="14"/>
      <c r="H321" s="14"/>
      <c r="I321" s="14"/>
      <c r="J321" s="13"/>
      <c r="K321" s="13"/>
    </row>
    <row r="322" customFormat="false" ht="15" hidden="false" customHeight="false" outlineLevel="0" collapsed="false">
      <c r="A322" s="11" t="str">
        <f aca="false">Apontamentos!C322</f>
        <v/>
      </c>
      <c r="B322" s="11" t="str">
        <f aca="false">IF(Apontamentos!$C322="","",Apontamentos!D322&amp;"")</f>
        <v/>
      </c>
      <c r="C322" s="11" t="str">
        <f aca="false">IF(Apontamentos!$C322="","",Apontamentos!E322&amp;"")</f>
        <v/>
      </c>
      <c r="D322" s="10" t="str">
        <f aca="false">IF(Apontamentos!$C322="","",Apontamentos!F322&amp;"")</f>
        <v/>
      </c>
      <c r="E322" s="10" t="str">
        <f aca="false">IF(Apontamentos!$C322="","",Apontamentos!G322&amp;"")</f>
        <v/>
      </c>
      <c r="F322" s="14"/>
      <c r="G322" s="14"/>
      <c r="H322" s="14"/>
      <c r="I322" s="14"/>
      <c r="J322" s="13"/>
      <c r="K322" s="13"/>
    </row>
    <row r="323" customFormat="false" ht="15" hidden="false" customHeight="false" outlineLevel="0" collapsed="false">
      <c r="A323" s="11" t="str">
        <f aca="false">Apontamentos!C323</f>
        <v/>
      </c>
      <c r="B323" s="11" t="str">
        <f aca="false">IF(Apontamentos!$C323="","",Apontamentos!D323&amp;"")</f>
        <v/>
      </c>
      <c r="C323" s="11" t="str">
        <f aca="false">IF(Apontamentos!$C323="","",Apontamentos!E323&amp;"")</f>
        <v/>
      </c>
      <c r="D323" s="10" t="str">
        <f aca="false">IF(Apontamentos!$C323="","",Apontamentos!F323&amp;"")</f>
        <v/>
      </c>
      <c r="E323" s="10" t="str">
        <f aca="false">IF(Apontamentos!$C323="","",Apontamentos!G323&amp;"")</f>
        <v/>
      </c>
      <c r="F323" s="14"/>
      <c r="G323" s="14"/>
      <c r="H323" s="14"/>
      <c r="I323" s="14"/>
      <c r="J323" s="13"/>
      <c r="K323" s="13"/>
    </row>
    <row r="324" customFormat="false" ht="15" hidden="false" customHeight="false" outlineLevel="0" collapsed="false">
      <c r="A324" s="11" t="str">
        <f aca="false">Apontamentos!C324</f>
        <v/>
      </c>
      <c r="B324" s="11" t="str">
        <f aca="false">IF(Apontamentos!$C324="","",Apontamentos!D324&amp;"")</f>
        <v/>
      </c>
      <c r="C324" s="11" t="str">
        <f aca="false">IF(Apontamentos!$C324="","",Apontamentos!E324&amp;"")</f>
        <v/>
      </c>
      <c r="D324" s="10" t="str">
        <f aca="false">IF(Apontamentos!$C324="","",Apontamentos!F324&amp;"")</f>
        <v/>
      </c>
      <c r="E324" s="10" t="str">
        <f aca="false">IF(Apontamentos!$C324="","",Apontamentos!G324&amp;"")</f>
        <v/>
      </c>
      <c r="F324" s="14"/>
      <c r="G324" s="14"/>
      <c r="H324" s="14"/>
      <c r="I324" s="14"/>
      <c r="J324" s="13"/>
      <c r="K324" s="13"/>
    </row>
    <row r="325" customFormat="false" ht="15" hidden="false" customHeight="false" outlineLevel="0" collapsed="false">
      <c r="A325" s="11" t="str">
        <f aca="false">Apontamentos!C325</f>
        <v/>
      </c>
      <c r="B325" s="11" t="str">
        <f aca="false">IF(Apontamentos!$C325="","",Apontamentos!D325&amp;"")</f>
        <v/>
      </c>
      <c r="C325" s="11" t="str">
        <f aca="false">IF(Apontamentos!$C325="","",Apontamentos!E325&amp;"")</f>
        <v/>
      </c>
      <c r="D325" s="10" t="str">
        <f aca="false">IF(Apontamentos!$C325="","",Apontamentos!F325&amp;"")</f>
        <v/>
      </c>
      <c r="E325" s="10" t="str">
        <f aca="false">IF(Apontamentos!$C325="","",Apontamentos!G325&amp;"")</f>
        <v/>
      </c>
      <c r="F325" s="14"/>
      <c r="G325" s="14"/>
      <c r="H325" s="14"/>
      <c r="I325" s="14"/>
      <c r="J325" s="13"/>
      <c r="K325" s="13"/>
    </row>
    <row r="326" customFormat="false" ht="15" hidden="false" customHeight="false" outlineLevel="0" collapsed="false">
      <c r="A326" s="11" t="str">
        <f aca="false">Apontamentos!C326</f>
        <v/>
      </c>
      <c r="B326" s="11" t="str">
        <f aca="false">IF(Apontamentos!$C326="","",Apontamentos!D326&amp;"")</f>
        <v/>
      </c>
      <c r="C326" s="11" t="str">
        <f aca="false">IF(Apontamentos!$C326="","",Apontamentos!E326&amp;"")</f>
        <v/>
      </c>
      <c r="D326" s="10" t="str">
        <f aca="false">IF(Apontamentos!$C326="","",Apontamentos!F326&amp;"")</f>
        <v/>
      </c>
      <c r="E326" s="10" t="str">
        <f aca="false">IF(Apontamentos!$C326="","",Apontamentos!G326&amp;"")</f>
        <v/>
      </c>
      <c r="F326" s="14"/>
      <c r="G326" s="14"/>
      <c r="H326" s="14"/>
      <c r="I326" s="14"/>
      <c r="J326" s="13"/>
      <c r="K326" s="13"/>
    </row>
    <row r="327" customFormat="false" ht="15" hidden="false" customHeight="false" outlineLevel="0" collapsed="false">
      <c r="A327" s="11" t="str">
        <f aca="false">Apontamentos!C327</f>
        <v/>
      </c>
      <c r="B327" s="11" t="str">
        <f aca="false">IF(Apontamentos!$C327="","",Apontamentos!D327&amp;"")</f>
        <v/>
      </c>
      <c r="C327" s="11" t="str">
        <f aca="false">IF(Apontamentos!$C327="","",Apontamentos!E327&amp;"")</f>
        <v/>
      </c>
      <c r="D327" s="10" t="str">
        <f aca="false">IF(Apontamentos!$C327="","",Apontamentos!F327&amp;"")</f>
        <v/>
      </c>
      <c r="E327" s="10" t="str">
        <f aca="false">IF(Apontamentos!$C327="","",Apontamentos!G327&amp;"")</f>
        <v/>
      </c>
      <c r="F327" s="14"/>
      <c r="G327" s="14"/>
      <c r="H327" s="14"/>
      <c r="I327" s="14"/>
      <c r="J327" s="13"/>
      <c r="K327" s="13"/>
    </row>
    <row r="328" customFormat="false" ht="15" hidden="false" customHeight="false" outlineLevel="0" collapsed="false">
      <c r="A328" s="11" t="str">
        <f aca="false">Apontamentos!C328</f>
        <v/>
      </c>
      <c r="B328" s="11" t="str">
        <f aca="false">IF(Apontamentos!$C328="","",Apontamentos!D328&amp;"")</f>
        <v/>
      </c>
      <c r="C328" s="11" t="str">
        <f aca="false">IF(Apontamentos!$C328="","",Apontamentos!E328&amp;"")</f>
        <v/>
      </c>
      <c r="D328" s="10" t="str">
        <f aca="false">IF(Apontamentos!$C328="","",Apontamentos!F328&amp;"")</f>
        <v/>
      </c>
      <c r="E328" s="10" t="str">
        <f aca="false">IF(Apontamentos!$C328="","",Apontamentos!G328&amp;"")</f>
        <v/>
      </c>
      <c r="F328" s="14"/>
      <c r="G328" s="14"/>
      <c r="H328" s="14"/>
      <c r="I328" s="14"/>
      <c r="J328" s="13"/>
      <c r="K328" s="13"/>
    </row>
    <row r="329" customFormat="false" ht="15" hidden="false" customHeight="false" outlineLevel="0" collapsed="false">
      <c r="A329" s="11" t="str">
        <f aca="false">Apontamentos!C329</f>
        <v/>
      </c>
      <c r="B329" s="11" t="str">
        <f aca="false">IF(Apontamentos!$C329="","",Apontamentos!D329&amp;"")</f>
        <v/>
      </c>
      <c r="C329" s="11" t="str">
        <f aca="false">IF(Apontamentos!$C329="","",Apontamentos!E329&amp;"")</f>
        <v/>
      </c>
      <c r="D329" s="10" t="str">
        <f aca="false">IF(Apontamentos!$C329="","",Apontamentos!F329&amp;"")</f>
        <v/>
      </c>
      <c r="E329" s="10" t="str">
        <f aca="false">IF(Apontamentos!$C329="","",Apontamentos!G329&amp;"")</f>
        <v/>
      </c>
      <c r="F329" s="14"/>
      <c r="G329" s="14"/>
      <c r="H329" s="14"/>
      <c r="I329" s="14"/>
      <c r="J329" s="13"/>
      <c r="K329" s="13"/>
    </row>
    <row r="330" customFormat="false" ht="15" hidden="false" customHeight="false" outlineLevel="0" collapsed="false">
      <c r="A330" s="11" t="str">
        <f aca="false">Apontamentos!C330</f>
        <v/>
      </c>
      <c r="B330" s="11" t="str">
        <f aca="false">IF(Apontamentos!$C330="","",Apontamentos!D330&amp;"")</f>
        <v/>
      </c>
      <c r="C330" s="11" t="str">
        <f aca="false">IF(Apontamentos!$C330="","",Apontamentos!E330&amp;"")</f>
        <v/>
      </c>
      <c r="D330" s="10" t="str">
        <f aca="false">IF(Apontamentos!$C330="","",Apontamentos!F330&amp;"")</f>
        <v/>
      </c>
      <c r="E330" s="10" t="str">
        <f aca="false">IF(Apontamentos!$C330="","",Apontamentos!G330&amp;"")</f>
        <v/>
      </c>
      <c r="F330" s="14"/>
      <c r="G330" s="14"/>
      <c r="H330" s="14"/>
      <c r="I330" s="14"/>
      <c r="J330" s="13"/>
      <c r="K330" s="13"/>
    </row>
    <row r="331" customFormat="false" ht="15" hidden="false" customHeight="false" outlineLevel="0" collapsed="false">
      <c r="A331" s="11" t="str">
        <f aca="false">Apontamentos!C331</f>
        <v/>
      </c>
      <c r="B331" s="11" t="str">
        <f aca="false">IF(Apontamentos!$C331="","",Apontamentos!D331&amp;"")</f>
        <v/>
      </c>
      <c r="C331" s="11" t="str">
        <f aca="false">IF(Apontamentos!$C331="","",Apontamentos!E331&amp;"")</f>
        <v/>
      </c>
      <c r="D331" s="10" t="str">
        <f aca="false">IF(Apontamentos!$C331="","",Apontamentos!F331&amp;"")</f>
        <v/>
      </c>
      <c r="E331" s="10" t="str">
        <f aca="false">IF(Apontamentos!$C331="","",Apontamentos!G331&amp;"")</f>
        <v/>
      </c>
      <c r="F331" s="14"/>
      <c r="G331" s="14"/>
      <c r="H331" s="14"/>
      <c r="I331" s="14"/>
      <c r="J331" s="13"/>
      <c r="K331" s="13"/>
    </row>
    <row r="332" customFormat="false" ht="15" hidden="false" customHeight="false" outlineLevel="0" collapsed="false">
      <c r="A332" s="11" t="str">
        <f aca="false">Apontamentos!C332</f>
        <v/>
      </c>
      <c r="B332" s="11" t="str">
        <f aca="false">IF(Apontamentos!$C332="","",Apontamentos!D332&amp;"")</f>
        <v/>
      </c>
      <c r="C332" s="11" t="str">
        <f aca="false">IF(Apontamentos!$C332="","",Apontamentos!E332&amp;"")</f>
        <v/>
      </c>
      <c r="D332" s="10" t="str">
        <f aca="false">IF(Apontamentos!$C332="","",Apontamentos!F332&amp;"")</f>
        <v/>
      </c>
      <c r="E332" s="10" t="str">
        <f aca="false">IF(Apontamentos!$C332="","",Apontamentos!G332&amp;"")</f>
        <v/>
      </c>
      <c r="F332" s="14"/>
      <c r="G332" s="14"/>
      <c r="H332" s="14"/>
      <c r="I332" s="14"/>
      <c r="J332" s="13"/>
      <c r="K332" s="13"/>
    </row>
    <row r="333" customFormat="false" ht="15" hidden="false" customHeight="false" outlineLevel="0" collapsed="false">
      <c r="A333" s="11" t="str">
        <f aca="false">Apontamentos!C333</f>
        <v/>
      </c>
      <c r="B333" s="11" t="str">
        <f aca="false">IF(Apontamentos!$C333="","",Apontamentos!D333&amp;"")</f>
        <v/>
      </c>
      <c r="C333" s="11" t="str">
        <f aca="false">IF(Apontamentos!$C333="","",Apontamentos!E333&amp;"")</f>
        <v/>
      </c>
      <c r="D333" s="10" t="str">
        <f aca="false">IF(Apontamentos!$C333="","",Apontamentos!F333&amp;"")</f>
        <v/>
      </c>
      <c r="E333" s="10" t="str">
        <f aca="false">IF(Apontamentos!$C333="","",Apontamentos!G333&amp;"")</f>
        <v/>
      </c>
      <c r="F333" s="14"/>
      <c r="G333" s="14"/>
      <c r="H333" s="14"/>
      <c r="I333" s="14"/>
      <c r="J333" s="13"/>
      <c r="K333" s="13"/>
    </row>
    <row r="334" customFormat="false" ht="15" hidden="false" customHeight="false" outlineLevel="0" collapsed="false">
      <c r="A334" s="11" t="str">
        <f aca="false">Apontamentos!C334</f>
        <v/>
      </c>
      <c r="B334" s="11" t="str">
        <f aca="false">IF(Apontamentos!$C334="","",Apontamentos!D334&amp;"")</f>
        <v/>
      </c>
      <c r="C334" s="11" t="str">
        <f aca="false">IF(Apontamentos!$C334="","",Apontamentos!E334&amp;"")</f>
        <v/>
      </c>
      <c r="D334" s="10" t="str">
        <f aca="false">IF(Apontamentos!$C334="","",Apontamentos!F334&amp;"")</f>
        <v/>
      </c>
      <c r="E334" s="10" t="str">
        <f aca="false">IF(Apontamentos!$C334="","",Apontamentos!G334&amp;"")</f>
        <v/>
      </c>
      <c r="F334" s="14"/>
      <c r="G334" s="14"/>
      <c r="H334" s="14"/>
      <c r="I334" s="14"/>
      <c r="J334" s="13"/>
      <c r="K334" s="13"/>
    </row>
    <row r="335" customFormat="false" ht="15" hidden="false" customHeight="false" outlineLevel="0" collapsed="false">
      <c r="A335" s="11" t="str">
        <f aca="false">Apontamentos!C335</f>
        <v/>
      </c>
      <c r="B335" s="11" t="str">
        <f aca="false">IF(Apontamentos!$C335="","",Apontamentos!D335&amp;"")</f>
        <v/>
      </c>
      <c r="C335" s="11" t="str">
        <f aca="false">IF(Apontamentos!$C335="","",Apontamentos!E335&amp;"")</f>
        <v/>
      </c>
      <c r="D335" s="10" t="str">
        <f aca="false">IF(Apontamentos!$C335="","",Apontamentos!F335&amp;"")</f>
        <v/>
      </c>
      <c r="E335" s="10" t="str">
        <f aca="false">IF(Apontamentos!$C335="","",Apontamentos!G335&amp;"")</f>
        <v/>
      </c>
      <c r="F335" s="14"/>
      <c r="G335" s="14"/>
      <c r="H335" s="14"/>
      <c r="I335" s="14"/>
      <c r="J335" s="13"/>
      <c r="K335" s="13"/>
    </row>
    <row r="336" customFormat="false" ht="15" hidden="false" customHeight="false" outlineLevel="0" collapsed="false">
      <c r="A336" s="11" t="str">
        <f aca="false">Apontamentos!C336</f>
        <v/>
      </c>
      <c r="B336" s="11" t="str">
        <f aca="false">IF(Apontamentos!$C336="","",Apontamentos!D336&amp;"")</f>
        <v/>
      </c>
      <c r="C336" s="11" t="str">
        <f aca="false">IF(Apontamentos!$C336="","",Apontamentos!E336&amp;"")</f>
        <v/>
      </c>
      <c r="D336" s="10" t="str">
        <f aca="false">IF(Apontamentos!$C336="","",Apontamentos!F336&amp;"")</f>
        <v/>
      </c>
      <c r="E336" s="10" t="str">
        <f aca="false">IF(Apontamentos!$C336="","",Apontamentos!G336&amp;"")</f>
        <v/>
      </c>
      <c r="F336" s="14"/>
      <c r="G336" s="14"/>
      <c r="H336" s="14"/>
      <c r="I336" s="14"/>
      <c r="J336" s="13"/>
      <c r="K336" s="13"/>
    </row>
    <row r="337" customFormat="false" ht="15" hidden="false" customHeight="false" outlineLevel="0" collapsed="false">
      <c r="A337" s="11" t="str">
        <f aca="false">Apontamentos!C337</f>
        <v/>
      </c>
      <c r="B337" s="11" t="str">
        <f aca="false">IF(Apontamentos!$C337="","",Apontamentos!D337&amp;"")</f>
        <v/>
      </c>
      <c r="C337" s="11" t="str">
        <f aca="false">IF(Apontamentos!$C337="","",Apontamentos!E337&amp;"")</f>
        <v/>
      </c>
      <c r="D337" s="10" t="str">
        <f aca="false">IF(Apontamentos!$C337="","",Apontamentos!F337&amp;"")</f>
        <v/>
      </c>
      <c r="E337" s="10" t="str">
        <f aca="false">IF(Apontamentos!$C337="","",Apontamentos!G337&amp;"")</f>
        <v/>
      </c>
      <c r="F337" s="14"/>
      <c r="G337" s="14"/>
      <c r="H337" s="14"/>
      <c r="I337" s="14"/>
      <c r="J337" s="13"/>
      <c r="K337" s="13"/>
    </row>
    <row r="338" customFormat="false" ht="15" hidden="false" customHeight="false" outlineLevel="0" collapsed="false">
      <c r="A338" s="11" t="str">
        <f aca="false">Apontamentos!C338</f>
        <v/>
      </c>
      <c r="B338" s="11" t="str">
        <f aca="false">IF(Apontamentos!$C338="","",Apontamentos!D338&amp;"")</f>
        <v/>
      </c>
      <c r="C338" s="11" t="str">
        <f aca="false">IF(Apontamentos!$C338="","",Apontamentos!E338&amp;"")</f>
        <v/>
      </c>
      <c r="D338" s="10" t="str">
        <f aca="false">IF(Apontamentos!$C338="","",Apontamentos!F338&amp;"")</f>
        <v/>
      </c>
      <c r="E338" s="10" t="str">
        <f aca="false">IF(Apontamentos!$C338="","",Apontamentos!G338&amp;"")</f>
        <v/>
      </c>
      <c r="F338" s="14"/>
      <c r="G338" s="14"/>
      <c r="H338" s="14"/>
      <c r="I338" s="14"/>
      <c r="J338" s="13"/>
      <c r="K338" s="13"/>
    </row>
    <row r="339" customFormat="false" ht="15" hidden="false" customHeight="false" outlineLevel="0" collapsed="false">
      <c r="A339" s="11" t="str">
        <f aca="false">Apontamentos!C339</f>
        <v/>
      </c>
      <c r="B339" s="11" t="str">
        <f aca="false">IF(Apontamentos!$C339="","",Apontamentos!D339&amp;"")</f>
        <v/>
      </c>
      <c r="C339" s="11" t="str">
        <f aca="false">IF(Apontamentos!$C339="","",Apontamentos!E339&amp;"")</f>
        <v/>
      </c>
      <c r="D339" s="10" t="str">
        <f aca="false">IF(Apontamentos!$C339="","",Apontamentos!F339&amp;"")</f>
        <v/>
      </c>
      <c r="E339" s="10" t="str">
        <f aca="false">IF(Apontamentos!$C339="","",Apontamentos!G339&amp;"")</f>
        <v/>
      </c>
      <c r="F339" s="14"/>
      <c r="G339" s="14"/>
      <c r="H339" s="14"/>
      <c r="I339" s="14"/>
      <c r="J339" s="13"/>
      <c r="K339" s="13"/>
    </row>
    <row r="340" customFormat="false" ht="15" hidden="false" customHeight="false" outlineLevel="0" collapsed="false">
      <c r="A340" s="11" t="str">
        <f aca="false">Apontamentos!C340</f>
        <v/>
      </c>
      <c r="B340" s="11" t="str">
        <f aca="false">IF(Apontamentos!$C340="","",Apontamentos!D340&amp;"")</f>
        <v/>
      </c>
      <c r="C340" s="11" t="str">
        <f aca="false">IF(Apontamentos!$C340="","",Apontamentos!E340&amp;"")</f>
        <v/>
      </c>
      <c r="D340" s="10" t="str">
        <f aca="false">IF(Apontamentos!$C340="","",Apontamentos!F340&amp;"")</f>
        <v/>
      </c>
      <c r="E340" s="10" t="str">
        <f aca="false">IF(Apontamentos!$C340="","",Apontamentos!G340&amp;"")</f>
        <v/>
      </c>
      <c r="F340" s="14"/>
      <c r="G340" s="14"/>
      <c r="H340" s="14"/>
      <c r="I340" s="14"/>
      <c r="J340" s="13"/>
      <c r="K340" s="13"/>
    </row>
    <row r="341" customFormat="false" ht="15" hidden="false" customHeight="false" outlineLevel="0" collapsed="false">
      <c r="A341" s="11" t="str">
        <f aca="false">Apontamentos!C341</f>
        <v/>
      </c>
      <c r="B341" s="11" t="str">
        <f aca="false">IF(Apontamentos!$C341="","",Apontamentos!D341&amp;"")</f>
        <v/>
      </c>
      <c r="C341" s="11" t="str">
        <f aca="false">IF(Apontamentos!$C341="","",Apontamentos!E341&amp;"")</f>
        <v/>
      </c>
      <c r="D341" s="10" t="str">
        <f aca="false">IF(Apontamentos!$C341="","",Apontamentos!F341&amp;"")</f>
        <v/>
      </c>
      <c r="E341" s="10" t="str">
        <f aca="false">IF(Apontamentos!$C341="","",Apontamentos!G341&amp;"")</f>
        <v/>
      </c>
      <c r="F341" s="14"/>
      <c r="G341" s="14"/>
      <c r="H341" s="14"/>
      <c r="I341" s="14"/>
      <c r="J341" s="13"/>
      <c r="K341" s="13"/>
    </row>
    <row r="342" customFormat="false" ht="15" hidden="false" customHeight="false" outlineLevel="0" collapsed="false">
      <c r="A342" s="11" t="str">
        <f aca="false">Apontamentos!C342</f>
        <v/>
      </c>
      <c r="B342" s="11" t="str">
        <f aca="false">IF(Apontamentos!$C342="","",Apontamentos!D342&amp;"")</f>
        <v/>
      </c>
      <c r="C342" s="11" t="str">
        <f aca="false">IF(Apontamentos!$C342="","",Apontamentos!E342&amp;"")</f>
        <v/>
      </c>
      <c r="D342" s="10" t="str">
        <f aca="false">IF(Apontamentos!$C342="","",Apontamentos!F342&amp;"")</f>
        <v/>
      </c>
      <c r="E342" s="10" t="str">
        <f aca="false">IF(Apontamentos!$C342="","",Apontamentos!G342&amp;"")</f>
        <v/>
      </c>
      <c r="F342" s="14"/>
      <c r="G342" s="14"/>
      <c r="H342" s="14"/>
      <c r="I342" s="14"/>
      <c r="J342" s="13"/>
      <c r="K342" s="13"/>
    </row>
    <row r="343" customFormat="false" ht="15" hidden="false" customHeight="false" outlineLevel="0" collapsed="false">
      <c r="A343" s="11" t="str">
        <f aca="false">Apontamentos!C343</f>
        <v/>
      </c>
      <c r="B343" s="11" t="str">
        <f aca="false">IF(Apontamentos!$C343="","",Apontamentos!D343&amp;"")</f>
        <v/>
      </c>
      <c r="C343" s="11" t="str">
        <f aca="false">IF(Apontamentos!$C343="","",Apontamentos!E343&amp;"")</f>
        <v/>
      </c>
      <c r="D343" s="10" t="str">
        <f aca="false">IF(Apontamentos!$C343="","",Apontamentos!F343&amp;"")</f>
        <v/>
      </c>
      <c r="E343" s="10" t="str">
        <f aca="false">IF(Apontamentos!$C343="","",Apontamentos!G343&amp;"")</f>
        <v/>
      </c>
      <c r="F343" s="14"/>
      <c r="G343" s="14"/>
      <c r="H343" s="14"/>
      <c r="I343" s="14"/>
      <c r="J343" s="13"/>
      <c r="K343" s="13"/>
    </row>
    <row r="344" customFormat="false" ht="15" hidden="false" customHeight="false" outlineLevel="0" collapsed="false">
      <c r="A344" s="11" t="str">
        <f aca="false">Apontamentos!C344</f>
        <v/>
      </c>
      <c r="B344" s="11" t="str">
        <f aca="false">IF(Apontamentos!$C344="","",Apontamentos!D344&amp;"")</f>
        <v/>
      </c>
      <c r="C344" s="11" t="str">
        <f aca="false">IF(Apontamentos!$C344="","",Apontamentos!E344&amp;"")</f>
        <v/>
      </c>
      <c r="D344" s="10" t="str">
        <f aca="false">IF(Apontamentos!$C344="","",Apontamentos!F344&amp;"")</f>
        <v/>
      </c>
      <c r="E344" s="10" t="str">
        <f aca="false">IF(Apontamentos!$C344="","",Apontamentos!G344&amp;"")</f>
        <v/>
      </c>
      <c r="F344" s="14"/>
      <c r="G344" s="14"/>
      <c r="H344" s="14"/>
      <c r="I344" s="14"/>
      <c r="J344" s="13"/>
      <c r="K344" s="13"/>
    </row>
    <row r="345" customFormat="false" ht="15" hidden="false" customHeight="false" outlineLevel="0" collapsed="false">
      <c r="A345" s="11" t="str">
        <f aca="false">Apontamentos!C345</f>
        <v/>
      </c>
      <c r="B345" s="11" t="str">
        <f aca="false">IF(Apontamentos!$C345="","",Apontamentos!D345&amp;"")</f>
        <v/>
      </c>
      <c r="C345" s="11" t="str">
        <f aca="false">IF(Apontamentos!$C345="","",Apontamentos!E345&amp;"")</f>
        <v/>
      </c>
      <c r="D345" s="10" t="str">
        <f aca="false">IF(Apontamentos!$C345="","",Apontamentos!F345&amp;"")</f>
        <v/>
      </c>
      <c r="E345" s="10" t="str">
        <f aca="false">IF(Apontamentos!$C345="","",Apontamentos!G345&amp;"")</f>
        <v/>
      </c>
      <c r="F345" s="14"/>
      <c r="G345" s="14"/>
      <c r="H345" s="14"/>
      <c r="I345" s="14"/>
      <c r="J345" s="13"/>
      <c r="K345" s="13"/>
    </row>
    <row r="346" customFormat="false" ht="15" hidden="false" customHeight="false" outlineLevel="0" collapsed="false">
      <c r="A346" s="11" t="str">
        <f aca="false">Apontamentos!C346</f>
        <v/>
      </c>
      <c r="B346" s="11" t="str">
        <f aca="false">IF(Apontamentos!$C346="","",Apontamentos!D346&amp;"")</f>
        <v/>
      </c>
      <c r="C346" s="11" t="str">
        <f aca="false">IF(Apontamentos!$C346="","",Apontamentos!E346&amp;"")</f>
        <v/>
      </c>
      <c r="D346" s="10" t="str">
        <f aca="false">IF(Apontamentos!$C346="","",Apontamentos!F346&amp;"")</f>
        <v/>
      </c>
      <c r="E346" s="10" t="str">
        <f aca="false">IF(Apontamentos!$C346="","",Apontamentos!G346&amp;"")</f>
        <v/>
      </c>
      <c r="F346" s="14"/>
      <c r="G346" s="14"/>
      <c r="H346" s="14"/>
      <c r="I346" s="14"/>
      <c r="J346" s="13"/>
      <c r="K346" s="13"/>
    </row>
    <row r="347" customFormat="false" ht="15" hidden="false" customHeight="false" outlineLevel="0" collapsed="false">
      <c r="A347" s="11" t="str">
        <f aca="false">Apontamentos!C347</f>
        <v/>
      </c>
      <c r="B347" s="11" t="str">
        <f aca="false">IF(Apontamentos!$C347="","",Apontamentos!D347&amp;"")</f>
        <v/>
      </c>
      <c r="C347" s="11" t="str">
        <f aca="false">IF(Apontamentos!$C347="","",Apontamentos!E347&amp;"")</f>
        <v/>
      </c>
      <c r="D347" s="10" t="str">
        <f aca="false">IF(Apontamentos!$C347="","",Apontamentos!F347&amp;"")</f>
        <v/>
      </c>
      <c r="E347" s="10" t="str">
        <f aca="false">IF(Apontamentos!$C347="","",Apontamentos!G347&amp;"")</f>
        <v/>
      </c>
      <c r="F347" s="14"/>
      <c r="G347" s="14"/>
      <c r="H347" s="14"/>
      <c r="I347" s="14"/>
      <c r="J347" s="13"/>
      <c r="K347" s="13"/>
    </row>
    <row r="348" customFormat="false" ht="15" hidden="false" customHeight="false" outlineLevel="0" collapsed="false">
      <c r="A348" s="11" t="str">
        <f aca="false">Apontamentos!C348</f>
        <v/>
      </c>
      <c r="B348" s="11" t="str">
        <f aca="false">IF(Apontamentos!$C348="","",Apontamentos!D348&amp;"")</f>
        <v/>
      </c>
      <c r="C348" s="11" t="str">
        <f aca="false">IF(Apontamentos!$C348="","",Apontamentos!E348&amp;"")</f>
        <v/>
      </c>
      <c r="D348" s="10" t="str">
        <f aca="false">IF(Apontamentos!$C348="","",Apontamentos!F348&amp;"")</f>
        <v/>
      </c>
      <c r="E348" s="10" t="str">
        <f aca="false">IF(Apontamentos!$C348="","",Apontamentos!G348&amp;"")</f>
        <v/>
      </c>
      <c r="F348" s="14"/>
      <c r="G348" s="14"/>
      <c r="H348" s="14"/>
      <c r="I348" s="14"/>
      <c r="J348" s="13"/>
      <c r="K348" s="13"/>
    </row>
    <row r="349" customFormat="false" ht="15" hidden="false" customHeight="false" outlineLevel="0" collapsed="false">
      <c r="A349" s="11" t="str">
        <f aca="false">Apontamentos!C349</f>
        <v/>
      </c>
      <c r="B349" s="11" t="str">
        <f aca="false">IF(Apontamentos!$C349="","",Apontamentos!D349&amp;"")</f>
        <v/>
      </c>
      <c r="C349" s="11" t="str">
        <f aca="false">IF(Apontamentos!$C349="","",Apontamentos!E349&amp;"")</f>
        <v/>
      </c>
      <c r="D349" s="10" t="str">
        <f aca="false">IF(Apontamentos!$C349="","",Apontamentos!F349&amp;"")</f>
        <v/>
      </c>
      <c r="E349" s="10" t="str">
        <f aca="false">IF(Apontamentos!$C349="","",Apontamentos!G349&amp;"")</f>
        <v/>
      </c>
      <c r="F349" s="14"/>
      <c r="G349" s="14"/>
      <c r="H349" s="14"/>
      <c r="I349" s="14"/>
      <c r="J349" s="13"/>
      <c r="K349" s="13"/>
    </row>
    <row r="350" customFormat="false" ht="15" hidden="false" customHeight="false" outlineLevel="0" collapsed="false">
      <c r="A350" s="11" t="str">
        <f aca="false">Apontamentos!C350</f>
        <v/>
      </c>
      <c r="B350" s="11" t="str">
        <f aca="false">IF(Apontamentos!$C350="","",Apontamentos!D350&amp;"")</f>
        <v/>
      </c>
      <c r="C350" s="11" t="str">
        <f aca="false">IF(Apontamentos!$C350="","",Apontamentos!E350&amp;"")</f>
        <v/>
      </c>
      <c r="D350" s="10" t="str">
        <f aca="false">IF(Apontamentos!$C350="","",Apontamentos!F350&amp;"")</f>
        <v/>
      </c>
      <c r="E350" s="10" t="str">
        <f aca="false">IF(Apontamentos!$C350="","",Apontamentos!G350&amp;"")</f>
        <v/>
      </c>
      <c r="F350" s="14"/>
      <c r="G350" s="14"/>
      <c r="H350" s="14"/>
      <c r="I350" s="14"/>
      <c r="J350" s="13"/>
      <c r="K350" s="13"/>
    </row>
    <row r="351" customFormat="false" ht="15" hidden="false" customHeight="false" outlineLevel="0" collapsed="false">
      <c r="A351" s="11" t="str">
        <f aca="false">Apontamentos!C351</f>
        <v/>
      </c>
      <c r="B351" s="11" t="str">
        <f aca="false">IF(Apontamentos!$C351="","",Apontamentos!D351&amp;"")</f>
        <v/>
      </c>
      <c r="C351" s="11" t="str">
        <f aca="false">IF(Apontamentos!$C351="","",Apontamentos!E351&amp;"")</f>
        <v/>
      </c>
      <c r="D351" s="10" t="str">
        <f aca="false">IF(Apontamentos!$C351="","",Apontamentos!F351&amp;"")</f>
        <v/>
      </c>
      <c r="E351" s="10" t="str">
        <f aca="false">IF(Apontamentos!$C351="","",Apontamentos!G351&amp;"")</f>
        <v/>
      </c>
      <c r="F351" s="14"/>
      <c r="G351" s="14"/>
      <c r="H351" s="14"/>
      <c r="I351" s="14"/>
      <c r="J351" s="13"/>
      <c r="K351" s="13"/>
    </row>
    <row r="352" customFormat="false" ht="15" hidden="false" customHeight="false" outlineLevel="0" collapsed="false">
      <c r="A352" s="11" t="str">
        <f aca="false">Apontamentos!C352</f>
        <v/>
      </c>
      <c r="B352" s="11" t="str">
        <f aca="false">IF(Apontamentos!$C352="","",Apontamentos!D352&amp;"")</f>
        <v/>
      </c>
      <c r="C352" s="11" t="str">
        <f aca="false">IF(Apontamentos!$C352="","",Apontamentos!E352&amp;"")</f>
        <v/>
      </c>
      <c r="D352" s="10" t="str">
        <f aca="false">IF(Apontamentos!$C352="","",Apontamentos!F352&amp;"")</f>
        <v/>
      </c>
      <c r="E352" s="10" t="str">
        <f aca="false">IF(Apontamentos!$C352="","",Apontamentos!G352&amp;"")</f>
        <v/>
      </c>
      <c r="F352" s="14"/>
      <c r="G352" s="14"/>
      <c r="H352" s="14"/>
      <c r="I352" s="14"/>
      <c r="J352" s="13"/>
      <c r="K352" s="13"/>
    </row>
    <row r="353" customFormat="false" ht="15" hidden="false" customHeight="false" outlineLevel="0" collapsed="false">
      <c r="A353" s="11" t="str">
        <f aca="false">Apontamentos!C353</f>
        <v/>
      </c>
      <c r="B353" s="11" t="str">
        <f aca="false">IF(Apontamentos!$C353="","",Apontamentos!D353&amp;"")</f>
        <v/>
      </c>
      <c r="C353" s="11" t="str">
        <f aca="false">IF(Apontamentos!$C353="","",Apontamentos!E353&amp;"")</f>
        <v/>
      </c>
      <c r="D353" s="10" t="str">
        <f aca="false">IF(Apontamentos!$C353="","",Apontamentos!F353&amp;"")</f>
        <v/>
      </c>
      <c r="E353" s="10" t="str">
        <f aca="false">IF(Apontamentos!$C353="","",Apontamentos!G353&amp;"")</f>
        <v/>
      </c>
      <c r="F353" s="14"/>
      <c r="G353" s="14"/>
      <c r="H353" s="14"/>
      <c r="I353" s="14"/>
      <c r="J353" s="13"/>
      <c r="K353" s="13"/>
    </row>
    <row r="354" customFormat="false" ht="15" hidden="false" customHeight="false" outlineLevel="0" collapsed="false">
      <c r="A354" s="11" t="str">
        <f aca="false">Apontamentos!C354</f>
        <v/>
      </c>
      <c r="B354" s="11" t="str">
        <f aca="false">IF(Apontamentos!$C354="","",Apontamentos!D354&amp;"")</f>
        <v/>
      </c>
      <c r="C354" s="11" t="str">
        <f aca="false">IF(Apontamentos!$C354="","",Apontamentos!E354&amp;"")</f>
        <v/>
      </c>
      <c r="D354" s="10" t="str">
        <f aca="false">IF(Apontamentos!$C354="","",Apontamentos!F354&amp;"")</f>
        <v/>
      </c>
      <c r="E354" s="10" t="str">
        <f aca="false">IF(Apontamentos!$C354="","",Apontamentos!G354&amp;"")</f>
        <v/>
      </c>
      <c r="F354" s="14"/>
      <c r="G354" s="14"/>
      <c r="H354" s="14"/>
      <c r="I354" s="14"/>
      <c r="J354" s="13"/>
      <c r="K354" s="13"/>
    </row>
    <row r="355" customFormat="false" ht="15" hidden="false" customHeight="false" outlineLevel="0" collapsed="false">
      <c r="A355" s="11" t="str">
        <f aca="false">Apontamentos!C355</f>
        <v/>
      </c>
      <c r="B355" s="11" t="str">
        <f aca="false">IF(Apontamentos!$C355="","",Apontamentos!D355&amp;"")</f>
        <v/>
      </c>
      <c r="C355" s="11" t="str">
        <f aca="false">IF(Apontamentos!$C355="","",Apontamentos!E355&amp;"")</f>
        <v/>
      </c>
      <c r="D355" s="10" t="str">
        <f aca="false">IF(Apontamentos!$C355="","",Apontamentos!F355&amp;"")</f>
        <v/>
      </c>
      <c r="E355" s="10" t="str">
        <f aca="false">IF(Apontamentos!$C355="","",Apontamentos!G355&amp;"")</f>
        <v/>
      </c>
      <c r="F355" s="14"/>
      <c r="G355" s="14"/>
      <c r="H355" s="14"/>
      <c r="I355" s="14"/>
      <c r="J355" s="13"/>
      <c r="K355" s="13"/>
    </row>
    <row r="356" customFormat="false" ht="15" hidden="false" customHeight="false" outlineLevel="0" collapsed="false">
      <c r="A356" s="11" t="str">
        <f aca="false">Apontamentos!C356</f>
        <v/>
      </c>
      <c r="B356" s="11" t="str">
        <f aca="false">IF(Apontamentos!$C356="","",Apontamentos!D356&amp;"")</f>
        <v/>
      </c>
      <c r="C356" s="11" t="str">
        <f aca="false">IF(Apontamentos!$C356="","",Apontamentos!E356&amp;"")</f>
        <v/>
      </c>
      <c r="D356" s="10" t="str">
        <f aca="false">IF(Apontamentos!$C356="","",Apontamentos!F356&amp;"")</f>
        <v/>
      </c>
      <c r="E356" s="10" t="str">
        <f aca="false">IF(Apontamentos!$C356="","",Apontamentos!G356&amp;"")</f>
        <v/>
      </c>
      <c r="F356" s="14"/>
      <c r="G356" s="14"/>
      <c r="H356" s="14"/>
      <c r="I356" s="14"/>
      <c r="J356" s="13"/>
      <c r="K356" s="13"/>
    </row>
    <row r="357" customFormat="false" ht="15" hidden="false" customHeight="false" outlineLevel="0" collapsed="false">
      <c r="A357" s="11" t="str">
        <f aca="false">Apontamentos!C357</f>
        <v/>
      </c>
      <c r="B357" s="11" t="str">
        <f aca="false">IF(Apontamentos!$C357="","",Apontamentos!D357&amp;"")</f>
        <v/>
      </c>
      <c r="C357" s="11" t="str">
        <f aca="false">IF(Apontamentos!$C357="","",Apontamentos!E357&amp;"")</f>
        <v/>
      </c>
      <c r="D357" s="10" t="str">
        <f aca="false">IF(Apontamentos!$C357="","",Apontamentos!F357&amp;"")</f>
        <v/>
      </c>
      <c r="E357" s="10" t="str">
        <f aca="false">IF(Apontamentos!$C357="","",Apontamentos!G357&amp;"")</f>
        <v/>
      </c>
      <c r="F357" s="14"/>
      <c r="G357" s="14"/>
      <c r="H357" s="14"/>
      <c r="I357" s="14"/>
      <c r="J357" s="13"/>
      <c r="K357" s="13"/>
    </row>
    <row r="358" customFormat="false" ht="15" hidden="false" customHeight="false" outlineLevel="0" collapsed="false">
      <c r="A358" s="11" t="str">
        <f aca="false">Apontamentos!C358</f>
        <v/>
      </c>
      <c r="B358" s="11" t="str">
        <f aca="false">IF(Apontamentos!$C358="","",Apontamentos!D358&amp;"")</f>
        <v/>
      </c>
      <c r="C358" s="11" t="str">
        <f aca="false">IF(Apontamentos!$C358="","",Apontamentos!E358&amp;"")</f>
        <v/>
      </c>
      <c r="D358" s="10" t="str">
        <f aca="false">IF(Apontamentos!$C358="","",Apontamentos!F358&amp;"")</f>
        <v/>
      </c>
      <c r="E358" s="10" t="str">
        <f aca="false">IF(Apontamentos!$C358="","",Apontamentos!G358&amp;"")</f>
        <v/>
      </c>
      <c r="F358" s="14"/>
      <c r="G358" s="14"/>
      <c r="H358" s="14"/>
      <c r="I358" s="14"/>
      <c r="J358" s="13"/>
      <c r="K358" s="13"/>
    </row>
    <row r="359" customFormat="false" ht="15" hidden="false" customHeight="false" outlineLevel="0" collapsed="false">
      <c r="A359" s="11" t="str">
        <f aca="false">Apontamentos!C359</f>
        <v/>
      </c>
      <c r="B359" s="11" t="str">
        <f aca="false">IF(Apontamentos!$C359="","",Apontamentos!D359&amp;"")</f>
        <v/>
      </c>
      <c r="C359" s="11" t="str">
        <f aca="false">IF(Apontamentos!$C359="","",Apontamentos!E359&amp;"")</f>
        <v/>
      </c>
      <c r="D359" s="10" t="str">
        <f aca="false">IF(Apontamentos!$C359="","",Apontamentos!F359&amp;"")</f>
        <v/>
      </c>
      <c r="E359" s="10" t="str">
        <f aca="false">IF(Apontamentos!$C359="","",Apontamentos!G359&amp;"")</f>
        <v/>
      </c>
      <c r="F359" s="14"/>
      <c r="G359" s="14"/>
      <c r="H359" s="14"/>
      <c r="I359" s="14"/>
      <c r="J359" s="13"/>
      <c r="K359" s="13"/>
    </row>
    <row r="360" customFormat="false" ht="15" hidden="false" customHeight="false" outlineLevel="0" collapsed="false">
      <c r="A360" s="11" t="str">
        <f aca="false">Apontamentos!C360</f>
        <v/>
      </c>
      <c r="B360" s="11" t="str">
        <f aca="false">IF(Apontamentos!$C360="","",Apontamentos!D360&amp;"")</f>
        <v/>
      </c>
      <c r="C360" s="11" t="str">
        <f aca="false">IF(Apontamentos!$C360="","",Apontamentos!E360&amp;"")</f>
        <v/>
      </c>
      <c r="D360" s="10" t="str">
        <f aca="false">IF(Apontamentos!$C360="","",Apontamentos!F360&amp;"")</f>
        <v/>
      </c>
      <c r="E360" s="10" t="str">
        <f aca="false">IF(Apontamentos!$C360="","",Apontamentos!G360&amp;"")</f>
        <v/>
      </c>
      <c r="F360" s="14"/>
      <c r="G360" s="14"/>
      <c r="H360" s="14"/>
      <c r="I360" s="14"/>
      <c r="J360" s="13"/>
      <c r="K360" s="13"/>
    </row>
    <row r="361" customFormat="false" ht="15" hidden="false" customHeight="false" outlineLevel="0" collapsed="false">
      <c r="A361" s="11" t="str">
        <f aca="false">Apontamentos!C361</f>
        <v/>
      </c>
      <c r="B361" s="11" t="str">
        <f aca="false">IF(Apontamentos!$C361="","",Apontamentos!D361&amp;"")</f>
        <v/>
      </c>
      <c r="C361" s="11" t="str">
        <f aca="false">IF(Apontamentos!$C361="","",Apontamentos!E361&amp;"")</f>
        <v/>
      </c>
      <c r="D361" s="10" t="str">
        <f aca="false">IF(Apontamentos!$C361="","",Apontamentos!F361&amp;"")</f>
        <v/>
      </c>
      <c r="E361" s="10" t="str">
        <f aca="false">IF(Apontamentos!$C361="","",Apontamentos!G361&amp;"")</f>
        <v/>
      </c>
      <c r="F361" s="14"/>
      <c r="G361" s="14"/>
      <c r="H361" s="14"/>
      <c r="I361" s="14"/>
      <c r="J361" s="13"/>
      <c r="K361" s="13"/>
    </row>
    <row r="362" customFormat="false" ht="15" hidden="false" customHeight="false" outlineLevel="0" collapsed="false">
      <c r="A362" s="11" t="str">
        <f aca="false">Apontamentos!C362</f>
        <v/>
      </c>
      <c r="B362" s="11" t="str">
        <f aca="false">IF(Apontamentos!$C362="","",Apontamentos!D362&amp;"")</f>
        <v/>
      </c>
      <c r="C362" s="11" t="str">
        <f aca="false">IF(Apontamentos!$C362="","",Apontamentos!E362&amp;"")</f>
        <v/>
      </c>
      <c r="D362" s="10" t="str">
        <f aca="false">IF(Apontamentos!$C362="","",Apontamentos!F362&amp;"")</f>
        <v/>
      </c>
      <c r="E362" s="10" t="str">
        <f aca="false">IF(Apontamentos!$C362="","",Apontamentos!G362&amp;"")</f>
        <v/>
      </c>
      <c r="F362" s="14"/>
      <c r="G362" s="14"/>
      <c r="H362" s="14"/>
      <c r="I362" s="14"/>
      <c r="J362" s="13"/>
      <c r="K362" s="13"/>
    </row>
    <row r="363" customFormat="false" ht="15" hidden="false" customHeight="false" outlineLevel="0" collapsed="false">
      <c r="A363" s="11" t="str">
        <f aca="false">Apontamentos!C363</f>
        <v/>
      </c>
      <c r="B363" s="11" t="str">
        <f aca="false">IF(Apontamentos!$C363="","",Apontamentos!D363&amp;"")</f>
        <v/>
      </c>
      <c r="C363" s="11" t="str">
        <f aca="false">IF(Apontamentos!$C363="","",Apontamentos!E363&amp;"")</f>
        <v/>
      </c>
      <c r="D363" s="10" t="str">
        <f aca="false">IF(Apontamentos!$C363="","",Apontamentos!F363&amp;"")</f>
        <v/>
      </c>
      <c r="E363" s="10" t="str">
        <f aca="false">IF(Apontamentos!$C363="","",Apontamentos!G363&amp;"")</f>
        <v/>
      </c>
      <c r="F363" s="14"/>
      <c r="G363" s="14"/>
      <c r="H363" s="14"/>
      <c r="I363" s="14"/>
      <c r="J363" s="13"/>
      <c r="K363" s="13"/>
    </row>
    <row r="364" customFormat="false" ht="15" hidden="false" customHeight="false" outlineLevel="0" collapsed="false">
      <c r="A364" s="11" t="str">
        <f aca="false">Apontamentos!C364</f>
        <v/>
      </c>
      <c r="B364" s="11" t="str">
        <f aca="false">IF(Apontamentos!$C364="","",Apontamentos!D364&amp;"")</f>
        <v/>
      </c>
      <c r="C364" s="11" t="str">
        <f aca="false">IF(Apontamentos!$C364="","",Apontamentos!E364&amp;"")</f>
        <v/>
      </c>
      <c r="D364" s="10" t="str">
        <f aca="false">IF(Apontamentos!$C364="","",Apontamentos!F364&amp;"")</f>
        <v/>
      </c>
      <c r="E364" s="10" t="str">
        <f aca="false">IF(Apontamentos!$C364="","",Apontamentos!G364&amp;"")</f>
        <v/>
      </c>
      <c r="F364" s="14"/>
      <c r="G364" s="14"/>
      <c r="H364" s="14"/>
      <c r="I364" s="14"/>
      <c r="J364" s="13"/>
      <c r="K364" s="13"/>
    </row>
    <row r="365" customFormat="false" ht="15" hidden="false" customHeight="false" outlineLevel="0" collapsed="false">
      <c r="A365" s="11" t="str">
        <f aca="false">Apontamentos!C365</f>
        <v/>
      </c>
      <c r="B365" s="11" t="str">
        <f aca="false">IF(Apontamentos!$C365="","",Apontamentos!D365&amp;"")</f>
        <v/>
      </c>
      <c r="C365" s="11" t="str">
        <f aca="false">IF(Apontamentos!$C365="","",Apontamentos!E365&amp;"")</f>
        <v/>
      </c>
      <c r="D365" s="10" t="str">
        <f aca="false">IF(Apontamentos!$C365="","",Apontamentos!F365&amp;"")</f>
        <v/>
      </c>
      <c r="E365" s="10" t="str">
        <f aca="false">IF(Apontamentos!$C365="","",Apontamentos!G365&amp;"")</f>
        <v/>
      </c>
      <c r="F365" s="14"/>
      <c r="G365" s="14"/>
      <c r="H365" s="14"/>
      <c r="I365" s="14"/>
      <c r="J365" s="13"/>
      <c r="K365" s="13"/>
    </row>
    <row r="366" customFormat="false" ht="15" hidden="false" customHeight="false" outlineLevel="0" collapsed="false">
      <c r="A366" s="11" t="str">
        <f aca="false">Apontamentos!C366</f>
        <v/>
      </c>
      <c r="B366" s="11" t="str">
        <f aca="false">IF(Apontamentos!$C366="","",Apontamentos!D366&amp;"")</f>
        <v/>
      </c>
      <c r="C366" s="11" t="str">
        <f aca="false">IF(Apontamentos!$C366="","",Apontamentos!E366&amp;"")</f>
        <v/>
      </c>
      <c r="D366" s="10" t="str">
        <f aca="false">IF(Apontamentos!$C366="","",Apontamentos!F366&amp;"")</f>
        <v/>
      </c>
      <c r="E366" s="10" t="str">
        <f aca="false">IF(Apontamentos!$C366="","",Apontamentos!G366&amp;"")</f>
        <v/>
      </c>
      <c r="F366" s="14"/>
      <c r="G366" s="14"/>
      <c r="H366" s="14"/>
      <c r="I366" s="14"/>
      <c r="J366" s="13"/>
      <c r="K366" s="13"/>
    </row>
    <row r="367" customFormat="false" ht="15" hidden="false" customHeight="false" outlineLevel="0" collapsed="false">
      <c r="A367" s="11" t="str">
        <f aca="false">Apontamentos!C367</f>
        <v/>
      </c>
      <c r="B367" s="11" t="str">
        <f aca="false">IF(Apontamentos!$C367="","",Apontamentos!D367&amp;"")</f>
        <v/>
      </c>
      <c r="C367" s="11" t="str">
        <f aca="false">IF(Apontamentos!$C367="","",Apontamentos!E367&amp;"")</f>
        <v/>
      </c>
      <c r="D367" s="10" t="str">
        <f aca="false">IF(Apontamentos!$C367="","",Apontamentos!F367&amp;"")</f>
        <v/>
      </c>
      <c r="E367" s="10" t="str">
        <f aca="false">IF(Apontamentos!$C367="","",Apontamentos!G367&amp;"")</f>
        <v/>
      </c>
      <c r="F367" s="14"/>
      <c r="G367" s="14"/>
      <c r="H367" s="14"/>
      <c r="I367" s="14"/>
      <c r="J367" s="13"/>
      <c r="K367" s="13"/>
    </row>
    <row r="368" customFormat="false" ht="15" hidden="false" customHeight="false" outlineLevel="0" collapsed="false">
      <c r="A368" s="11" t="str">
        <f aca="false">Apontamentos!C368</f>
        <v/>
      </c>
      <c r="B368" s="11" t="str">
        <f aca="false">IF(Apontamentos!$C368="","",Apontamentos!D368&amp;"")</f>
        <v/>
      </c>
      <c r="C368" s="11" t="str">
        <f aca="false">IF(Apontamentos!$C368="","",Apontamentos!E368&amp;"")</f>
        <v/>
      </c>
      <c r="D368" s="10" t="str">
        <f aca="false">IF(Apontamentos!$C368="","",Apontamentos!F368&amp;"")</f>
        <v/>
      </c>
      <c r="E368" s="10" t="str">
        <f aca="false">IF(Apontamentos!$C368="","",Apontamentos!G368&amp;"")</f>
        <v/>
      </c>
      <c r="F368" s="14"/>
      <c r="G368" s="14"/>
      <c r="H368" s="14"/>
      <c r="I368" s="14"/>
      <c r="J368" s="13"/>
      <c r="K368" s="13"/>
    </row>
    <row r="369" customFormat="false" ht="15" hidden="false" customHeight="false" outlineLevel="0" collapsed="false">
      <c r="A369" s="11" t="str">
        <f aca="false">Apontamentos!C369</f>
        <v/>
      </c>
      <c r="B369" s="11" t="str">
        <f aca="false">IF(Apontamentos!$C369="","",Apontamentos!D369&amp;"")</f>
        <v/>
      </c>
      <c r="C369" s="11" t="str">
        <f aca="false">IF(Apontamentos!$C369="","",Apontamentos!E369&amp;"")</f>
        <v/>
      </c>
      <c r="D369" s="10" t="str">
        <f aca="false">IF(Apontamentos!$C369="","",Apontamentos!F369&amp;"")</f>
        <v/>
      </c>
      <c r="E369" s="10" t="str">
        <f aca="false">IF(Apontamentos!$C369="","",Apontamentos!G369&amp;"")</f>
        <v/>
      </c>
      <c r="F369" s="14"/>
      <c r="G369" s="14"/>
      <c r="H369" s="14"/>
      <c r="I369" s="14"/>
      <c r="J369" s="13"/>
      <c r="K369" s="13"/>
    </row>
    <row r="370" customFormat="false" ht="15" hidden="false" customHeight="false" outlineLevel="0" collapsed="false">
      <c r="A370" s="11" t="str">
        <f aca="false">Apontamentos!C370</f>
        <v/>
      </c>
      <c r="B370" s="11" t="str">
        <f aca="false">IF(Apontamentos!$C370="","",Apontamentos!D370&amp;"")</f>
        <v/>
      </c>
      <c r="C370" s="11" t="str">
        <f aca="false">IF(Apontamentos!$C370="","",Apontamentos!E370&amp;"")</f>
        <v/>
      </c>
      <c r="D370" s="10" t="str">
        <f aca="false">IF(Apontamentos!$C370="","",Apontamentos!F370&amp;"")</f>
        <v/>
      </c>
      <c r="E370" s="10" t="str">
        <f aca="false">IF(Apontamentos!$C370="","",Apontamentos!G370&amp;"")</f>
        <v/>
      </c>
      <c r="F370" s="14"/>
      <c r="G370" s="14"/>
      <c r="H370" s="14"/>
      <c r="I370" s="14"/>
      <c r="J370" s="13"/>
      <c r="K370" s="13"/>
    </row>
    <row r="371" customFormat="false" ht="15" hidden="false" customHeight="false" outlineLevel="0" collapsed="false">
      <c r="A371" s="11" t="str">
        <f aca="false">Apontamentos!C371</f>
        <v/>
      </c>
      <c r="B371" s="11" t="str">
        <f aca="false">IF(Apontamentos!$C371="","",Apontamentos!D371&amp;"")</f>
        <v/>
      </c>
      <c r="C371" s="11" t="str">
        <f aca="false">IF(Apontamentos!$C371="","",Apontamentos!E371&amp;"")</f>
        <v/>
      </c>
      <c r="D371" s="10" t="str">
        <f aca="false">IF(Apontamentos!$C371="","",Apontamentos!F371&amp;"")</f>
        <v/>
      </c>
      <c r="E371" s="10" t="str">
        <f aca="false">IF(Apontamentos!$C371="","",Apontamentos!G371&amp;"")</f>
        <v/>
      </c>
      <c r="F371" s="14"/>
      <c r="G371" s="14"/>
      <c r="H371" s="14"/>
      <c r="I371" s="14"/>
      <c r="J371" s="13"/>
      <c r="K371" s="13"/>
    </row>
    <row r="372" customFormat="false" ht="15" hidden="false" customHeight="false" outlineLevel="0" collapsed="false">
      <c r="A372" s="11" t="str">
        <f aca="false">Apontamentos!C372</f>
        <v/>
      </c>
      <c r="B372" s="11" t="str">
        <f aca="false">IF(Apontamentos!$C372="","",Apontamentos!D372&amp;"")</f>
        <v/>
      </c>
      <c r="C372" s="11" t="str">
        <f aca="false">IF(Apontamentos!$C372="","",Apontamentos!E372&amp;"")</f>
        <v/>
      </c>
      <c r="D372" s="10" t="str">
        <f aca="false">IF(Apontamentos!$C372="","",Apontamentos!F372&amp;"")</f>
        <v/>
      </c>
      <c r="E372" s="10" t="str">
        <f aca="false">IF(Apontamentos!$C372="","",Apontamentos!G372&amp;"")</f>
        <v/>
      </c>
      <c r="F372" s="14"/>
      <c r="G372" s="14"/>
      <c r="H372" s="14"/>
      <c r="I372" s="14"/>
      <c r="J372" s="13"/>
      <c r="K372" s="13"/>
    </row>
    <row r="373" customFormat="false" ht="15" hidden="false" customHeight="false" outlineLevel="0" collapsed="false">
      <c r="A373" s="11" t="str">
        <f aca="false">Apontamentos!C373</f>
        <v/>
      </c>
      <c r="B373" s="11" t="str">
        <f aca="false">IF(Apontamentos!$C373="","",Apontamentos!D373&amp;"")</f>
        <v/>
      </c>
      <c r="C373" s="11" t="str">
        <f aca="false">IF(Apontamentos!$C373="","",Apontamentos!E373&amp;"")</f>
        <v/>
      </c>
      <c r="D373" s="10" t="str">
        <f aca="false">IF(Apontamentos!$C373="","",Apontamentos!F373&amp;"")</f>
        <v/>
      </c>
      <c r="E373" s="10" t="str">
        <f aca="false">IF(Apontamentos!$C373="","",Apontamentos!G373&amp;"")</f>
        <v/>
      </c>
      <c r="F373" s="14"/>
      <c r="G373" s="14"/>
      <c r="H373" s="14"/>
      <c r="I373" s="14"/>
      <c r="J373" s="13"/>
      <c r="K373" s="13"/>
    </row>
    <row r="374" customFormat="false" ht="15" hidden="false" customHeight="false" outlineLevel="0" collapsed="false">
      <c r="A374" s="11" t="str">
        <f aca="false">Apontamentos!C374</f>
        <v/>
      </c>
      <c r="B374" s="11" t="str">
        <f aca="false">IF(Apontamentos!$C374="","",Apontamentos!D374&amp;"")</f>
        <v/>
      </c>
      <c r="C374" s="11" t="str">
        <f aca="false">IF(Apontamentos!$C374="","",Apontamentos!E374&amp;"")</f>
        <v/>
      </c>
      <c r="D374" s="10" t="str">
        <f aca="false">IF(Apontamentos!$C374="","",Apontamentos!F374&amp;"")</f>
        <v/>
      </c>
      <c r="E374" s="10" t="str">
        <f aca="false">IF(Apontamentos!$C374="","",Apontamentos!G374&amp;"")</f>
        <v/>
      </c>
      <c r="F374" s="14"/>
      <c r="G374" s="14"/>
      <c r="H374" s="14"/>
      <c r="I374" s="14"/>
      <c r="J374" s="13"/>
      <c r="K374" s="13"/>
    </row>
    <row r="375" customFormat="false" ht="15" hidden="false" customHeight="false" outlineLevel="0" collapsed="false">
      <c r="A375" s="11" t="str">
        <f aca="false">Apontamentos!C375</f>
        <v/>
      </c>
      <c r="B375" s="11" t="str">
        <f aca="false">IF(Apontamentos!$C375="","",Apontamentos!D375&amp;"")</f>
        <v/>
      </c>
      <c r="C375" s="11" t="str">
        <f aca="false">IF(Apontamentos!$C375="","",Apontamentos!E375&amp;"")</f>
        <v/>
      </c>
      <c r="D375" s="10" t="str">
        <f aca="false">IF(Apontamentos!$C375="","",Apontamentos!F375&amp;"")</f>
        <v/>
      </c>
      <c r="E375" s="10" t="str">
        <f aca="false">IF(Apontamentos!$C375="","",Apontamentos!G375&amp;"")</f>
        <v/>
      </c>
      <c r="F375" s="14"/>
      <c r="G375" s="14"/>
      <c r="H375" s="14"/>
      <c r="I375" s="14"/>
      <c r="J375" s="13"/>
      <c r="K375" s="13"/>
    </row>
    <row r="376" customFormat="false" ht="15" hidden="false" customHeight="false" outlineLevel="0" collapsed="false">
      <c r="A376" s="11" t="str">
        <f aca="false">Apontamentos!C376</f>
        <v/>
      </c>
      <c r="B376" s="11" t="str">
        <f aca="false">IF(Apontamentos!$C376="","",Apontamentos!D376&amp;"")</f>
        <v/>
      </c>
      <c r="C376" s="11" t="str">
        <f aca="false">IF(Apontamentos!$C376="","",Apontamentos!E376&amp;"")</f>
        <v/>
      </c>
      <c r="D376" s="10" t="str">
        <f aca="false">IF(Apontamentos!$C376="","",Apontamentos!F376&amp;"")</f>
        <v/>
      </c>
      <c r="E376" s="10" t="str">
        <f aca="false">IF(Apontamentos!$C376="","",Apontamentos!G376&amp;"")</f>
        <v/>
      </c>
      <c r="F376" s="14"/>
      <c r="G376" s="14"/>
      <c r="H376" s="14"/>
      <c r="I376" s="14"/>
      <c r="J376" s="13"/>
      <c r="K376" s="13"/>
    </row>
    <row r="377" customFormat="false" ht="15" hidden="false" customHeight="false" outlineLevel="0" collapsed="false">
      <c r="A377" s="11" t="str">
        <f aca="false">Apontamentos!C377</f>
        <v/>
      </c>
      <c r="B377" s="11" t="str">
        <f aca="false">IF(Apontamentos!$C377="","",Apontamentos!D377&amp;"")</f>
        <v/>
      </c>
      <c r="C377" s="11" t="str">
        <f aca="false">IF(Apontamentos!$C377="","",Apontamentos!E377&amp;"")</f>
        <v/>
      </c>
      <c r="D377" s="10" t="str">
        <f aca="false">IF(Apontamentos!$C377="","",Apontamentos!F377&amp;"")</f>
        <v/>
      </c>
      <c r="E377" s="10" t="str">
        <f aca="false">IF(Apontamentos!$C377="","",Apontamentos!G377&amp;"")</f>
        <v/>
      </c>
      <c r="F377" s="14"/>
      <c r="G377" s="14"/>
      <c r="H377" s="14"/>
      <c r="I377" s="14"/>
      <c r="J377" s="13"/>
      <c r="K377" s="13"/>
    </row>
    <row r="378" customFormat="false" ht="15" hidden="false" customHeight="false" outlineLevel="0" collapsed="false">
      <c r="A378" s="11" t="str">
        <f aca="false">Apontamentos!C378</f>
        <v/>
      </c>
      <c r="B378" s="11" t="str">
        <f aca="false">IF(Apontamentos!$C378="","",Apontamentos!D378&amp;"")</f>
        <v/>
      </c>
      <c r="C378" s="11" t="str">
        <f aca="false">IF(Apontamentos!$C378="","",Apontamentos!E378&amp;"")</f>
        <v/>
      </c>
      <c r="D378" s="10" t="str">
        <f aca="false">IF(Apontamentos!$C378="","",Apontamentos!F378&amp;"")</f>
        <v/>
      </c>
      <c r="E378" s="10" t="str">
        <f aca="false">IF(Apontamentos!$C378="","",Apontamentos!G378&amp;"")</f>
        <v/>
      </c>
      <c r="F378" s="14"/>
      <c r="G378" s="14"/>
      <c r="H378" s="14"/>
      <c r="I378" s="14"/>
      <c r="J378" s="13"/>
      <c r="K378" s="13"/>
    </row>
    <row r="379" customFormat="false" ht="15" hidden="false" customHeight="false" outlineLevel="0" collapsed="false">
      <c r="A379" s="11" t="str">
        <f aca="false">Apontamentos!C379</f>
        <v/>
      </c>
      <c r="B379" s="11" t="str">
        <f aca="false">IF(Apontamentos!$C379="","",Apontamentos!D379&amp;"")</f>
        <v/>
      </c>
      <c r="C379" s="11" t="str">
        <f aca="false">IF(Apontamentos!$C379="","",Apontamentos!E379&amp;"")</f>
        <v/>
      </c>
      <c r="D379" s="10" t="str">
        <f aca="false">IF(Apontamentos!$C379="","",Apontamentos!F379&amp;"")</f>
        <v/>
      </c>
      <c r="E379" s="10" t="str">
        <f aca="false">IF(Apontamentos!$C379="","",Apontamentos!G379&amp;"")</f>
        <v/>
      </c>
      <c r="F379" s="14"/>
      <c r="G379" s="14"/>
      <c r="H379" s="14"/>
      <c r="I379" s="14"/>
      <c r="J379" s="13"/>
      <c r="K379" s="13"/>
    </row>
    <row r="380" customFormat="false" ht="15" hidden="false" customHeight="false" outlineLevel="0" collapsed="false">
      <c r="A380" s="11" t="str">
        <f aca="false">Apontamentos!C380</f>
        <v/>
      </c>
      <c r="B380" s="11" t="str">
        <f aca="false">IF(Apontamentos!$C380="","",Apontamentos!D380&amp;"")</f>
        <v/>
      </c>
      <c r="C380" s="11" t="str">
        <f aca="false">IF(Apontamentos!$C380="","",Apontamentos!E380&amp;"")</f>
        <v/>
      </c>
      <c r="D380" s="10" t="str">
        <f aca="false">IF(Apontamentos!$C380="","",Apontamentos!F380&amp;"")</f>
        <v/>
      </c>
      <c r="E380" s="10" t="str">
        <f aca="false">IF(Apontamentos!$C380="","",Apontamentos!G380&amp;"")</f>
        <v/>
      </c>
      <c r="F380" s="14"/>
      <c r="G380" s="14"/>
      <c r="H380" s="14"/>
      <c r="I380" s="14"/>
      <c r="J380" s="13"/>
      <c r="K380" s="13"/>
    </row>
    <row r="381" customFormat="false" ht="15" hidden="false" customHeight="false" outlineLevel="0" collapsed="false">
      <c r="A381" s="11" t="str">
        <f aca="false">Apontamentos!C381</f>
        <v/>
      </c>
      <c r="B381" s="11" t="str">
        <f aca="false">IF(Apontamentos!$C381="","",Apontamentos!D381&amp;"")</f>
        <v/>
      </c>
      <c r="C381" s="11" t="str">
        <f aca="false">IF(Apontamentos!$C381="","",Apontamentos!E381&amp;"")</f>
        <v/>
      </c>
      <c r="D381" s="10" t="str">
        <f aca="false">IF(Apontamentos!$C381="","",Apontamentos!F381&amp;"")</f>
        <v/>
      </c>
      <c r="E381" s="10" t="str">
        <f aca="false">IF(Apontamentos!$C381="","",Apontamentos!G381&amp;"")</f>
        <v/>
      </c>
      <c r="F381" s="14"/>
      <c r="G381" s="14"/>
      <c r="H381" s="14"/>
      <c r="I381" s="14"/>
      <c r="J381" s="13"/>
      <c r="K381" s="13"/>
    </row>
    <row r="382" customFormat="false" ht="15" hidden="false" customHeight="false" outlineLevel="0" collapsed="false">
      <c r="A382" s="11" t="str">
        <f aca="false">Apontamentos!C382</f>
        <v/>
      </c>
      <c r="B382" s="11" t="str">
        <f aca="false">IF(Apontamentos!$C382="","",Apontamentos!D382&amp;"")</f>
        <v/>
      </c>
      <c r="C382" s="11" t="str">
        <f aca="false">IF(Apontamentos!$C382="","",Apontamentos!E382&amp;"")</f>
        <v/>
      </c>
      <c r="D382" s="10" t="str">
        <f aca="false">IF(Apontamentos!$C382="","",Apontamentos!F382&amp;"")</f>
        <v/>
      </c>
      <c r="E382" s="10" t="str">
        <f aca="false">IF(Apontamentos!$C382="","",Apontamentos!G382&amp;"")</f>
        <v/>
      </c>
      <c r="F382" s="14"/>
      <c r="G382" s="14"/>
      <c r="H382" s="14"/>
      <c r="I382" s="14"/>
      <c r="J382" s="13"/>
      <c r="K382" s="13"/>
    </row>
    <row r="383" customFormat="false" ht="15" hidden="false" customHeight="false" outlineLevel="0" collapsed="false">
      <c r="A383" s="11" t="str">
        <f aca="false">Apontamentos!C383</f>
        <v/>
      </c>
      <c r="B383" s="11" t="str">
        <f aca="false">IF(Apontamentos!$C383="","",Apontamentos!D383&amp;"")</f>
        <v/>
      </c>
      <c r="C383" s="11" t="str">
        <f aca="false">IF(Apontamentos!$C383="","",Apontamentos!E383&amp;"")</f>
        <v/>
      </c>
      <c r="D383" s="10" t="str">
        <f aca="false">IF(Apontamentos!$C383="","",Apontamentos!F383&amp;"")</f>
        <v/>
      </c>
      <c r="E383" s="10" t="str">
        <f aca="false">IF(Apontamentos!$C383="","",Apontamentos!G383&amp;"")</f>
        <v/>
      </c>
      <c r="F383" s="14"/>
      <c r="G383" s="14"/>
      <c r="H383" s="14"/>
      <c r="I383" s="14"/>
      <c r="J383" s="13"/>
      <c r="K383" s="13"/>
    </row>
    <row r="384" customFormat="false" ht="15" hidden="false" customHeight="false" outlineLevel="0" collapsed="false">
      <c r="A384" s="11" t="str">
        <f aca="false">Apontamentos!C384</f>
        <v/>
      </c>
      <c r="B384" s="11" t="str">
        <f aca="false">IF(Apontamentos!$C384="","",Apontamentos!D384&amp;"")</f>
        <v/>
      </c>
      <c r="C384" s="11" t="str">
        <f aca="false">IF(Apontamentos!$C384="","",Apontamentos!E384&amp;"")</f>
        <v/>
      </c>
      <c r="D384" s="10" t="str">
        <f aca="false">IF(Apontamentos!$C384="","",Apontamentos!F384&amp;"")</f>
        <v/>
      </c>
      <c r="E384" s="10" t="str">
        <f aca="false">IF(Apontamentos!$C384="","",Apontamentos!G384&amp;"")</f>
        <v/>
      </c>
      <c r="F384" s="14"/>
      <c r="G384" s="14"/>
      <c r="H384" s="14"/>
      <c r="I384" s="14"/>
      <c r="J384" s="13"/>
      <c r="K384" s="13"/>
    </row>
    <row r="385" customFormat="false" ht="15" hidden="false" customHeight="false" outlineLevel="0" collapsed="false">
      <c r="A385" s="11" t="str">
        <f aca="false">Apontamentos!C385</f>
        <v/>
      </c>
      <c r="B385" s="11" t="str">
        <f aca="false">IF(Apontamentos!$C385="","",Apontamentos!D385&amp;"")</f>
        <v/>
      </c>
      <c r="C385" s="11" t="str">
        <f aca="false">IF(Apontamentos!$C385="","",Apontamentos!E385&amp;"")</f>
        <v/>
      </c>
      <c r="D385" s="10" t="str">
        <f aca="false">IF(Apontamentos!$C385="","",Apontamentos!F385&amp;"")</f>
        <v/>
      </c>
      <c r="E385" s="10" t="str">
        <f aca="false">IF(Apontamentos!$C385="","",Apontamentos!G385&amp;"")</f>
        <v/>
      </c>
      <c r="F385" s="14"/>
      <c r="G385" s="14"/>
      <c r="H385" s="14"/>
      <c r="I385" s="14"/>
      <c r="J385" s="13"/>
      <c r="K385" s="13"/>
    </row>
    <row r="386" customFormat="false" ht="15" hidden="false" customHeight="false" outlineLevel="0" collapsed="false">
      <c r="A386" s="11" t="str">
        <f aca="false">Apontamentos!C386</f>
        <v/>
      </c>
      <c r="B386" s="11" t="str">
        <f aca="false">IF(Apontamentos!$C386="","",Apontamentos!D386&amp;"")</f>
        <v/>
      </c>
      <c r="C386" s="11" t="str">
        <f aca="false">IF(Apontamentos!$C386="","",Apontamentos!E386&amp;"")</f>
        <v/>
      </c>
      <c r="D386" s="10" t="str">
        <f aca="false">IF(Apontamentos!$C386="","",Apontamentos!F386&amp;"")</f>
        <v/>
      </c>
      <c r="E386" s="10" t="str">
        <f aca="false">IF(Apontamentos!$C386="","",Apontamentos!G386&amp;"")</f>
        <v/>
      </c>
      <c r="F386" s="14"/>
      <c r="G386" s="14"/>
      <c r="H386" s="14"/>
      <c r="I386" s="14"/>
      <c r="J386" s="13"/>
      <c r="K386" s="13"/>
    </row>
    <row r="387" customFormat="false" ht="15" hidden="false" customHeight="false" outlineLevel="0" collapsed="false">
      <c r="A387" s="11" t="str">
        <f aca="false">Apontamentos!C387</f>
        <v/>
      </c>
      <c r="B387" s="11" t="str">
        <f aca="false">IF(Apontamentos!$C387="","",Apontamentos!D387&amp;"")</f>
        <v/>
      </c>
      <c r="C387" s="11" t="str">
        <f aca="false">IF(Apontamentos!$C387="","",Apontamentos!E387&amp;"")</f>
        <v/>
      </c>
      <c r="D387" s="10" t="str">
        <f aca="false">IF(Apontamentos!$C387="","",Apontamentos!F387&amp;"")</f>
        <v/>
      </c>
      <c r="E387" s="10" t="str">
        <f aca="false">IF(Apontamentos!$C387="","",Apontamentos!G387&amp;"")</f>
        <v/>
      </c>
      <c r="F387" s="14"/>
      <c r="G387" s="14"/>
      <c r="H387" s="14"/>
      <c r="I387" s="14"/>
      <c r="J387" s="13"/>
      <c r="K387" s="13"/>
    </row>
    <row r="388" customFormat="false" ht="15" hidden="false" customHeight="false" outlineLevel="0" collapsed="false">
      <c r="A388" s="11" t="str">
        <f aca="false">Apontamentos!C388</f>
        <v/>
      </c>
      <c r="B388" s="11" t="str">
        <f aca="false">IF(Apontamentos!$C388="","",Apontamentos!D388&amp;"")</f>
        <v/>
      </c>
      <c r="C388" s="11" t="str">
        <f aca="false">IF(Apontamentos!$C388="","",Apontamentos!E388&amp;"")</f>
        <v/>
      </c>
      <c r="D388" s="10" t="str">
        <f aca="false">IF(Apontamentos!$C388="","",Apontamentos!F388&amp;"")</f>
        <v/>
      </c>
      <c r="E388" s="10" t="str">
        <f aca="false">IF(Apontamentos!$C388="","",Apontamentos!G388&amp;"")</f>
        <v/>
      </c>
      <c r="F388" s="14"/>
      <c r="G388" s="14"/>
      <c r="H388" s="14"/>
      <c r="I388" s="14"/>
      <c r="J388" s="13"/>
      <c r="K388" s="13"/>
    </row>
    <row r="389" customFormat="false" ht="15" hidden="false" customHeight="false" outlineLevel="0" collapsed="false">
      <c r="A389" s="11" t="str">
        <f aca="false">Apontamentos!C389</f>
        <v/>
      </c>
      <c r="B389" s="11" t="str">
        <f aca="false">IF(Apontamentos!$C389="","",Apontamentos!D389&amp;"")</f>
        <v/>
      </c>
      <c r="C389" s="11" t="str">
        <f aca="false">IF(Apontamentos!$C389="","",Apontamentos!E389&amp;"")</f>
        <v/>
      </c>
      <c r="D389" s="10" t="str">
        <f aca="false">IF(Apontamentos!$C389="","",Apontamentos!F389&amp;"")</f>
        <v/>
      </c>
      <c r="E389" s="10" t="str">
        <f aca="false">IF(Apontamentos!$C389="","",Apontamentos!G389&amp;"")</f>
        <v/>
      </c>
      <c r="F389" s="14"/>
      <c r="G389" s="14"/>
      <c r="H389" s="14"/>
      <c r="I389" s="14"/>
      <c r="J389" s="13"/>
      <c r="K389" s="13"/>
    </row>
    <row r="390" customFormat="false" ht="15" hidden="false" customHeight="false" outlineLevel="0" collapsed="false">
      <c r="A390" s="11" t="str">
        <f aca="false">Apontamentos!C390</f>
        <v/>
      </c>
      <c r="B390" s="11" t="str">
        <f aca="false">IF(Apontamentos!$C390="","",Apontamentos!D390&amp;"")</f>
        <v/>
      </c>
      <c r="C390" s="11" t="str">
        <f aca="false">IF(Apontamentos!$C390="","",Apontamentos!E390&amp;"")</f>
        <v/>
      </c>
      <c r="D390" s="10" t="str">
        <f aca="false">IF(Apontamentos!$C390="","",Apontamentos!F390&amp;"")</f>
        <v/>
      </c>
      <c r="E390" s="10" t="str">
        <f aca="false">IF(Apontamentos!$C390="","",Apontamentos!G390&amp;"")</f>
        <v/>
      </c>
      <c r="F390" s="14"/>
      <c r="G390" s="14"/>
      <c r="H390" s="14"/>
      <c r="I390" s="14"/>
      <c r="J390" s="13"/>
      <c r="K390" s="13"/>
    </row>
    <row r="391" customFormat="false" ht="15" hidden="false" customHeight="false" outlineLevel="0" collapsed="false">
      <c r="A391" s="11" t="str">
        <f aca="false">Apontamentos!C391</f>
        <v/>
      </c>
      <c r="B391" s="11" t="str">
        <f aca="false">IF(Apontamentos!$C391="","",Apontamentos!D391&amp;"")</f>
        <v/>
      </c>
      <c r="C391" s="11" t="str">
        <f aca="false">IF(Apontamentos!$C391="","",Apontamentos!E391&amp;"")</f>
        <v/>
      </c>
      <c r="D391" s="10" t="str">
        <f aca="false">IF(Apontamentos!$C391="","",Apontamentos!F391&amp;"")</f>
        <v/>
      </c>
      <c r="E391" s="10" t="str">
        <f aca="false">IF(Apontamentos!$C391="","",Apontamentos!G391&amp;"")</f>
        <v/>
      </c>
      <c r="F391" s="14"/>
      <c r="G391" s="14"/>
      <c r="H391" s="14"/>
      <c r="I391" s="14"/>
      <c r="J391" s="13"/>
      <c r="K391" s="13"/>
    </row>
    <row r="392" customFormat="false" ht="15" hidden="false" customHeight="false" outlineLevel="0" collapsed="false">
      <c r="A392" s="11" t="str">
        <f aca="false">Apontamentos!C392</f>
        <v/>
      </c>
      <c r="B392" s="11" t="str">
        <f aca="false">IF(Apontamentos!$C392="","",Apontamentos!D392&amp;"")</f>
        <v/>
      </c>
      <c r="C392" s="11" t="str">
        <f aca="false">IF(Apontamentos!$C392="","",Apontamentos!E392&amp;"")</f>
        <v/>
      </c>
      <c r="D392" s="10" t="str">
        <f aca="false">IF(Apontamentos!$C392="","",Apontamentos!F392&amp;"")</f>
        <v/>
      </c>
      <c r="E392" s="10" t="str">
        <f aca="false">IF(Apontamentos!$C392="","",Apontamentos!G392&amp;"")</f>
        <v/>
      </c>
      <c r="F392" s="14"/>
      <c r="G392" s="14"/>
      <c r="H392" s="14"/>
      <c r="I392" s="14"/>
      <c r="J392" s="13"/>
      <c r="K392" s="13"/>
    </row>
    <row r="393" customFormat="false" ht="15" hidden="false" customHeight="false" outlineLevel="0" collapsed="false">
      <c r="A393" s="11" t="str">
        <f aca="false">Apontamentos!C393</f>
        <v/>
      </c>
      <c r="B393" s="11" t="str">
        <f aca="false">IF(Apontamentos!$C393="","",Apontamentos!D393&amp;"")</f>
        <v/>
      </c>
      <c r="C393" s="11" t="str">
        <f aca="false">IF(Apontamentos!$C393="","",Apontamentos!E393&amp;"")</f>
        <v/>
      </c>
      <c r="D393" s="10" t="str">
        <f aca="false">IF(Apontamentos!$C393="","",Apontamentos!F393&amp;"")</f>
        <v/>
      </c>
      <c r="E393" s="10" t="str">
        <f aca="false">IF(Apontamentos!$C393="","",Apontamentos!G393&amp;"")</f>
        <v/>
      </c>
      <c r="F393" s="14"/>
      <c r="G393" s="14"/>
      <c r="H393" s="14"/>
      <c r="I393" s="14"/>
      <c r="J393" s="13"/>
      <c r="K393" s="13"/>
    </row>
    <row r="394" customFormat="false" ht="15" hidden="false" customHeight="false" outlineLevel="0" collapsed="false">
      <c r="A394" s="11" t="str">
        <f aca="false">Apontamentos!C394</f>
        <v/>
      </c>
      <c r="B394" s="11" t="str">
        <f aca="false">IF(Apontamentos!$C394="","",Apontamentos!D394&amp;"")</f>
        <v/>
      </c>
      <c r="C394" s="11" t="str">
        <f aca="false">IF(Apontamentos!$C394="","",Apontamentos!E394&amp;"")</f>
        <v/>
      </c>
      <c r="D394" s="10" t="str">
        <f aca="false">IF(Apontamentos!$C394="","",Apontamentos!F394&amp;"")</f>
        <v/>
      </c>
      <c r="E394" s="10" t="str">
        <f aca="false">IF(Apontamentos!$C394="","",Apontamentos!G394&amp;"")</f>
        <v/>
      </c>
      <c r="F394" s="14"/>
      <c r="G394" s="14"/>
      <c r="H394" s="14"/>
      <c r="I394" s="14"/>
      <c r="J394" s="13"/>
      <c r="K394" s="13"/>
    </row>
    <row r="395" customFormat="false" ht="15" hidden="false" customHeight="false" outlineLevel="0" collapsed="false">
      <c r="A395" s="11" t="str">
        <f aca="false">Apontamentos!C395</f>
        <v/>
      </c>
      <c r="B395" s="11" t="str">
        <f aca="false">IF(Apontamentos!$C395="","",Apontamentos!D395&amp;"")</f>
        <v/>
      </c>
      <c r="C395" s="11" t="str">
        <f aca="false">IF(Apontamentos!$C395="","",Apontamentos!E395&amp;"")</f>
        <v/>
      </c>
      <c r="D395" s="10" t="str">
        <f aca="false">IF(Apontamentos!$C395="","",Apontamentos!F395&amp;"")</f>
        <v/>
      </c>
      <c r="E395" s="10" t="str">
        <f aca="false">IF(Apontamentos!$C395="","",Apontamentos!G395&amp;"")</f>
        <v/>
      </c>
      <c r="F395" s="14"/>
      <c r="G395" s="14"/>
      <c r="H395" s="14"/>
      <c r="I395" s="14"/>
      <c r="J395" s="13"/>
      <c r="K395" s="13"/>
    </row>
    <row r="396" customFormat="false" ht="15" hidden="false" customHeight="false" outlineLevel="0" collapsed="false">
      <c r="A396" s="11" t="str">
        <f aca="false">Apontamentos!C396</f>
        <v/>
      </c>
      <c r="B396" s="11" t="str">
        <f aca="false">IF(Apontamentos!$C396="","",Apontamentos!D396&amp;"")</f>
        <v/>
      </c>
      <c r="C396" s="11" t="str">
        <f aca="false">IF(Apontamentos!$C396="","",Apontamentos!E396&amp;"")</f>
        <v/>
      </c>
      <c r="D396" s="10" t="str">
        <f aca="false">IF(Apontamentos!$C396="","",Apontamentos!F396&amp;"")</f>
        <v/>
      </c>
      <c r="E396" s="10" t="str">
        <f aca="false">IF(Apontamentos!$C396="","",Apontamentos!G396&amp;"")</f>
        <v/>
      </c>
      <c r="F396" s="14"/>
      <c r="G396" s="14"/>
      <c r="H396" s="14"/>
      <c r="I396" s="14"/>
      <c r="J396" s="13"/>
      <c r="K396" s="13"/>
    </row>
    <row r="397" customFormat="false" ht="15" hidden="false" customHeight="false" outlineLevel="0" collapsed="false">
      <c r="A397" s="11" t="str">
        <f aca="false">Apontamentos!C397</f>
        <v/>
      </c>
      <c r="B397" s="11" t="str">
        <f aca="false">IF(Apontamentos!$C397="","",Apontamentos!D397&amp;"")</f>
        <v/>
      </c>
      <c r="C397" s="11" t="str">
        <f aca="false">IF(Apontamentos!$C397="","",Apontamentos!E397&amp;"")</f>
        <v/>
      </c>
      <c r="D397" s="10" t="str">
        <f aca="false">IF(Apontamentos!$C397="","",Apontamentos!F397&amp;"")</f>
        <v/>
      </c>
      <c r="E397" s="10" t="str">
        <f aca="false">IF(Apontamentos!$C397="","",Apontamentos!G397&amp;"")</f>
        <v/>
      </c>
      <c r="F397" s="14"/>
      <c r="G397" s="14"/>
      <c r="H397" s="14"/>
      <c r="I397" s="14"/>
      <c r="J397" s="13"/>
      <c r="K397" s="13"/>
    </row>
    <row r="398" customFormat="false" ht="15" hidden="false" customHeight="false" outlineLevel="0" collapsed="false">
      <c r="A398" s="11" t="str">
        <f aca="false">Apontamentos!C398</f>
        <v/>
      </c>
      <c r="B398" s="11" t="str">
        <f aca="false">IF(Apontamentos!$C398="","",Apontamentos!D398&amp;"")</f>
        <v/>
      </c>
      <c r="C398" s="11" t="str">
        <f aca="false">IF(Apontamentos!$C398="","",Apontamentos!E398&amp;"")</f>
        <v/>
      </c>
      <c r="D398" s="10" t="str">
        <f aca="false">IF(Apontamentos!$C398="","",Apontamentos!F398&amp;"")</f>
        <v/>
      </c>
      <c r="E398" s="10" t="str">
        <f aca="false">IF(Apontamentos!$C398="","",Apontamentos!G398&amp;"")</f>
        <v/>
      </c>
      <c r="F398" s="14"/>
      <c r="G398" s="14"/>
      <c r="H398" s="14"/>
      <c r="I398" s="14"/>
      <c r="J398" s="13"/>
      <c r="K398" s="13"/>
    </row>
    <row r="399" customFormat="false" ht="15" hidden="false" customHeight="false" outlineLevel="0" collapsed="false">
      <c r="A399" s="11" t="str">
        <f aca="false">Apontamentos!C399</f>
        <v/>
      </c>
      <c r="B399" s="11" t="str">
        <f aca="false">IF(Apontamentos!$C399="","",Apontamentos!D399&amp;"")</f>
        <v/>
      </c>
      <c r="C399" s="11" t="str">
        <f aca="false">IF(Apontamentos!$C399="","",Apontamentos!E399&amp;"")</f>
        <v/>
      </c>
      <c r="D399" s="10" t="str">
        <f aca="false">IF(Apontamentos!$C399="","",Apontamentos!F399&amp;"")</f>
        <v/>
      </c>
      <c r="E399" s="10" t="str">
        <f aca="false">IF(Apontamentos!$C399="","",Apontamentos!G399&amp;"")</f>
        <v/>
      </c>
      <c r="F399" s="14"/>
      <c r="G399" s="14"/>
      <c r="H399" s="14"/>
      <c r="I399" s="14"/>
      <c r="J399" s="13"/>
      <c r="K399" s="13"/>
    </row>
    <row r="400" customFormat="false" ht="15" hidden="false" customHeight="false" outlineLevel="0" collapsed="false">
      <c r="A400" s="11" t="str">
        <f aca="false">Apontamentos!C400</f>
        <v/>
      </c>
      <c r="B400" s="11" t="str">
        <f aca="false">IF(Apontamentos!$C400="","",Apontamentos!D400&amp;"")</f>
        <v/>
      </c>
      <c r="C400" s="11" t="str">
        <f aca="false">IF(Apontamentos!$C400="","",Apontamentos!E400&amp;"")</f>
        <v/>
      </c>
      <c r="D400" s="10" t="str">
        <f aca="false">IF(Apontamentos!$C400="","",Apontamentos!F400&amp;"")</f>
        <v/>
      </c>
      <c r="E400" s="10" t="str">
        <f aca="false">IF(Apontamentos!$C400="","",Apontamentos!G400&amp;"")</f>
        <v/>
      </c>
      <c r="F400" s="14"/>
      <c r="G400" s="14"/>
      <c r="H400" s="14"/>
      <c r="I400" s="14"/>
      <c r="J400" s="13"/>
      <c r="K400" s="13"/>
    </row>
    <row r="401" customFormat="false" ht="15" hidden="false" customHeight="false" outlineLevel="0" collapsed="false">
      <c r="A401" s="11" t="str">
        <f aca="false">Apontamentos!C401</f>
        <v/>
      </c>
      <c r="B401" s="11" t="str">
        <f aca="false">IF(Apontamentos!$C401="","",Apontamentos!D401&amp;"")</f>
        <v/>
      </c>
      <c r="C401" s="11" t="str">
        <f aca="false">IF(Apontamentos!$C401="","",Apontamentos!E401&amp;"")</f>
        <v/>
      </c>
      <c r="D401" s="10" t="str">
        <f aca="false">IF(Apontamentos!$C401="","",Apontamentos!F401&amp;"")</f>
        <v/>
      </c>
      <c r="E401" s="10" t="str">
        <f aca="false">IF(Apontamentos!$C401="","",Apontamentos!G401&amp;"")</f>
        <v/>
      </c>
      <c r="F401" s="14"/>
      <c r="G401" s="14"/>
      <c r="H401" s="14"/>
      <c r="I401" s="14"/>
      <c r="J401" s="13"/>
      <c r="K401" s="13"/>
    </row>
    <row r="402" customFormat="false" ht="15" hidden="false" customHeight="false" outlineLevel="0" collapsed="false">
      <c r="A402" s="11" t="str">
        <f aca="false">Apontamentos!C402</f>
        <v/>
      </c>
      <c r="B402" s="11" t="str">
        <f aca="false">IF(Apontamentos!$C402="","",Apontamentos!D402&amp;"")</f>
        <v/>
      </c>
      <c r="C402" s="11" t="str">
        <f aca="false">IF(Apontamentos!$C402="","",Apontamentos!E402&amp;"")</f>
        <v/>
      </c>
      <c r="D402" s="10" t="str">
        <f aca="false">IF(Apontamentos!$C402="","",Apontamentos!F402&amp;"")</f>
        <v/>
      </c>
      <c r="E402" s="10" t="str">
        <f aca="false">IF(Apontamentos!$C402="","",Apontamentos!G402&amp;"")</f>
        <v/>
      </c>
      <c r="F402" s="14"/>
      <c r="G402" s="14"/>
      <c r="H402" s="14"/>
      <c r="I402" s="14"/>
      <c r="J402" s="13"/>
      <c r="K402" s="13"/>
    </row>
    <row r="403" customFormat="false" ht="15" hidden="false" customHeight="false" outlineLevel="0" collapsed="false">
      <c r="A403" s="11" t="str">
        <f aca="false">Apontamentos!C403</f>
        <v/>
      </c>
      <c r="B403" s="11" t="str">
        <f aca="false">IF(Apontamentos!$C403="","",Apontamentos!D403&amp;"")</f>
        <v/>
      </c>
      <c r="C403" s="11" t="str">
        <f aca="false">IF(Apontamentos!$C403="","",Apontamentos!E403&amp;"")</f>
        <v/>
      </c>
      <c r="D403" s="10" t="str">
        <f aca="false">IF(Apontamentos!$C403="","",Apontamentos!F403&amp;"")</f>
        <v/>
      </c>
      <c r="E403" s="10" t="str">
        <f aca="false">IF(Apontamentos!$C403="","",Apontamentos!G403&amp;"")</f>
        <v/>
      </c>
      <c r="F403" s="14"/>
      <c r="G403" s="14"/>
      <c r="H403" s="14"/>
      <c r="I403" s="14"/>
      <c r="J403" s="13"/>
      <c r="K403" s="13"/>
    </row>
    <row r="404" customFormat="false" ht="15" hidden="false" customHeight="false" outlineLevel="0" collapsed="false">
      <c r="A404" s="11" t="str">
        <f aca="false">Apontamentos!C404</f>
        <v/>
      </c>
      <c r="B404" s="11" t="str">
        <f aca="false">IF(Apontamentos!$C404="","",Apontamentos!D404&amp;"")</f>
        <v/>
      </c>
      <c r="C404" s="11" t="str">
        <f aca="false">IF(Apontamentos!$C404="","",Apontamentos!E404&amp;"")</f>
        <v/>
      </c>
      <c r="D404" s="10" t="str">
        <f aca="false">IF(Apontamentos!$C404="","",Apontamentos!F404&amp;"")</f>
        <v/>
      </c>
      <c r="E404" s="10" t="str">
        <f aca="false">IF(Apontamentos!$C404="","",Apontamentos!G404&amp;"")</f>
        <v/>
      </c>
      <c r="F404" s="14"/>
      <c r="G404" s="14"/>
      <c r="H404" s="14"/>
      <c r="I404" s="14"/>
      <c r="J404" s="13"/>
      <c r="K404" s="13"/>
    </row>
    <row r="405" customFormat="false" ht="15" hidden="false" customHeight="false" outlineLevel="0" collapsed="false">
      <c r="A405" s="11" t="str">
        <f aca="false">Apontamentos!C405</f>
        <v/>
      </c>
      <c r="B405" s="11" t="str">
        <f aca="false">IF(Apontamentos!$C405="","",Apontamentos!D405&amp;"")</f>
        <v/>
      </c>
      <c r="C405" s="11" t="str">
        <f aca="false">IF(Apontamentos!$C405="","",Apontamentos!E405&amp;"")</f>
        <v/>
      </c>
      <c r="D405" s="10" t="str">
        <f aca="false">IF(Apontamentos!$C405="","",Apontamentos!F405&amp;"")</f>
        <v/>
      </c>
      <c r="E405" s="10" t="str">
        <f aca="false">IF(Apontamentos!$C405="","",Apontamentos!G405&amp;"")</f>
        <v/>
      </c>
      <c r="F405" s="14"/>
      <c r="G405" s="14"/>
      <c r="H405" s="14"/>
      <c r="I405" s="14"/>
      <c r="J405" s="13"/>
      <c r="K405" s="13"/>
    </row>
    <row r="406" customFormat="false" ht="15" hidden="false" customHeight="false" outlineLevel="0" collapsed="false">
      <c r="A406" s="11" t="str">
        <f aca="false">Apontamentos!C406</f>
        <v/>
      </c>
      <c r="B406" s="11" t="str">
        <f aca="false">IF(Apontamentos!$C406="","",Apontamentos!D406&amp;"")</f>
        <v/>
      </c>
      <c r="C406" s="11" t="str">
        <f aca="false">IF(Apontamentos!$C406="","",Apontamentos!E406&amp;"")</f>
        <v/>
      </c>
      <c r="D406" s="10" t="str">
        <f aca="false">IF(Apontamentos!$C406="","",Apontamentos!F406&amp;"")</f>
        <v/>
      </c>
      <c r="E406" s="10" t="str">
        <f aca="false">IF(Apontamentos!$C406="","",Apontamentos!G406&amp;"")</f>
        <v/>
      </c>
      <c r="F406" s="14"/>
      <c r="G406" s="14"/>
      <c r="H406" s="14"/>
      <c r="I406" s="14"/>
      <c r="J406" s="13"/>
      <c r="K406" s="13"/>
    </row>
    <row r="407" customFormat="false" ht="15" hidden="false" customHeight="false" outlineLevel="0" collapsed="false">
      <c r="A407" s="11" t="str">
        <f aca="false">Apontamentos!C407</f>
        <v/>
      </c>
      <c r="B407" s="11" t="str">
        <f aca="false">IF(Apontamentos!$C407="","",Apontamentos!D407&amp;"")</f>
        <v/>
      </c>
      <c r="C407" s="11" t="str">
        <f aca="false">IF(Apontamentos!$C407="","",Apontamentos!E407&amp;"")</f>
        <v/>
      </c>
      <c r="D407" s="10" t="str">
        <f aca="false">IF(Apontamentos!$C407="","",Apontamentos!F407&amp;"")</f>
        <v/>
      </c>
      <c r="E407" s="10" t="str">
        <f aca="false">IF(Apontamentos!$C407="","",Apontamentos!G407&amp;"")</f>
        <v/>
      </c>
      <c r="F407" s="14"/>
      <c r="G407" s="14"/>
      <c r="H407" s="14"/>
      <c r="I407" s="14"/>
      <c r="J407" s="13"/>
      <c r="K407" s="13"/>
    </row>
    <row r="408" customFormat="false" ht="15" hidden="false" customHeight="false" outlineLevel="0" collapsed="false">
      <c r="A408" s="11" t="str">
        <f aca="false">Apontamentos!C408</f>
        <v/>
      </c>
      <c r="B408" s="11" t="str">
        <f aca="false">IF(Apontamentos!$C408="","",Apontamentos!D408&amp;"")</f>
        <v/>
      </c>
      <c r="C408" s="11" t="str">
        <f aca="false">IF(Apontamentos!$C408="","",Apontamentos!E408&amp;"")</f>
        <v/>
      </c>
      <c r="D408" s="10" t="str">
        <f aca="false">IF(Apontamentos!$C408="","",Apontamentos!F408&amp;"")</f>
        <v/>
      </c>
      <c r="E408" s="10" t="str">
        <f aca="false">IF(Apontamentos!$C408="","",Apontamentos!G408&amp;"")</f>
        <v/>
      </c>
      <c r="F408" s="14"/>
      <c r="G408" s="14"/>
      <c r="H408" s="14"/>
      <c r="I408" s="14"/>
      <c r="J408" s="13"/>
      <c r="K408" s="13"/>
    </row>
    <row r="409" customFormat="false" ht="15" hidden="false" customHeight="false" outlineLevel="0" collapsed="false">
      <c r="A409" s="11" t="str">
        <f aca="false">Apontamentos!C409</f>
        <v/>
      </c>
      <c r="B409" s="11" t="str">
        <f aca="false">IF(Apontamentos!$C409="","",Apontamentos!D409&amp;"")</f>
        <v/>
      </c>
      <c r="C409" s="11" t="str">
        <f aca="false">IF(Apontamentos!$C409="","",Apontamentos!E409&amp;"")</f>
        <v/>
      </c>
      <c r="D409" s="10" t="str">
        <f aca="false">IF(Apontamentos!$C409="","",Apontamentos!F409&amp;"")</f>
        <v/>
      </c>
      <c r="E409" s="10" t="str">
        <f aca="false">IF(Apontamentos!$C409="","",Apontamentos!G409&amp;"")</f>
        <v/>
      </c>
      <c r="F409" s="14"/>
      <c r="G409" s="14"/>
      <c r="H409" s="14"/>
      <c r="I409" s="14"/>
      <c r="J409" s="13"/>
      <c r="K409" s="13"/>
    </row>
    <row r="410" customFormat="false" ht="15" hidden="false" customHeight="false" outlineLevel="0" collapsed="false">
      <c r="A410" s="11" t="str">
        <f aca="false">Apontamentos!C410</f>
        <v/>
      </c>
      <c r="B410" s="11" t="str">
        <f aca="false">IF(Apontamentos!$C410="","",Apontamentos!D410&amp;"")</f>
        <v/>
      </c>
      <c r="C410" s="11" t="str">
        <f aca="false">IF(Apontamentos!$C410="","",Apontamentos!E410&amp;"")</f>
        <v/>
      </c>
      <c r="D410" s="10" t="str">
        <f aca="false">IF(Apontamentos!$C410="","",Apontamentos!F410&amp;"")</f>
        <v/>
      </c>
      <c r="E410" s="10" t="str">
        <f aca="false">IF(Apontamentos!$C410="","",Apontamentos!G410&amp;"")</f>
        <v/>
      </c>
      <c r="F410" s="14"/>
      <c r="G410" s="14"/>
      <c r="H410" s="14"/>
      <c r="I410" s="14"/>
      <c r="J410" s="13"/>
      <c r="K410" s="13"/>
    </row>
    <row r="411" customFormat="false" ht="15" hidden="false" customHeight="false" outlineLevel="0" collapsed="false">
      <c r="A411" s="11" t="str">
        <f aca="false">Apontamentos!C411</f>
        <v/>
      </c>
      <c r="B411" s="11" t="str">
        <f aca="false">IF(Apontamentos!$C411="","",Apontamentos!D411&amp;"")</f>
        <v/>
      </c>
      <c r="C411" s="11" t="str">
        <f aca="false">IF(Apontamentos!$C411="","",Apontamentos!E411&amp;"")</f>
        <v/>
      </c>
      <c r="D411" s="10" t="str">
        <f aca="false">IF(Apontamentos!$C411="","",Apontamentos!F411&amp;"")</f>
        <v/>
      </c>
      <c r="E411" s="10" t="str">
        <f aca="false">IF(Apontamentos!$C411="","",Apontamentos!G411&amp;"")</f>
        <v/>
      </c>
      <c r="F411" s="14"/>
      <c r="G411" s="14"/>
      <c r="H411" s="14"/>
      <c r="I411" s="14"/>
      <c r="J411" s="13"/>
      <c r="K411" s="13"/>
    </row>
    <row r="412" customFormat="false" ht="15" hidden="false" customHeight="false" outlineLevel="0" collapsed="false">
      <c r="A412" s="11" t="str">
        <f aca="false">Apontamentos!C412</f>
        <v/>
      </c>
      <c r="B412" s="11" t="str">
        <f aca="false">IF(Apontamentos!$C412="","",Apontamentos!D412&amp;"")</f>
        <v/>
      </c>
      <c r="C412" s="11" t="str">
        <f aca="false">IF(Apontamentos!$C412="","",Apontamentos!E412&amp;"")</f>
        <v/>
      </c>
      <c r="D412" s="10" t="str">
        <f aca="false">IF(Apontamentos!$C412="","",Apontamentos!F412&amp;"")</f>
        <v/>
      </c>
      <c r="E412" s="10" t="str">
        <f aca="false">IF(Apontamentos!$C412="","",Apontamentos!G412&amp;"")</f>
        <v/>
      </c>
      <c r="F412" s="14"/>
      <c r="G412" s="14"/>
      <c r="H412" s="14"/>
      <c r="I412" s="14"/>
      <c r="J412" s="13"/>
      <c r="K412" s="13"/>
    </row>
    <row r="413" customFormat="false" ht="15" hidden="false" customHeight="false" outlineLevel="0" collapsed="false">
      <c r="A413" s="11" t="str">
        <f aca="false">Apontamentos!C413</f>
        <v/>
      </c>
      <c r="B413" s="11" t="str">
        <f aca="false">IF(Apontamentos!$C413="","",Apontamentos!D413&amp;"")</f>
        <v/>
      </c>
      <c r="C413" s="11" t="str">
        <f aca="false">IF(Apontamentos!$C413="","",Apontamentos!E413&amp;"")</f>
        <v/>
      </c>
      <c r="D413" s="10" t="str">
        <f aca="false">IF(Apontamentos!$C413="","",Apontamentos!F413&amp;"")</f>
        <v/>
      </c>
      <c r="E413" s="10" t="str">
        <f aca="false">IF(Apontamentos!$C413="","",Apontamentos!G413&amp;"")</f>
        <v/>
      </c>
      <c r="F413" s="14"/>
      <c r="G413" s="14"/>
      <c r="H413" s="14"/>
      <c r="I413" s="14"/>
      <c r="J413" s="13"/>
      <c r="K413" s="13"/>
    </row>
    <row r="414" customFormat="false" ht="15" hidden="false" customHeight="false" outlineLevel="0" collapsed="false">
      <c r="A414" s="11" t="str">
        <f aca="false">Apontamentos!C414</f>
        <v/>
      </c>
      <c r="B414" s="11" t="str">
        <f aca="false">IF(Apontamentos!$C414="","",Apontamentos!D414&amp;"")</f>
        <v/>
      </c>
      <c r="C414" s="11" t="str">
        <f aca="false">IF(Apontamentos!$C414="","",Apontamentos!E414&amp;"")</f>
        <v/>
      </c>
      <c r="D414" s="10" t="str">
        <f aca="false">IF(Apontamentos!$C414="","",Apontamentos!F414&amp;"")</f>
        <v/>
      </c>
      <c r="E414" s="10" t="str">
        <f aca="false">IF(Apontamentos!$C414="","",Apontamentos!G414&amp;"")</f>
        <v/>
      </c>
      <c r="F414" s="14"/>
      <c r="G414" s="14"/>
      <c r="H414" s="14"/>
      <c r="I414" s="14"/>
      <c r="J414" s="13"/>
      <c r="K414" s="13"/>
    </row>
    <row r="415" customFormat="false" ht="15" hidden="false" customHeight="false" outlineLevel="0" collapsed="false">
      <c r="A415" s="11" t="str">
        <f aca="false">Apontamentos!C415</f>
        <v/>
      </c>
      <c r="B415" s="11" t="str">
        <f aca="false">IF(Apontamentos!$C415="","",Apontamentos!D415&amp;"")</f>
        <v/>
      </c>
      <c r="C415" s="11" t="str">
        <f aca="false">IF(Apontamentos!$C415="","",Apontamentos!E415&amp;"")</f>
        <v/>
      </c>
      <c r="D415" s="10" t="str">
        <f aca="false">IF(Apontamentos!$C415="","",Apontamentos!F415&amp;"")</f>
        <v/>
      </c>
      <c r="E415" s="10" t="str">
        <f aca="false">IF(Apontamentos!$C415="","",Apontamentos!G415&amp;"")</f>
        <v/>
      </c>
      <c r="F415" s="14"/>
      <c r="G415" s="14"/>
      <c r="H415" s="14"/>
      <c r="I415" s="14"/>
      <c r="J415" s="13"/>
      <c r="K415" s="13"/>
    </row>
    <row r="416" customFormat="false" ht="15" hidden="false" customHeight="false" outlineLevel="0" collapsed="false">
      <c r="A416" s="11" t="str">
        <f aca="false">Apontamentos!C416</f>
        <v/>
      </c>
      <c r="B416" s="11" t="str">
        <f aca="false">IF(Apontamentos!$C416="","",Apontamentos!D416&amp;"")</f>
        <v/>
      </c>
      <c r="C416" s="11" t="str">
        <f aca="false">IF(Apontamentos!$C416="","",Apontamentos!E416&amp;"")</f>
        <v/>
      </c>
      <c r="D416" s="10" t="str">
        <f aca="false">IF(Apontamentos!$C416="","",Apontamentos!F416&amp;"")</f>
        <v/>
      </c>
      <c r="E416" s="10" t="str">
        <f aca="false">IF(Apontamentos!$C416="","",Apontamentos!G416&amp;"")</f>
        <v/>
      </c>
      <c r="F416" s="14"/>
      <c r="G416" s="14"/>
      <c r="H416" s="14"/>
      <c r="I416" s="14"/>
      <c r="J416" s="13"/>
      <c r="K416" s="13"/>
    </row>
    <row r="417" customFormat="false" ht="15" hidden="false" customHeight="false" outlineLevel="0" collapsed="false">
      <c r="A417" s="11" t="str">
        <f aca="false">Apontamentos!C417</f>
        <v/>
      </c>
      <c r="B417" s="11" t="str">
        <f aca="false">IF(Apontamentos!$C417="","",Apontamentos!D417&amp;"")</f>
        <v/>
      </c>
      <c r="C417" s="11" t="str">
        <f aca="false">IF(Apontamentos!$C417="","",Apontamentos!E417&amp;"")</f>
        <v/>
      </c>
      <c r="D417" s="10" t="str">
        <f aca="false">IF(Apontamentos!$C417="","",Apontamentos!F417&amp;"")</f>
        <v/>
      </c>
      <c r="E417" s="10" t="str">
        <f aca="false">IF(Apontamentos!$C417="","",Apontamentos!G417&amp;"")</f>
        <v/>
      </c>
      <c r="F417" s="14"/>
      <c r="G417" s="14"/>
      <c r="H417" s="14"/>
      <c r="I417" s="14"/>
      <c r="J417" s="13"/>
      <c r="K417" s="13"/>
    </row>
    <row r="418" customFormat="false" ht="15" hidden="false" customHeight="false" outlineLevel="0" collapsed="false">
      <c r="A418" s="11" t="str">
        <f aca="false">Apontamentos!C418</f>
        <v/>
      </c>
      <c r="B418" s="11" t="str">
        <f aca="false">IF(Apontamentos!$C418="","",Apontamentos!D418&amp;"")</f>
        <v/>
      </c>
      <c r="C418" s="11" t="str">
        <f aca="false">IF(Apontamentos!$C418="","",Apontamentos!E418&amp;"")</f>
        <v/>
      </c>
      <c r="D418" s="10" t="str">
        <f aca="false">IF(Apontamentos!$C418="","",Apontamentos!F418&amp;"")</f>
        <v/>
      </c>
      <c r="E418" s="10" t="str">
        <f aca="false">IF(Apontamentos!$C418="","",Apontamentos!G418&amp;"")</f>
        <v/>
      </c>
      <c r="F418" s="14"/>
      <c r="G418" s="14"/>
      <c r="H418" s="14"/>
      <c r="I418" s="14"/>
      <c r="J418" s="13"/>
      <c r="K418" s="13"/>
    </row>
    <row r="419" customFormat="false" ht="15" hidden="false" customHeight="false" outlineLevel="0" collapsed="false">
      <c r="A419" s="11" t="str">
        <f aca="false">Apontamentos!C419</f>
        <v/>
      </c>
      <c r="B419" s="11" t="str">
        <f aca="false">IF(Apontamentos!$C419="","",Apontamentos!D419&amp;"")</f>
        <v/>
      </c>
      <c r="C419" s="11" t="str">
        <f aca="false">IF(Apontamentos!$C419="","",Apontamentos!E419&amp;"")</f>
        <v/>
      </c>
      <c r="D419" s="10" t="str">
        <f aca="false">IF(Apontamentos!$C419="","",Apontamentos!F419&amp;"")</f>
        <v/>
      </c>
      <c r="E419" s="10" t="str">
        <f aca="false">IF(Apontamentos!$C419="","",Apontamentos!G419&amp;"")</f>
        <v/>
      </c>
      <c r="F419" s="14"/>
      <c r="G419" s="14"/>
      <c r="H419" s="14"/>
      <c r="I419" s="14"/>
      <c r="J419" s="13"/>
      <c r="K419" s="13"/>
    </row>
    <row r="420" customFormat="false" ht="15" hidden="false" customHeight="false" outlineLevel="0" collapsed="false">
      <c r="A420" s="11" t="str">
        <f aca="false">Apontamentos!C420</f>
        <v/>
      </c>
      <c r="B420" s="11" t="str">
        <f aca="false">IF(Apontamentos!$C420="","",Apontamentos!D420&amp;"")</f>
        <v/>
      </c>
      <c r="C420" s="11" t="str">
        <f aca="false">IF(Apontamentos!$C420="","",Apontamentos!E420&amp;"")</f>
        <v/>
      </c>
      <c r="D420" s="10" t="str">
        <f aca="false">IF(Apontamentos!$C420="","",Apontamentos!F420&amp;"")</f>
        <v/>
      </c>
      <c r="E420" s="10" t="str">
        <f aca="false">IF(Apontamentos!$C420="","",Apontamentos!G420&amp;"")</f>
        <v/>
      </c>
      <c r="F420" s="14"/>
      <c r="G420" s="14"/>
      <c r="H420" s="14"/>
      <c r="I420" s="14"/>
      <c r="J420" s="13"/>
      <c r="K420" s="13"/>
    </row>
    <row r="421" customFormat="false" ht="15" hidden="false" customHeight="false" outlineLevel="0" collapsed="false">
      <c r="A421" s="11" t="str">
        <f aca="false">Apontamentos!C421</f>
        <v/>
      </c>
      <c r="B421" s="11" t="str">
        <f aca="false">IF(Apontamentos!$C421="","",Apontamentos!D421&amp;"")</f>
        <v/>
      </c>
      <c r="C421" s="11" t="str">
        <f aca="false">IF(Apontamentos!$C421="","",Apontamentos!E421&amp;"")</f>
        <v/>
      </c>
      <c r="D421" s="10" t="str">
        <f aca="false">IF(Apontamentos!$C421="","",Apontamentos!F421&amp;"")</f>
        <v/>
      </c>
      <c r="E421" s="10" t="str">
        <f aca="false">IF(Apontamentos!$C421="","",Apontamentos!G421&amp;"")</f>
        <v/>
      </c>
      <c r="F421" s="14"/>
      <c r="G421" s="14"/>
      <c r="H421" s="14"/>
      <c r="I421" s="14"/>
      <c r="J421" s="13"/>
      <c r="K421" s="13"/>
    </row>
    <row r="422" customFormat="false" ht="15" hidden="false" customHeight="false" outlineLevel="0" collapsed="false">
      <c r="A422" s="11" t="str">
        <f aca="false">Apontamentos!C422</f>
        <v/>
      </c>
      <c r="B422" s="11" t="str">
        <f aca="false">IF(Apontamentos!$C422="","",Apontamentos!D422&amp;"")</f>
        <v/>
      </c>
      <c r="C422" s="11" t="str">
        <f aca="false">IF(Apontamentos!$C422="","",Apontamentos!E422&amp;"")</f>
        <v/>
      </c>
      <c r="D422" s="10" t="str">
        <f aca="false">IF(Apontamentos!$C422="","",Apontamentos!F422&amp;"")</f>
        <v/>
      </c>
      <c r="E422" s="10" t="str">
        <f aca="false">IF(Apontamentos!$C422="","",Apontamentos!G422&amp;"")</f>
        <v/>
      </c>
      <c r="F422" s="14"/>
      <c r="G422" s="14"/>
      <c r="H422" s="14"/>
      <c r="I422" s="14"/>
      <c r="J422" s="13"/>
      <c r="K422" s="13"/>
    </row>
    <row r="423" customFormat="false" ht="15" hidden="false" customHeight="false" outlineLevel="0" collapsed="false">
      <c r="A423" s="11" t="str">
        <f aca="false">Apontamentos!C423</f>
        <v/>
      </c>
      <c r="B423" s="11" t="str">
        <f aca="false">IF(Apontamentos!$C423="","",Apontamentos!D423&amp;"")</f>
        <v/>
      </c>
      <c r="C423" s="11" t="str">
        <f aca="false">IF(Apontamentos!$C423="","",Apontamentos!E423&amp;"")</f>
        <v/>
      </c>
      <c r="D423" s="10" t="str">
        <f aca="false">IF(Apontamentos!$C423="","",Apontamentos!F423&amp;"")</f>
        <v/>
      </c>
      <c r="E423" s="10" t="str">
        <f aca="false">IF(Apontamentos!$C423="","",Apontamentos!G423&amp;"")</f>
        <v/>
      </c>
      <c r="F423" s="14"/>
      <c r="G423" s="14"/>
      <c r="H423" s="14"/>
      <c r="I423" s="14"/>
      <c r="J423" s="13"/>
      <c r="K423" s="13"/>
    </row>
    <row r="424" customFormat="false" ht="15" hidden="false" customHeight="false" outlineLevel="0" collapsed="false">
      <c r="A424" s="11" t="str">
        <f aca="false">Apontamentos!C424</f>
        <v/>
      </c>
      <c r="B424" s="11" t="str">
        <f aca="false">IF(Apontamentos!$C424="","",Apontamentos!D424&amp;"")</f>
        <v/>
      </c>
      <c r="C424" s="11" t="str">
        <f aca="false">IF(Apontamentos!$C424="","",Apontamentos!E424&amp;"")</f>
        <v/>
      </c>
      <c r="D424" s="10" t="str">
        <f aca="false">IF(Apontamentos!$C424="","",Apontamentos!F424&amp;"")</f>
        <v/>
      </c>
      <c r="E424" s="10" t="str">
        <f aca="false">IF(Apontamentos!$C424="","",Apontamentos!G424&amp;"")</f>
        <v/>
      </c>
      <c r="F424" s="14"/>
      <c r="G424" s="14"/>
      <c r="H424" s="14"/>
      <c r="I424" s="14"/>
      <c r="J424" s="13"/>
      <c r="K424" s="13"/>
    </row>
    <row r="425" customFormat="false" ht="15" hidden="false" customHeight="false" outlineLevel="0" collapsed="false">
      <c r="A425" s="11" t="str">
        <f aca="false">Apontamentos!C425</f>
        <v/>
      </c>
      <c r="B425" s="11" t="str">
        <f aca="false">IF(Apontamentos!$C425="","",Apontamentos!D425&amp;"")</f>
        <v/>
      </c>
      <c r="C425" s="11" t="str">
        <f aca="false">IF(Apontamentos!$C425="","",Apontamentos!E425&amp;"")</f>
        <v/>
      </c>
      <c r="D425" s="10" t="str">
        <f aca="false">IF(Apontamentos!$C425="","",Apontamentos!F425&amp;"")</f>
        <v/>
      </c>
      <c r="E425" s="10" t="str">
        <f aca="false">IF(Apontamentos!$C425="","",Apontamentos!G425&amp;"")</f>
        <v/>
      </c>
      <c r="F425" s="14"/>
      <c r="G425" s="14"/>
      <c r="H425" s="14"/>
      <c r="I425" s="14"/>
      <c r="J425" s="13"/>
      <c r="K425" s="13"/>
    </row>
    <row r="426" customFormat="false" ht="15" hidden="false" customHeight="false" outlineLevel="0" collapsed="false">
      <c r="A426" s="11" t="str">
        <f aca="false">Apontamentos!C426</f>
        <v/>
      </c>
      <c r="B426" s="11" t="str">
        <f aca="false">IF(Apontamentos!$C426="","",Apontamentos!D426&amp;"")</f>
        <v/>
      </c>
      <c r="C426" s="11" t="str">
        <f aca="false">IF(Apontamentos!$C426="","",Apontamentos!E426&amp;"")</f>
        <v/>
      </c>
      <c r="D426" s="10" t="str">
        <f aca="false">IF(Apontamentos!$C426="","",Apontamentos!F426&amp;"")</f>
        <v/>
      </c>
      <c r="E426" s="10" t="str">
        <f aca="false">IF(Apontamentos!$C426="","",Apontamentos!G426&amp;"")</f>
        <v/>
      </c>
      <c r="F426" s="14"/>
      <c r="G426" s="14"/>
      <c r="H426" s="14"/>
      <c r="I426" s="14"/>
      <c r="J426" s="13"/>
      <c r="K426" s="13"/>
    </row>
    <row r="427" customFormat="false" ht="15" hidden="false" customHeight="false" outlineLevel="0" collapsed="false">
      <c r="A427" s="11" t="str">
        <f aca="false">Apontamentos!C427</f>
        <v/>
      </c>
      <c r="B427" s="11" t="str">
        <f aca="false">IF(Apontamentos!$C427="","",Apontamentos!D427&amp;"")</f>
        <v/>
      </c>
      <c r="C427" s="11" t="str">
        <f aca="false">IF(Apontamentos!$C427="","",Apontamentos!E427&amp;"")</f>
        <v/>
      </c>
      <c r="D427" s="10" t="str">
        <f aca="false">IF(Apontamentos!$C427="","",Apontamentos!F427&amp;"")</f>
        <v/>
      </c>
      <c r="E427" s="10" t="str">
        <f aca="false">IF(Apontamentos!$C427="","",Apontamentos!G427&amp;"")</f>
        <v/>
      </c>
      <c r="F427" s="14"/>
      <c r="G427" s="14"/>
      <c r="H427" s="14"/>
      <c r="I427" s="14"/>
      <c r="J427" s="13"/>
      <c r="K427" s="13"/>
    </row>
    <row r="428" customFormat="false" ht="15" hidden="false" customHeight="false" outlineLevel="0" collapsed="false">
      <c r="A428" s="11" t="str">
        <f aca="false">Apontamentos!C428</f>
        <v/>
      </c>
      <c r="B428" s="11" t="str">
        <f aca="false">IF(Apontamentos!$C428="","",Apontamentos!D428&amp;"")</f>
        <v/>
      </c>
      <c r="C428" s="11" t="str">
        <f aca="false">IF(Apontamentos!$C428="","",Apontamentos!E428&amp;"")</f>
        <v/>
      </c>
      <c r="D428" s="10" t="str">
        <f aca="false">IF(Apontamentos!$C428="","",Apontamentos!F428&amp;"")</f>
        <v/>
      </c>
      <c r="E428" s="10" t="str">
        <f aca="false">IF(Apontamentos!$C428="","",Apontamentos!G428&amp;"")</f>
        <v/>
      </c>
      <c r="F428" s="14"/>
      <c r="G428" s="14"/>
      <c r="H428" s="14"/>
      <c r="I428" s="14"/>
      <c r="J428" s="13"/>
      <c r="K428" s="13"/>
    </row>
    <row r="429" customFormat="false" ht="15" hidden="false" customHeight="false" outlineLevel="0" collapsed="false">
      <c r="A429" s="11" t="str">
        <f aca="false">Apontamentos!C429</f>
        <v/>
      </c>
      <c r="B429" s="11" t="str">
        <f aca="false">IF(Apontamentos!$C429="","",Apontamentos!D429&amp;"")</f>
        <v/>
      </c>
      <c r="C429" s="11" t="str">
        <f aca="false">IF(Apontamentos!$C429="","",Apontamentos!E429&amp;"")</f>
        <v/>
      </c>
      <c r="D429" s="10" t="str">
        <f aca="false">IF(Apontamentos!$C429="","",Apontamentos!F429&amp;"")</f>
        <v/>
      </c>
      <c r="E429" s="10" t="str">
        <f aca="false">IF(Apontamentos!$C429="","",Apontamentos!G429&amp;"")</f>
        <v/>
      </c>
      <c r="F429" s="14"/>
      <c r="G429" s="14"/>
      <c r="H429" s="14"/>
      <c r="I429" s="14"/>
      <c r="J429" s="13"/>
      <c r="K429" s="13"/>
    </row>
    <row r="430" customFormat="false" ht="15" hidden="false" customHeight="false" outlineLevel="0" collapsed="false">
      <c r="A430" s="11" t="str">
        <f aca="false">Apontamentos!C430</f>
        <v/>
      </c>
      <c r="B430" s="11" t="str">
        <f aca="false">IF(Apontamentos!$C430="","",Apontamentos!D430&amp;"")</f>
        <v/>
      </c>
      <c r="C430" s="11" t="str">
        <f aca="false">IF(Apontamentos!$C430="","",Apontamentos!E430&amp;"")</f>
        <v/>
      </c>
      <c r="D430" s="10" t="str">
        <f aca="false">IF(Apontamentos!$C430="","",Apontamentos!F430&amp;"")</f>
        <v/>
      </c>
      <c r="E430" s="10" t="str">
        <f aca="false">IF(Apontamentos!$C430="","",Apontamentos!G430&amp;"")</f>
        <v/>
      </c>
      <c r="F430" s="14"/>
      <c r="G430" s="14"/>
      <c r="H430" s="14"/>
      <c r="I430" s="14"/>
      <c r="J430" s="13"/>
      <c r="K430" s="13"/>
    </row>
    <row r="431" customFormat="false" ht="15" hidden="false" customHeight="false" outlineLevel="0" collapsed="false">
      <c r="A431" s="11" t="str">
        <f aca="false">Apontamentos!C431</f>
        <v/>
      </c>
      <c r="B431" s="11" t="str">
        <f aca="false">IF(Apontamentos!$C431="","",Apontamentos!D431&amp;"")</f>
        <v/>
      </c>
      <c r="C431" s="11" t="str">
        <f aca="false">IF(Apontamentos!$C431="","",Apontamentos!E431&amp;"")</f>
        <v/>
      </c>
      <c r="D431" s="10" t="str">
        <f aca="false">IF(Apontamentos!$C431="","",Apontamentos!F431&amp;"")</f>
        <v/>
      </c>
      <c r="E431" s="10" t="str">
        <f aca="false">IF(Apontamentos!$C431="","",Apontamentos!G431&amp;"")</f>
        <v/>
      </c>
      <c r="F431" s="14"/>
      <c r="G431" s="14"/>
      <c r="H431" s="14"/>
      <c r="I431" s="14"/>
      <c r="J431" s="13"/>
      <c r="K431" s="13"/>
    </row>
    <row r="432" customFormat="false" ht="15" hidden="false" customHeight="false" outlineLevel="0" collapsed="false">
      <c r="A432" s="11" t="str">
        <f aca="false">Apontamentos!C432</f>
        <v/>
      </c>
      <c r="B432" s="11" t="str">
        <f aca="false">IF(Apontamentos!$C432="","",Apontamentos!D432&amp;"")</f>
        <v/>
      </c>
      <c r="C432" s="11" t="str">
        <f aca="false">IF(Apontamentos!$C432="","",Apontamentos!E432&amp;"")</f>
        <v/>
      </c>
      <c r="D432" s="10" t="str">
        <f aca="false">IF(Apontamentos!$C432="","",Apontamentos!F432&amp;"")</f>
        <v/>
      </c>
      <c r="E432" s="10" t="str">
        <f aca="false">IF(Apontamentos!$C432="","",Apontamentos!G432&amp;"")</f>
        <v/>
      </c>
      <c r="F432" s="14"/>
      <c r="G432" s="14"/>
      <c r="H432" s="14"/>
      <c r="I432" s="14"/>
      <c r="J432" s="13"/>
      <c r="K432" s="13"/>
    </row>
    <row r="433" customFormat="false" ht="15" hidden="false" customHeight="false" outlineLevel="0" collapsed="false">
      <c r="A433" s="11" t="str">
        <f aca="false">Apontamentos!C433</f>
        <v/>
      </c>
      <c r="B433" s="11" t="str">
        <f aca="false">IF(Apontamentos!$C433="","",Apontamentos!D433&amp;"")</f>
        <v/>
      </c>
      <c r="C433" s="11" t="str">
        <f aca="false">IF(Apontamentos!$C433="","",Apontamentos!E433&amp;"")</f>
        <v/>
      </c>
      <c r="D433" s="10" t="str">
        <f aca="false">IF(Apontamentos!$C433="","",Apontamentos!F433&amp;"")</f>
        <v/>
      </c>
      <c r="E433" s="10" t="str">
        <f aca="false">IF(Apontamentos!$C433="","",Apontamentos!G433&amp;"")</f>
        <v/>
      </c>
      <c r="F433" s="14"/>
      <c r="G433" s="14"/>
      <c r="H433" s="14"/>
      <c r="I433" s="14"/>
      <c r="J433" s="13"/>
      <c r="K433" s="13"/>
    </row>
    <row r="434" customFormat="false" ht="15" hidden="false" customHeight="false" outlineLevel="0" collapsed="false">
      <c r="A434" s="11" t="str">
        <f aca="false">Apontamentos!C434</f>
        <v/>
      </c>
      <c r="B434" s="11" t="str">
        <f aca="false">IF(Apontamentos!$C434="","",Apontamentos!D434&amp;"")</f>
        <v/>
      </c>
      <c r="C434" s="11" t="str">
        <f aca="false">IF(Apontamentos!$C434="","",Apontamentos!E434&amp;"")</f>
        <v/>
      </c>
      <c r="D434" s="10" t="str">
        <f aca="false">IF(Apontamentos!$C434="","",Apontamentos!F434&amp;"")</f>
        <v/>
      </c>
      <c r="E434" s="10" t="str">
        <f aca="false">IF(Apontamentos!$C434="","",Apontamentos!G434&amp;"")</f>
        <v/>
      </c>
      <c r="F434" s="14"/>
      <c r="G434" s="14"/>
      <c r="H434" s="14"/>
      <c r="I434" s="14"/>
      <c r="J434" s="13"/>
      <c r="K434" s="13"/>
    </row>
    <row r="435" customFormat="false" ht="15" hidden="false" customHeight="false" outlineLevel="0" collapsed="false">
      <c r="A435" s="11" t="str">
        <f aca="false">Apontamentos!C435</f>
        <v/>
      </c>
      <c r="B435" s="11" t="str">
        <f aca="false">IF(Apontamentos!$C435="","",Apontamentos!D435&amp;"")</f>
        <v/>
      </c>
      <c r="C435" s="11" t="str">
        <f aca="false">IF(Apontamentos!$C435="","",Apontamentos!E435&amp;"")</f>
        <v/>
      </c>
      <c r="D435" s="10" t="str">
        <f aca="false">IF(Apontamentos!$C435="","",Apontamentos!F435&amp;"")</f>
        <v/>
      </c>
      <c r="E435" s="10" t="str">
        <f aca="false">IF(Apontamentos!$C435="","",Apontamentos!G435&amp;"")</f>
        <v/>
      </c>
      <c r="F435" s="14"/>
      <c r="G435" s="14"/>
      <c r="H435" s="14"/>
      <c r="I435" s="14"/>
      <c r="J435" s="13"/>
      <c r="K435" s="13"/>
    </row>
    <row r="436" customFormat="false" ht="15" hidden="false" customHeight="false" outlineLevel="0" collapsed="false">
      <c r="A436" s="11" t="str">
        <f aca="false">Apontamentos!C436</f>
        <v/>
      </c>
      <c r="B436" s="11" t="str">
        <f aca="false">IF(Apontamentos!$C436="","",Apontamentos!D436&amp;"")</f>
        <v/>
      </c>
      <c r="C436" s="11" t="str">
        <f aca="false">IF(Apontamentos!$C436="","",Apontamentos!E436&amp;"")</f>
        <v/>
      </c>
      <c r="D436" s="10" t="str">
        <f aca="false">IF(Apontamentos!$C436="","",Apontamentos!F436&amp;"")</f>
        <v/>
      </c>
      <c r="E436" s="10" t="str">
        <f aca="false">IF(Apontamentos!$C436="","",Apontamentos!G436&amp;"")</f>
        <v/>
      </c>
      <c r="F436" s="14"/>
      <c r="G436" s="14"/>
      <c r="H436" s="14"/>
      <c r="I436" s="14"/>
      <c r="J436" s="13"/>
      <c r="K436" s="13"/>
    </row>
    <row r="437" customFormat="false" ht="15" hidden="false" customHeight="false" outlineLevel="0" collapsed="false">
      <c r="A437" s="11" t="str">
        <f aca="false">Apontamentos!C437</f>
        <v/>
      </c>
      <c r="B437" s="11" t="str">
        <f aca="false">IF(Apontamentos!$C437="","",Apontamentos!D437&amp;"")</f>
        <v/>
      </c>
      <c r="C437" s="11" t="str">
        <f aca="false">IF(Apontamentos!$C437="","",Apontamentos!E437&amp;"")</f>
        <v/>
      </c>
      <c r="D437" s="10" t="str">
        <f aca="false">IF(Apontamentos!$C437="","",Apontamentos!F437&amp;"")</f>
        <v/>
      </c>
      <c r="E437" s="10" t="str">
        <f aca="false">IF(Apontamentos!$C437="","",Apontamentos!G437&amp;"")</f>
        <v/>
      </c>
      <c r="F437" s="14"/>
      <c r="G437" s="14"/>
      <c r="H437" s="14"/>
      <c r="I437" s="14"/>
      <c r="J437" s="13"/>
      <c r="K437" s="13"/>
    </row>
    <row r="438" customFormat="false" ht="15" hidden="false" customHeight="false" outlineLevel="0" collapsed="false">
      <c r="A438" s="11" t="str">
        <f aca="false">Apontamentos!C438</f>
        <v/>
      </c>
      <c r="B438" s="11" t="str">
        <f aca="false">IF(Apontamentos!$C438="","",Apontamentos!D438&amp;"")</f>
        <v/>
      </c>
      <c r="C438" s="11" t="str">
        <f aca="false">IF(Apontamentos!$C438="","",Apontamentos!E438&amp;"")</f>
        <v/>
      </c>
      <c r="D438" s="10" t="str">
        <f aca="false">IF(Apontamentos!$C438="","",Apontamentos!F438&amp;"")</f>
        <v/>
      </c>
      <c r="E438" s="10" t="str">
        <f aca="false">IF(Apontamentos!$C438="","",Apontamentos!G438&amp;"")</f>
        <v/>
      </c>
      <c r="F438" s="14"/>
      <c r="G438" s="14"/>
      <c r="H438" s="14"/>
      <c r="I438" s="14"/>
      <c r="J438" s="13"/>
      <c r="K438" s="13"/>
    </row>
    <row r="439" customFormat="false" ht="15" hidden="false" customHeight="false" outlineLevel="0" collapsed="false">
      <c r="A439" s="11" t="str">
        <f aca="false">Apontamentos!C439</f>
        <v/>
      </c>
      <c r="B439" s="11" t="str">
        <f aca="false">IF(Apontamentos!$C439="","",Apontamentos!D439&amp;"")</f>
        <v/>
      </c>
      <c r="C439" s="11" t="str">
        <f aca="false">IF(Apontamentos!$C439="","",Apontamentos!E439&amp;"")</f>
        <v/>
      </c>
      <c r="D439" s="10" t="str">
        <f aca="false">IF(Apontamentos!$C439="","",Apontamentos!F439&amp;"")</f>
        <v/>
      </c>
      <c r="E439" s="10" t="str">
        <f aca="false">IF(Apontamentos!$C439="","",Apontamentos!G439&amp;"")</f>
        <v/>
      </c>
      <c r="F439" s="14"/>
      <c r="G439" s="14"/>
      <c r="H439" s="14"/>
      <c r="I439" s="14"/>
      <c r="J439" s="13"/>
      <c r="K439" s="13"/>
    </row>
    <row r="440" customFormat="false" ht="15" hidden="false" customHeight="false" outlineLevel="0" collapsed="false">
      <c r="A440" s="11" t="str">
        <f aca="false">Apontamentos!C440</f>
        <v/>
      </c>
      <c r="B440" s="11" t="str">
        <f aca="false">IF(Apontamentos!$C440="","",Apontamentos!D440&amp;"")</f>
        <v/>
      </c>
      <c r="C440" s="11" t="str">
        <f aca="false">IF(Apontamentos!$C440="","",Apontamentos!E440&amp;"")</f>
        <v/>
      </c>
      <c r="D440" s="10" t="str">
        <f aca="false">IF(Apontamentos!$C440="","",Apontamentos!F440&amp;"")</f>
        <v/>
      </c>
      <c r="E440" s="10" t="str">
        <f aca="false">IF(Apontamentos!$C440="","",Apontamentos!G440&amp;"")</f>
        <v/>
      </c>
      <c r="F440" s="14"/>
      <c r="G440" s="14"/>
      <c r="H440" s="14"/>
      <c r="I440" s="14"/>
      <c r="J440" s="13"/>
      <c r="K440" s="13"/>
    </row>
    <row r="441" customFormat="false" ht="15" hidden="false" customHeight="false" outlineLevel="0" collapsed="false">
      <c r="A441" s="11" t="str">
        <f aca="false">Apontamentos!C441</f>
        <v/>
      </c>
      <c r="B441" s="11" t="str">
        <f aca="false">IF(Apontamentos!$C441="","",Apontamentos!D441&amp;"")</f>
        <v/>
      </c>
      <c r="C441" s="11" t="str">
        <f aca="false">IF(Apontamentos!$C441="","",Apontamentos!E441&amp;"")</f>
        <v/>
      </c>
      <c r="D441" s="10" t="str">
        <f aca="false">IF(Apontamentos!$C441="","",Apontamentos!F441&amp;"")</f>
        <v/>
      </c>
      <c r="E441" s="10" t="str">
        <f aca="false">IF(Apontamentos!$C441="","",Apontamentos!G441&amp;"")</f>
        <v/>
      </c>
      <c r="F441" s="14"/>
      <c r="G441" s="14"/>
      <c r="H441" s="14"/>
      <c r="I441" s="14"/>
      <c r="J441" s="13"/>
      <c r="K441" s="13"/>
    </row>
    <row r="442" customFormat="false" ht="15" hidden="false" customHeight="false" outlineLevel="0" collapsed="false">
      <c r="A442" s="11" t="str">
        <f aca="false">Apontamentos!C442</f>
        <v/>
      </c>
      <c r="B442" s="11" t="str">
        <f aca="false">IF(Apontamentos!$C442="","",Apontamentos!D442&amp;"")</f>
        <v/>
      </c>
      <c r="C442" s="11" t="str">
        <f aca="false">IF(Apontamentos!$C442="","",Apontamentos!E442&amp;"")</f>
        <v/>
      </c>
      <c r="D442" s="10" t="str">
        <f aca="false">IF(Apontamentos!$C442="","",Apontamentos!F442&amp;"")</f>
        <v/>
      </c>
      <c r="E442" s="10" t="str">
        <f aca="false">IF(Apontamentos!$C442="","",Apontamentos!G442&amp;"")</f>
        <v/>
      </c>
      <c r="F442" s="14"/>
      <c r="G442" s="14"/>
      <c r="H442" s="14"/>
      <c r="I442" s="14"/>
      <c r="J442" s="13"/>
      <c r="K442" s="13"/>
    </row>
    <row r="443" customFormat="false" ht="15" hidden="false" customHeight="false" outlineLevel="0" collapsed="false">
      <c r="A443" s="11" t="str">
        <f aca="false">Apontamentos!C443</f>
        <v/>
      </c>
      <c r="B443" s="11" t="str">
        <f aca="false">IF(Apontamentos!$C443="","",Apontamentos!D443&amp;"")</f>
        <v/>
      </c>
      <c r="C443" s="11" t="str">
        <f aca="false">IF(Apontamentos!$C443="","",Apontamentos!E443&amp;"")</f>
        <v/>
      </c>
      <c r="D443" s="10" t="str">
        <f aca="false">IF(Apontamentos!$C443="","",Apontamentos!F443&amp;"")</f>
        <v/>
      </c>
      <c r="E443" s="10" t="str">
        <f aca="false">IF(Apontamentos!$C443="","",Apontamentos!G443&amp;"")</f>
        <v/>
      </c>
      <c r="F443" s="14"/>
      <c r="G443" s="14"/>
      <c r="H443" s="14"/>
      <c r="I443" s="14"/>
      <c r="J443" s="13"/>
      <c r="K443" s="13"/>
    </row>
    <row r="444" customFormat="false" ht="15" hidden="false" customHeight="false" outlineLevel="0" collapsed="false">
      <c r="A444" s="11" t="str">
        <f aca="false">Apontamentos!C444</f>
        <v/>
      </c>
      <c r="B444" s="11" t="str">
        <f aca="false">IF(Apontamentos!$C444="","",Apontamentos!D444&amp;"")</f>
        <v/>
      </c>
      <c r="C444" s="11" t="str">
        <f aca="false">IF(Apontamentos!$C444="","",Apontamentos!E444&amp;"")</f>
        <v/>
      </c>
      <c r="D444" s="10" t="str">
        <f aca="false">IF(Apontamentos!$C444="","",Apontamentos!F444&amp;"")</f>
        <v/>
      </c>
      <c r="E444" s="10" t="str">
        <f aca="false">IF(Apontamentos!$C444="","",Apontamentos!G444&amp;"")</f>
        <v/>
      </c>
      <c r="F444" s="14"/>
      <c r="G444" s="14"/>
      <c r="H444" s="14"/>
      <c r="I444" s="14"/>
      <c r="J444" s="13"/>
      <c r="K444" s="13"/>
    </row>
    <row r="445" customFormat="false" ht="15" hidden="false" customHeight="false" outlineLevel="0" collapsed="false">
      <c r="A445" s="11" t="str">
        <f aca="false">Apontamentos!C445</f>
        <v/>
      </c>
      <c r="B445" s="11" t="str">
        <f aca="false">IF(Apontamentos!$C445="","",Apontamentos!D445&amp;"")</f>
        <v/>
      </c>
      <c r="C445" s="11" t="str">
        <f aca="false">IF(Apontamentos!$C445="","",Apontamentos!E445&amp;"")</f>
        <v/>
      </c>
      <c r="D445" s="10" t="str">
        <f aca="false">IF(Apontamentos!$C445="","",Apontamentos!F445&amp;"")</f>
        <v/>
      </c>
      <c r="E445" s="10" t="str">
        <f aca="false">IF(Apontamentos!$C445="","",Apontamentos!G445&amp;"")</f>
        <v/>
      </c>
      <c r="F445" s="14"/>
      <c r="G445" s="14"/>
      <c r="H445" s="14"/>
      <c r="I445" s="14"/>
      <c r="J445" s="13"/>
      <c r="K445" s="13"/>
    </row>
    <row r="446" customFormat="false" ht="15" hidden="false" customHeight="false" outlineLevel="0" collapsed="false">
      <c r="A446" s="11" t="str">
        <f aca="false">Apontamentos!C446</f>
        <v/>
      </c>
      <c r="B446" s="11" t="str">
        <f aca="false">IF(Apontamentos!$C446="","",Apontamentos!D446&amp;"")</f>
        <v/>
      </c>
      <c r="C446" s="11" t="str">
        <f aca="false">IF(Apontamentos!$C446="","",Apontamentos!E446&amp;"")</f>
        <v/>
      </c>
      <c r="D446" s="10" t="str">
        <f aca="false">IF(Apontamentos!$C446="","",Apontamentos!F446&amp;"")</f>
        <v/>
      </c>
      <c r="E446" s="10" t="str">
        <f aca="false">IF(Apontamentos!$C446="","",Apontamentos!G446&amp;"")</f>
        <v/>
      </c>
      <c r="F446" s="14"/>
      <c r="G446" s="14"/>
      <c r="H446" s="14"/>
      <c r="I446" s="14"/>
      <c r="J446" s="13"/>
      <c r="K446" s="13"/>
    </row>
    <row r="447" customFormat="false" ht="15" hidden="false" customHeight="false" outlineLevel="0" collapsed="false">
      <c r="A447" s="11" t="str">
        <f aca="false">Apontamentos!C447</f>
        <v/>
      </c>
      <c r="B447" s="11" t="str">
        <f aca="false">IF(Apontamentos!$C447="","",Apontamentos!D447&amp;"")</f>
        <v/>
      </c>
      <c r="C447" s="11" t="str">
        <f aca="false">IF(Apontamentos!$C447="","",Apontamentos!E447&amp;"")</f>
        <v/>
      </c>
      <c r="D447" s="10" t="str">
        <f aca="false">IF(Apontamentos!$C447="","",Apontamentos!F447&amp;"")</f>
        <v/>
      </c>
      <c r="E447" s="10" t="str">
        <f aca="false">IF(Apontamentos!$C447="","",Apontamentos!G447&amp;"")</f>
        <v/>
      </c>
      <c r="F447" s="14"/>
      <c r="G447" s="14"/>
      <c r="H447" s="14"/>
      <c r="I447" s="14"/>
      <c r="J447" s="13"/>
      <c r="K447" s="13"/>
    </row>
    <row r="448" customFormat="false" ht="15" hidden="false" customHeight="false" outlineLevel="0" collapsed="false">
      <c r="A448" s="11" t="str">
        <f aca="false">Apontamentos!C448</f>
        <v/>
      </c>
      <c r="B448" s="11" t="str">
        <f aca="false">IF(Apontamentos!$C448="","",Apontamentos!D448&amp;"")</f>
        <v/>
      </c>
      <c r="C448" s="11" t="str">
        <f aca="false">IF(Apontamentos!$C448="","",Apontamentos!E448&amp;"")</f>
        <v/>
      </c>
      <c r="D448" s="10" t="str">
        <f aca="false">IF(Apontamentos!$C448="","",Apontamentos!F448&amp;"")</f>
        <v/>
      </c>
      <c r="E448" s="10" t="str">
        <f aca="false">IF(Apontamentos!$C448="","",Apontamentos!G448&amp;"")</f>
        <v/>
      </c>
      <c r="F448" s="14"/>
      <c r="G448" s="14"/>
      <c r="H448" s="14"/>
      <c r="I448" s="14"/>
      <c r="J448" s="13"/>
      <c r="K448" s="13"/>
    </row>
    <row r="449" customFormat="false" ht="15" hidden="false" customHeight="false" outlineLevel="0" collapsed="false">
      <c r="A449" s="11" t="str">
        <f aca="false">Apontamentos!C449</f>
        <v/>
      </c>
      <c r="B449" s="11" t="str">
        <f aca="false">IF(Apontamentos!$C449="","",Apontamentos!D449&amp;"")</f>
        <v/>
      </c>
      <c r="C449" s="11" t="str">
        <f aca="false">IF(Apontamentos!$C449="","",Apontamentos!E449&amp;"")</f>
        <v/>
      </c>
      <c r="D449" s="10" t="str">
        <f aca="false">IF(Apontamentos!$C449="","",Apontamentos!F449&amp;"")</f>
        <v/>
      </c>
      <c r="E449" s="10" t="str">
        <f aca="false">IF(Apontamentos!$C449="","",Apontamentos!G449&amp;"")</f>
        <v/>
      </c>
      <c r="F449" s="14"/>
      <c r="G449" s="14"/>
      <c r="H449" s="14"/>
      <c r="I449" s="14"/>
      <c r="J449" s="13"/>
      <c r="K449" s="13"/>
    </row>
    <row r="450" customFormat="false" ht="15" hidden="false" customHeight="false" outlineLevel="0" collapsed="false">
      <c r="A450" s="11" t="str">
        <f aca="false">Apontamentos!C450</f>
        <v/>
      </c>
      <c r="B450" s="11" t="str">
        <f aca="false">IF(Apontamentos!$C450="","",Apontamentos!D450&amp;"")</f>
        <v/>
      </c>
      <c r="C450" s="11" t="str">
        <f aca="false">IF(Apontamentos!$C450="","",Apontamentos!E450&amp;"")</f>
        <v/>
      </c>
      <c r="D450" s="10" t="str">
        <f aca="false">IF(Apontamentos!$C450="","",Apontamentos!F450&amp;"")</f>
        <v/>
      </c>
      <c r="E450" s="10" t="str">
        <f aca="false">IF(Apontamentos!$C450="","",Apontamentos!G450&amp;"")</f>
        <v/>
      </c>
      <c r="F450" s="14"/>
      <c r="G450" s="14"/>
      <c r="H450" s="14"/>
      <c r="I450" s="14"/>
      <c r="J450" s="13"/>
      <c r="K450" s="13"/>
    </row>
    <row r="451" customFormat="false" ht="15" hidden="false" customHeight="false" outlineLevel="0" collapsed="false">
      <c r="A451" s="11" t="str">
        <f aca="false">Apontamentos!C451</f>
        <v/>
      </c>
      <c r="B451" s="11" t="str">
        <f aca="false">IF(Apontamentos!$C451="","",Apontamentos!D451&amp;"")</f>
        <v/>
      </c>
      <c r="C451" s="11" t="str">
        <f aca="false">IF(Apontamentos!$C451="","",Apontamentos!E451&amp;"")</f>
        <v/>
      </c>
      <c r="D451" s="10" t="str">
        <f aca="false">IF(Apontamentos!$C451="","",Apontamentos!F451&amp;"")</f>
        <v/>
      </c>
      <c r="E451" s="10" t="str">
        <f aca="false">IF(Apontamentos!$C451="","",Apontamentos!G451&amp;"")</f>
        <v/>
      </c>
      <c r="F451" s="14"/>
      <c r="G451" s="14"/>
      <c r="H451" s="14"/>
      <c r="I451" s="14"/>
      <c r="J451" s="13"/>
      <c r="K451" s="13"/>
    </row>
    <row r="452" customFormat="false" ht="15" hidden="false" customHeight="false" outlineLevel="0" collapsed="false">
      <c r="A452" s="11" t="str">
        <f aca="false">Apontamentos!C452</f>
        <v/>
      </c>
      <c r="B452" s="11" t="str">
        <f aca="false">IF(Apontamentos!$C452="","",Apontamentos!D452&amp;"")</f>
        <v/>
      </c>
      <c r="C452" s="11" t="str">
        <f aca="false">IF(Apontamentos!$C452="","",Apontamentos!E452&amp;"")</f>
        <v/>
      </c>
      <c r="D452" s="10" t="str">
        <f aca="false">IF(Apontamentos!$C452="","",Apontamentos!F452&amp;"")</f>
        <v/>
      </c>
      <c r="E452" s="10" t="str">
        <f aca="false">IF(Apontamentos!$C452="","",Apontamentos!G452&amp;"")</f>
        <v/>
      </c>
      <c r="F452" s="14"/>
      <c r="G452" s="14"/>
      <c r="H452" s="14"/>
      <c r="I452" s="14"/>
      <c r="J452" s="13"/>
      <c r="K452" s="13"/>
    </row>
    <row r="453" customFormat="false" ht="15" hidden="false" customHeight="false" outlineLevel="0" collapsed="false">
      <c r="A453" s="11" t="str">
        <f aca="false">Apontamentos!C453</f>
        <v/>
      </c>
      <c r="B453" s="11" t="str">
        <f aca="false">IF(Apontamentos!$C453="","",Apontamentos!D453&amp;"")</f>
        <v/>
      </c>
      <c r="C453" s="11" t="str">
        <f aca="false">IF(Apontamentos!$C453="","",Apontamentos!E453&amp;"")</f>
        <v/>
      </c>
      <c r="D453" s="10" t="str">
        <f aca="false">IF(Apontamentos!$C453="","",Apontamentos!F453&amp;"")</f>
        <v/>
      </c>
      <c r="E453" s="10" t="str">
        <f aca="false">IF(Apontamentos!$C453="","",Apontamentos!G453&amp;"")</f>
        <v/>
      </c>
      <c r="F453" s="14"/>
      <c r="G453" s="14"/>
      <c r="H453" s="14"/>
      <c r="I453" s="14"/>
      <c r="J453" s="13"/>
      <c r="K453" s="13"/>
    </row>
    <row r="454" customFormat="false" ht="15" hidden="false" customHeight="false" outlineLevel="0" collapsed="false">
      <c r="A454" s="11" t="str">
        <f aca="false">Apontamentos!C454</f>
        <v/>
      </c>
      <c r="B454" s="11" t="str">
        <f aca="false">IF(Apontamentos!$C454="","",Apontamentos!D454&amp;"")</f>
        <v/>
      </c>
      <c r="C454" s="11" t="str">
        <f aca="false">IF(Apontamentos!$C454="","",Apontamentos!E454&amp;"")</f>
        <v/>
      </c>
      <c r="D454" s="10" t="str">
        <f aca="false">IF(Apontamentos!$C454="","",Apontamentos!F454&amp;"")</f>
        <v/>
      </c>
      <c r="E454" s="10" t="str">
        <f aca="false">IF(Apontamentos!$C454="","",Apontamentos!G454&amp;"")</f>
        <v/>
      </c>
      <c r="F454" s="14"/>
      <c r="G454" s="14"/>
      <c r="H454" s="14"/>
      <c r="I454" s="14"/>
      <c r="J454" s="13"/>
      <c r="K454" s="13"/>
    </row>
    <row r="455" customFormat="false" ht="15" hidden="false" customHeight="false" outlineLevel="0" collapsed="false">
      <c r="A455" s="11" t="str">
        <f aca="false">Apontamentos!C455</f>
        <v/>
      </c>
      <c r="B455" s="11" t="str">
        <f aca="false">IF(Apontamentos!$C455="","",Apontamentos!D455&amp;"")</f>
        <v/>
      </c>
      <c r="C455" s="11" t="str">
        <f aca="false">IF(Apontamentos!$C455="","",Apontamentos!E455&amp;"")</f>
        <v/>
      </c>
      <c r="D455" s="10" t="str">
        <f aca="false">IF(Apontamentos!$C455="","",Apontamentos!F455&amp;"")</f>
        <v/>
      </c>
      <c r="E455" s="10" t="str">
        <f aca="false">IF(Apontamentos!$C455="","",Apontamentos!G455&amp;"")</f>
        <v/>
      </c>
      <c r="F455" s="14"/>
      <c r="G455" s="14"/>
      <c r="H455" s="14"/>
      <c r="I455" s="14"/>
      <c r="J455" s="13"/>
      <c r="K455" s="13"/>
    </row>
    <row r="456" customFormat="false" ht="15" hidden="false" customHeight="false" outlineLevel="0" collapsed="false">
      <c r="A456" s="11" t="str">
        <f aca="false">Apontamentos!C456</f>
        <v/>
      </c>
      <c r="B456" s="11" t="str">
        <f aca="false">IF(Apontamentos!$C456="","",Apontamentos!D456&amp;"")</f>
        <v/>
      </c>
      <c r="C456" s="11" t="str">
        <f aca="false">IF(Apontamentos!$C456="","",Apontamentos!E456&amp;"")</f>
        <v/>
      </c>
      <c r="D456" s="10" t="str">
        <f aca="false">IF(Apontamentos!$C456="","",Apontamentos!F456&amp;"")</f>
        <v/>
      </c>
      <c r="E456" s="10" t="str">
        <f aca="false">IF(Apontamentos!$C456="","",Apontamentos!G456&amp;"")</f>
        <v/>
      </c>
      <c r="F456" s="14"/>
      <c r="G456" s="14"/>
      <c r="H456" s="14"/>
      <c r="I456" s="14"/>
      <c r="J456" s="13"/>
      <c r="K456" s="13"/>
    </row>
    <row r="457" customFormat="false" ht="15" hidden="false" customHeight="false" outlineLevel="0" collapsed="false">
      <c r="A457" s="11" t="str">
        <f aca="false">Apontamentos!C457</f>
        <v/>
      </c>
      <c r="B457" s="11" t="str">
        <f aca="false">IF(Apontamentos!$C457="","",Apontamentos!D457&amp;"")</f>
        <v/>
      </c>
      <c r="C457" s="11" t="str">
        <f aca="false">IF(Apontamentos!$C457="","",Apontamentos!E457&amp;"")</f>
        <v/>
      </c>
      <c r="D457" s="10" t="str">
        <f aca="false">IF(Apontamentos!$C457="","",Apontamentos!F457&amp;"")</f>
        <v/>
      </c>
      <c r="E457" s="10" t="str">
        <f aca="false">IF(Apontamentos!$C457="","",Apontamentos!G457&amp;"")</f>
        <v/>
      </c>
      <c r="F457" s="14"/>
      <c r="G457" s="14"/>
      <c r="H457" s="14"/>
      <c r="I457" s="14"/>
      <c r="J457" s="13"/>
      <c r="K457" s="13"/>
    </row>
    <row r="458" customFormat="false" ht="15" hidden="false" customHeight="false" outlineLevel="0" collapsed="false">
      <c r="A458" s="11" t="str">
        <f aca="false">Apontamentos!C458</f>
        <v/>
      </c>
      <c r="B458" s="11" t="str">
        <f aca="false">IF(Apontamentos!$C458="","",Apontamentos!D458&amp;"")</f>
        <v/>
      </c>
      <c r="C458" s="11" t="str">
        <f aca="false">IF(Apontamentos!$C458="","",Apontamentos!E458&amp;"")</f>
        <v/>
      </c>
      <c r="D458" s="10" t="str">
        <f aca="false">IF(Apontamentos!$C458="","",Apontamentos!F458&amp;"")</f>
        <v/>
      </c>
      <c r="E458" s="10" t="str">
        <f aca="false">IF(Apontamentos!$C458="","",Apontamentos!G458&amp;"")</f>
        <v/>
      </c>
      <c r="F458" s="14"/>
      <c r="G458" s="14"/>
      <c r="H458" s="14"/>
      <c r="I458" s="14"/>
      <c r="J458" s="13"/>
      <c r="K458" s="13"/>
    </row>
    <row r="459" customFormat="false" ht="15" hidden="false" customHeight="false" outlineLevel="0" collapsed="false">
      <c r="A459" s="11" t="str">
        <f aca="false">Apontamentos!C459</f>
        <v/>
      </c>
      <c r="B459" s="11" t="str">
        <f aca="false">IF(Apontamentos!$C459="","",Apontamentos!D459&amp;"")</f>
        <v/>
      </c>
      <c r="C459" s="11" t="str">
        <f aca="false">IF(Apontamentos!$C459="","",Apontamentos!E459&amp;"")</f>
        <v/>
      </c>
      <c r="D459" s="10" t="str">
        <f aca="false">IF(Apontamentos!$C459="","",Apontamentos!F459&amp;"")</f>
        <v/>
      </c>
      <c r="E459" s="10" t="str">
        <f aca="false">IF(Apontamentos!$C459="","",Apontamentos!G459&amp;"")</f>
        <v/>
      </c>
      <c r="F459" s="14"/>
      <c r="G459" s="14"/>
      <c r="H459" s="14"/>
      <c r="I459" s="14"/>
      <c r="J459" s="13"/>
      <c r="K459" s="13"/>
    </row>
    <row r="460" customFormat="false" ht="15" hidden="false" customHeight="false" outlineLevel="0" collapsed="false">
      <c r="A460" s="11" t="str">
        <f aca="false">Apontamentos!C460</f>
        <v/>
      </c>
      <c r="B460" s="11" t="str">
        <f aca="false">IF(Apontamentos!$C460="","",Apontamentos!D460&amp;"")</f>
        <v/>
      </c>
      <c r="C460" s="11" t="str">
        <f aca="false">IF(Apontamentos!$C460="","",Apontamentos!E460&amp;"")</f>
        <v/>
      </c>
      <c r="D460" s="10" t="str">
        <f aca="false">IF(Apontamentos!$C460="","",Apontamentos!F460&amp;"")</f>
        <v/>
      </c>
      <c r="E460" s="10" t="str">
        <f aca="false">IF(Apontamentos!$C460="","",Apontamentos!G460&amp;"")</f>
        <v/>
      </c>
      <c r="F460" s="14"/>
      <c r="G460" s="14"/>
      <c r="H460" s="14"/>
      <c r="I460" s="14"/>
      <c r="J460" s="13"/>
      <c r="K460" s="13"/>
    </row>
    <row r="461" customFormat="false" ht="15" hidden="false" customHeight="false" outlineLevel="0" collapsed="false">
      <c r="A461" s="11" t="str">
        <f aca="false">Apontamentos!C461</f>
        <v/>
      </c>
      <c r="B461" s="11" t="str">
        <f aca="false">IF(Apontamentos!$C461="","",Apontamentos!D461&amp;"")</f>
        <v/>
      </c>
      <c r="C461" s="11" t="str">
        <f aca="false">IF(Apontamentos!$C461="","",Apontamentos!E461&amp;"")</f>
        <v/>
      </c>
      <c r="D461" s="10" t="str">
        <f aca="false">IF(Apontamentos!$C461="","",Apontamentos!F461&amp;"")</f>
        <v/>
      </c>
      <c r="E461" s="10" t="str">
        <f aca="false">IF(Apontamentos!$C461="","",Apontamentos!G461&amp;"")</f>
        <v/>
      </c>
      <c r="F461" s="14"/>
      <c r="G461" s="14"/>
      <c r="H461" s="14"/>
      <c r="I461" s="14"/>
      <c r="J461" s="13"/>
      <c r="K461" s="13"/>
    </row>
    <row r="462" customFormat="false" ht="15" hidden="false" customHeight="false" outlineLevel="0" collapsed="false">
      <c r="A462" s="11" t="str">
        <f aca="false">Apontamentos!C462</f>
        <v/>
      </c>
      <c r="B462" s="11" t="str">
        <f aca="false">IF(Apontamentos!$C462="","",Apontamentos!D462&amp;"")</f>
        <v/>
      </c>
      <c r="C462" s="11" t="str">
        <f aca="false">IF(Apontamentos!$C462="","",Apontamentos!E462&amp;"")</f>
        <v/>
      </c>
      <c r="D462" s="10" t="str">
        <f aca="false">IF(Apontamentos!$C462="","",Apontamentos!F462&amp;"")</f>
        <v/>
      </c>
      <c r="E462" s="10" t="str">
        <f aca="false">IF(Apontamentos!$C462="","",Apontamentos!G462&amp;"")</f>
        <v/>
      </c>
      <c r="F462" s="14"/>
      <c r="G462" s="14"/>
      <c r="H462" s="14"/>
      <c r="I462" s="14"/>
      <c r="J462" s="13"/>
      <c r="K462" s="13"/>
    </row>
    <row r="463" customFormat="false" ht="15" hidden="false" customHeight="false" outlineLevel="0" collapsed="false">
      <c r="A463" s="11" t="str">
        <f aca="false">Apontamentos!C463</f>
        <v/>
      </c>
      <c r="B463" s="11" t="str">
        <f aca="false">IF(Apontamentos!$C463="","",Apontamentos!D463&amp;"")</f>
        <v/>
      </c>
      <c r="C463" s="11" t="str">
        <f aca="false">IF(Apontamentos!$C463="","",Apontamentos!E463&amp;"")</f>
        <v/>
      </c>
      <c r="D463" s="10" t="str">
        <f aca="false">IF(Apontamentos!$C463="","",Apontamentos!F463&amp;"")</f>
        <v/>
      </c>
      <c r="E463" s="10" t="str">
        <f aca="false">IF(Apontamentos!$C463="","",Apontamentos!G463&amp;"")</f>
        <v/>
      </c>
      <c r="F463" s="14"/>
      <c r="G463" s="14"/>
      <c r="H463" s="14"/>
      <c r="I463" s="14"/>
      <c r="J463" s="13"/>
      <c r="K463" s="13"/>
    </row>
    <row r="464" customFormat="false" ht="15" hidden="false" customHeight="false" outlineLevel="0" collapsed="false">
      <c r="A464" s="11" t="str">
        <f aca="false">Apontamentos!C464</f>
        <v/>
      </c>
      <c r="B464" s="11" t="str">
        <f aca="false">IF(Apontamentos!$C464="","",Apontamentos!D464&amp;"")</f>
        <v/>
      </c>
      <c r="C464" s="11" t="str">
        <f aca="false">IF(Apontamentos!$C464="","",Apontamentos!E464&amp;"")</f>
        <v/>
      </c>
      <c r="D464" s="10" t="str">
        <f aca="false">IF(Apontamentos!$C464="","",Apontamentos!F464&amp;"")</f>
        <v/>
      </c>
      <c r="E464" s="10" t="str">
        <f aca="false">IF(Apontamentos!$C464="","",Apontamentos!G464&amp;"")</f>
        <v/>
      </c>
      <c r="F464" s="14"/>
      <c r="G464" s="14"/>
      <c r="H464" s="14"/>
      <c r="I464" s="14"/>
      <c r="J464" s="13"/>
      <c r="K464" s="13"/>
    </row>
    <row r="465" customFormat="false" ht="15" hidden="false" customHeight="false" outlineLevel="0" collapsed="false">
      <c r="A465" s="11" t="str">
        <f aca="false">Apontamentos!C465</f>
        <v/>
      </c>
      <c r="B465" s="11" t="str">
        <f aca="false">IF(Apontamentos!$C465="","",Apontamentos!D465&amp;"")</f>
        <v/>
      </c>
      <c r="C465" s="11" t="str">
        <f aca="false">IF(Apontamentos!$C465="","",Apontamentos!E465&amp;"")</f>
        <v/>
      </c>
      <c r="D465" s="10" t="str">
        <f aca="false">IF(Apontamentos!$C465="","",Apontamentos!F465&amp;"")</f>
        <v/>
      </c>
      <c r="E465" s="10" t="str">
        <f aca="false">IF(Apontamentos!$C465="","",Apontamentos!G465&amp;"")</f>
        <v/>
      </c>
      <c r="F465" s="14"/>
      <c r="G465" s="14"/>
      <c r="H465" s="14"/>
      <c r="I465" s="14"/>
      <c r="J465" s="13"/>
      <c r="K465" s="13"/>
    </row>
    <row r="466" customFormat="false" ht="15" hidden="false" customHeight="false" outlineLevel="0" collapsed="false">
      <c r="A466" s="11" t="str">
        <f aca="false">Apontamentos!C466</f>
        <v/>
      </c>
      <c r="B466" s="11" t="str">
        <f aca="false">IF(Apontamentos!$C466="","",Apontamentos!D466&amp;"")</f>
        <v/>
      </c>
      <c r="C466" s="11" t="str">
        <f aca="false">IF(Apontamentos!$C466="","",Apontamentos!E466&amp;"")</f>
        <v/>
      </c>
      <c r="D466" s="10" t="str">
        <f aca="false">IF(Apontamentos!$C466="","",Apontamentos!F466&amp;"")</f>
        <v/>
      </c>
      <c r="E466" s="10" t="str">
        <f aca="false">IF(Apontamentos!$C466="","",Apontamentos!G466&amp;"")</f>
        <v/>
      </c>
      <c r="F466" s="14"/>
      <c r="G466" s="14"/>
      <c r="H466" s="14"/>
      <c r="I466" s="14"/>
      <c r="J466" s="13"/>
      <c r="K466" s="13"/>
    </row>
    <row r="467" customFormat="false" ht="15" hidden="false" customHeight="false" outlineLevel="0" collapsed="false">
      <c r="A467" s="11" t="str">
        <f aca="false">Apontamentos!C467</f>
        <v/>
      </c>
      <c r="B467" s="11" t="str">
        <f aca="false">IF(Apontamentos!$C467="","",Apontamentos!D467&amp;"")</f>
        <v/>
      </c>
      <c r="C467" s="11" t="str">
        <f aca="false">IF(Apontamentos!$C467="","",Apontamentos!E467&amp;"")</f>
        <v/>
      </c>
      <c r="D467" s="10" t="str">
        <f aca="false">IF(Apontamentos!$C467="","",Apontamentos!F467&amp;"")</f>
        <v/>
      </c>
      <c r="E467" s="10" t="str">
        <f aca="false">IF(Apontamentos!$C467="","",Apontamentos!G467&amp;"")</f>
        <v/>
      </c>
      <c r="F467" s="14"/>
      <c r="G467" s="14"/>
      <c r="H467" s="14"/>
      <c r="I467" s="14"/>
      <c r="J467" s="13"/>
      <c r="K467" s="13"/>
    </row>
    <row r="468" customFormat="false" ht="15" hidden="false" customHeight="false" outlineLevel="0" collapsed="false">
      <c r="A468" s="11" t="str">
        <f aca="false">Apontamentos!C468</f>
        <v/>
      </c>
      <c r="B468" s="11" t="str">
        <f aca="false">IF(Apontamentos!$C468="","",Apontamentos!D468&amp;"")</f>
        <v/>
      </c>
      <c r="C468" s="11" t="str">
        <f aca="false">IF(Apontamentos!$C468="","",Apontamentos!E468&amp;"")</f>
        <v/>
      </c>
      <c r="D468" s="10" t="str">
        <f aca="false">IF(Apontamentos!$C468="","",Apontamentos!F468&amp;"")</f>
        <v/>
      </c>
      <c r="E468" s="10" t="str">
        <f aca="false">IF(Apontamentos!$C468="","",Apontamentos!G468&amp;"")</f>
        <v/>
      </c>
      <c r="F468" s="14"/>
      <c r="G468" s="14"/>
      <c r="H468" s="14"/>
      <c r="I468" s="14"/>
      <c r="J468" s="13"/>
      <c r="K468" s="13"/>
    </row>
    <row r="469" customFormat="false" ht="15" hidden="false" customHeight="false" outlineLevel="0" collapsed="false">
      <c r="A469" s="11" t="str">
        <f aca="false">Apontamentos!C469</f>
        <v/>
      </c>
      <c r="B469" s="11" t="str">
        <f aca="false">IF(Apontamentos!$C469="","",Apontamentos!D469&amp;"")</f>
        <v/>
      </c>
      <c r="C469" s="11" t="str">
        <f aca="false">IF(Apontamentos!$C469="","",Apontamentos!E469&amp;"")</f>
        <v/>
      </c>
      <c r="D469" s="10" t="str">
        <f aca="false">IF(Apontamentos!$C469="","",Apontamentos!F469&amp;"")</f>
        <v/>
      </c>
      <c r="E469" s="10" t="str">
        <f aca="false">IF(Apontamentos!$C469="","",Apontamentos!G469&amp;"")</f>
        <v/>
      </c>
      <c r="F469" s="14"/>
      <c r="G469" s="14"/>
      <c r="H469" s="14"/>
      <c r="I469" s="14"/>
      <c r="J469" s="13"/>
      <c r="K469" s="13"/>
    </row>
    <row r="470" customFormat="false" ht="15" hidden="false" customHeight="false" outlineLevel="0" collapsed="false">
      <c r="A470" s="11" t="str">
        <f aca="false">Apontamentos!C470</f>
        <v/>
      </c>
      <c r="B470" s="11" t="str">
        <f aca="false">IF(Apontamentos!$C470="","",Apontamentos!D470&amp;"")</f>
        <v/>
      </c>
      <c r="C470" s="11" t="str">
        <f aca="false">IF(Apontamentos!$C470="","",Apontamentos!E470&amp;"")</f>
        <v/>
      </c>
      <c r="D470" s="10" t="str">
        <f aca="false">IF(Apontamentos!$C470="","",Apontamentos!F470&amp;"")</f>
        <v/>
      </c>
      <c r="E470" s="10" t="str">
        <f aca="false">IF(Apontamentos!$C470="","",Apontamentos!G470&amp;"")</f>
        <v/>
      </c>
      <c r="F470" s="14"/>
      <c r="G470" s="14"/>
      <c r="H470" s="14"/>
      <c r="I470" s="14"/>
      <c r="J470" s="13"/>
      <c r="K470" s="13"/>
    </row>
    <row r="471" customFormat="false" ht="15" hidden="false" customHeight="false" outlineLevel="0" collapsed="false">
      <c r="A471" s="11" t="str">
        <f aca="false">Apontamentos!C471</f>
        <v/>
      </c>
      <c r="B471" s="11" t="str">
        <f aca="false">IF(Apontamentos!$C471="","",Apontamentos!D471&amp;"")</f>
        <v/>
      </c>
      <c r="C471" s="11" t="str">
        <f aca="false">IF(Apontamentos!$C471="","",Apontamentos!E471&amp;"")</f>
        <v/>
      </c>
      <c r="D471" s="10" t="str">
        <f aca="false">IF(Apontamentos!$C471="","",Apontamentos!F471&amp;"")</f>
        <v/>
      </c>
      <c r="E471" s="10" t="str">
        <f aca="false">IF(Apontamentos!$C471="","",Apontamentos!G471&amp;"")</f>
        <v/>
      </c>
      <c r="F471" s="14"/>
      <c r="G471" s="14"/>
      <c r="H471" s="14"/>
      <c r="I471" s="14"/>
      <c r="J471" s="13"/>
      <c r="K471" s="13"/>
    </row>
    <row r="472" customFormat="false" ht="15" hidden="false" customHeight="false" outlineLevel="0" collapsed="false">
      <c r="A472" s="11" t="str">
        <f aca="false">Apontamentos!C472</f>
        <v/>
      </c>
      <c r="B472" s="11" t="str">
        <f aca="false">IF(Apontamentos!$C472="","",Apontamentos!D472&amp;"")</f>
        <v/>
      </c>
      <c r="C472" s="11" t="str">
        <f aca="false">IF(Apontamentos!$C472="","",Apontamentos!E472&amp;"")</f>
        <v/>
      </c>
      <c r="D472" s="10" t="str">
        <f aca="false">IF(Apontamentos!$C472="","",Apontamentos!F472&amp;"")</f>
        <v/>
      </c>
      <c r="E472" s="10" t="str">
        <f aca="false">IF(Apontamentos!$C472="","",Apontamentos!G472&amp;"")</f>
        <v/>
      </c>
      <c r="F472" s="14"/>
      <c r="G472" s="14"/>
      <c r="H472" s="14"/>
      <c r="I472" s="14"/>
      <c r="J472" s="13"/>
      <c r="K472" s="13"/>
    </row>
    <row r="473" customFormat="false" ht="15" hidden="false" customHeight="false" outlineLevel="0" collapsed="false">
      <c r="A473" s="11" t="str">
        <f aca="false">Apontamentos!C473</f>
        <v/>
      </c>
      <c r="B473" s="11" t="str">
        <f aca="false">IF(Apontamentos!$C473="","",Apontamentos!D473&amp;"")</f>
        <v/>
      </c>
      <c r="C473" s="11" t="str">
        <f aca="false">IF(Apontamentos!$C473="","",Apontamentos!E473&amp;"")</f>
        <v/>
      </c>
      <c r="D473" s="10" t="str">
        <f aca="false">IF(Apontamentos!$C473="","",Apontamentos!F473&amp;"")</f>
        <v/>
      </c>
      <c r="E473" s="10" t="str">
        <f aca="false">IF(Apontamentos!$C473="","",Apontamentos!G473&amp;"")</f>
        <v/>
      </c>
      <c r="F473" s="14"/>
      <c r="G473" s="14"/>
      <c r="H473" s="14"/>
      <c r="I473" s="14"/>
      <c r="J473" s="13"/>
      <c r="K473" s="13"/>
    </row>
    <row r="474" customFormat="false" ht="15" hidden="false" customHeight="false" outlineLevel="0" collapsed="false">
      <c r="A474" s="11" t="str">
        <f aca="false">Apontamentos!C474</f>
        <v/>
      </c>
      <c r="B474" s="11" t="str">
        <f aca="false">IF(Apontamentos!$C474="","",Apontamentos!D474&amp;"")</f>
        <v/>
      </c>
      <c r="C474" s="11" t="str">
        <f aca="false">IF(Apontamentos!$C474="","",Apontamentos!E474&amp;"")</f>
        <v/>
      </c>
      <c r="D474" s="10" t="str">
        <f aca="false">IF(Apontamentos!$C474="","",Apontamentos!F474&amp;"")</f>
        <v/>
      </c>
      <c r="E474" s="10" t="str">
        <f aca="false">IF(Apontamentos!$C474="","",Apontamentos!G474&amp;"")</f>
        <v/>
      </c>
      <c r="F474" s="14"/>
      <c r="G474" s="14"/>
      <c r="H474" s="14"/>
      <c r="I474" s="14"/>
      <c r="J474" s="13"/>
      <c r="K474" s="13"/>
    </row>
    <row r="475" customFormat="false" ht="15" hidden="false" customHeight="false" outlineLevel="0" collapsed="false">
      <c r="A475" s="11" t="str">
        <f aca="false">Apontamentos!C475</f>
        <v/>
      </c>
      <c r="B475" s="11" t="str">
        <f aca="false">IF(Apontamentos!$C475="","",Apontamentos!D475&amp;"")</f>
        <v/>
      </c>
      <c r="C475" s="11" t="str">
        <f aca="false">IF(Apontamentos!$C475="","",Apontamentos!E475&amp;"")</f>
        <v/>
      </c>
      <c r="D475" s="10" t="str">
        <f aca="false">IF(Apontamentos!$C475="","",Apontamentos!F475&amp;"")</f>
        <v/>
      </c>
      <c r="E475" s="10" t="str">
        <f aca="false">IF(Apontamentos!$C475="","",Apontamentos!G475&amp;"")</f>
        <v/>
      </c>
      <c r="F475" s="14"/>
      <c r="G475" s="14"/>
      <c r="H475" s="14"/>
      <c r="I475" s="14"/>
      <c r="J475" s="13"/>
      <c r="K475" s="13"/>
    </row>
    <row r="476" customFormat="false" ht="15" hidden="false" customHeight="false" outlineLevel="0" collapsed="false">
      <c r="A476" s="11" t="str">
        <f aca="false">Apontamentos!C476</f>
        <v/>
      </c>
      <c r="B476" s="11" t="str">
        <f aca="false">IF(Apontamentos!$C476="","",Apontamentos!D476&amp;"")</f>
        <v/>
      </c>
      <c r="C476" s="11" t="str">
        <f aca="false">IF(Apontamentos!$C476="","",Apontamentos!E476&amp;"")</f>
        <v/>
      </c>
      <c r="D476" s="10" t="str">
        <f aca="false">IF(Apontamentos!$C476="","",Apontamentos!F476&amp;"")</f>
        <v/>
      </c>
      <c r="E476" s="10" t="str">
        <f aca="false">IF(Apontamentos!$C476="","",Apontamentos!G476&amp;"")</f>
        <v/>
      </c>
      <c r="F476" s="14"/>
      <c r="G476" s="14"/>
      <c r="H476" s="14"/>
      <c r="I476" s="14"/>
      <c r="J476" s="13"/>
      <c r="K476" s="13"/>
    </row>
    <row r="477" customFormat="false" ht="15" hidden="false" customHeight="false" outlineLevel="0" collapsed="false">
      <c r="A477" s="11" t="str">
        <f aca="false">Apontamentos!C477</f>
        <v/>
      </c>
      <c r="B477" s="11" t="str">
        <f aca="false">IF(Apontamentos!$C477="","",Apontamentos!D477&amp;"")</f>
        <v/>
      </c>
      <c r="C477" s="11" t="str">
        <f aca="false">IF(Apontamentos!$C477="","",Apontamentos!E477&amp;"")</f>
        <v/>
      </c>
      <c r="D477" s="10" t="str">
        <f aca="false">IF(Apontamentos!$C477="","",Apontamentos!F477&amp;"")</f>
        <v/>
      </c>
      <c r="E477" s="10" t="str">
        <f aca="false">IF(Apontamentos!$C477="","",Apontamentos!G477&amp;"")</f>
        <v/>
      </c>
      <c r="F477" s="14"/>
      <c r="G477" s="14"/>
      <c r="H477" s="14"/>
      <c r="I477" s="14"/>
      <c r="J477" s="13"/>
      <c r="K477" s="13"/>
    </row>
    <row r="478" customFormat="false" ht="15" hidden="false" customHeight="false" outlineLevel="0" collapsed="false">
      <c r="A478" s="11" t="str">
        <f aca="false">Apontamentos!C478</f>
        <v/>
      </c>
      <c r="B478" s="11" t="str">
        <f aca="false">IF(Apontamentos!$C478="","",Apontamentos!D478&amp;"")</f>
        <v/>
      </c>
      <c r="C478" s="11" t="str">
        <f aca="false">IF(Apontamentos!$C478="","",Apontamentos!E478&amp;"")</f>
        <v/>
      </c>
      <c r="D478" s="10" t="str">
        <f aca="false">IF(Apontamentos!$C478="","",Apontamentos!F478&amp;"")</f>
        <v/>
      </c>
      <c r="E478" s="10" t="str">
        <f aca="false">IF(Apontamentos!$C478="","",Apontamentos!G478&amp;"")</f>
        <v/>
      </c>
      <c r="F478" s="14"/>
      <c r="G478" s="14"/>
      <c r="H478" s="14"/>
      <c r="I478" s="14"/>
      <c r="J478" s="13"/>
      <c r="K478" s="13"/>
    </row>
    <row r="479" customFormat="false" ht="15" hidden="false" customHeight="false" outlineLevel="0" collapsed="false">
      <c r="A479" s="11" t="str">
        <f aca="false">Apontamentos!C479</f>
        <v/>
      </c>
      <c r="B479" s="11" t="str">
        <f aca="false">IF(Apontamentos!$C479="","",Apontamentos!D479&amp;"")</f>
        <v/>
      </c>
      <c r="C479" s="11" t="str">
        <f aca="false">IF(Apontamentos!$C479="","",Apontamentos!E479&amp;"")</f>
        <v/>
      </c>
      <c r="D479" s="10" t="str">
        <f aca="false">IF(Apontamentos!$C479="","",Apontamentos!F479&amp;"")</f>
        <v/>
      </c>
      <c r="E479" s="10" t="str">
        <f aca="false">IF(Apontamentos!$C479="","",Apontamentos!G479&amp;"")</f>
        <v/>
      </c>
      <c r="F479" s="14"/>
      <c r="G479" s="14"/>
      <c r="H479" s="14"/>
      <c r="I479" s="14"/>
      <c r="J479" s="13"/>
      <c r="K479" s="13"/>
    </row>
    <row r="480" customFormat="false" ht="15" hidden="false" customHeight="false" outlineLevel="0" collapsed="false">
      <c r="A480" s="11" t="str">
        <f aca="false">Apontamentos!C480</f>
        <v/>
      </c>
      <c r="B480" s="11" t="str">
        <f aca="false">IF(Apontamentos!$C480="","",Apontamentos!D480&amp;"")</f>
        <v/>
      </c>
      <c r="C480" s="11" t="str">
        <f aca="false">IF(Apontamentos!$C480="","",Apontamentos!E480&amp;"")</f>
        <v/>
      </c>
      <c r="D480" s="10" t="str">
        <f aca="false">IF(Apontamentos!$C480="","",Apontamentos!F480&amp;"")</f>
        <v/>
      </c>
      <c r="E480" s="10" t="str">
        <f aca="false">IF(Apontamentos!$C480="","",Apontamentos!G480&amp;"")</f>
        <v/>
      </c>
      <c r="F480" s="14"/>
      <c r="G480" s="14"/>
      <c r="H480" s="14"/>
      <c r="I480" s="14"/>
      <c r="J480" s="13"/>
      <c r="K480" s="13"/>
    </row>
    <row r="481" customFormat="false" ht="15" hidden="false" customHeight="false" outlineLevel="0" collapsed="false">
      <c r="A481" s="11" t="str">
        <f aca="false">Apontamentos!C481</f>
        <v/>
      </c>
      <c r="B481" s="11" t="str">
        <f aca="false">IF(Apontamentos!$C481="","",Apontamentos!D481&amp;"")</f>
        <v/>
      </c>
      <c r="C481" s="11" t="str">
        <f aca="false">IF(Apontamentos!$C481="","",Apontamentos!E481&amp;"")</f>
        <v/>
      </c>
      <c r="D481" s="10" t="str">
        <f aca="false">IF(Apontamentos!$C481="","",Apontamentos!F481&amp;"")</f>
        <v/>
      </c>
      <c r="E481" s="10" t="str">
        <f aca="false">IF(Apontamentos!$C481="","",Apontamentos!G481&amp;"")</f>
        <v/>
      </c>
      <c r="F481" s="14"/>
      <c r="G481" s="14"/>
      <c r="H481" s="14"/>
      <c r="I481" s="14"/>
      <c r="J481" s="13"/>
      <c r="K481" s="13"/>
    </row>
    <row r="482" customFormat="false" ht="15" hidden="false" customHeight="false" outlineLevel="0" collapsed="false">
      <c r="A482" s="11" t="str">
        <f aca="false">Apontamentos!C482</f>
        <v/>
      </c>
      <c r="B482" s="11" t="str">
        <f aca="false">IF(Apontamentos!$C482="","",Apontamentos!D482&amp;"")</f>
        <v/>
      </c>
      <c r="C482" s="11" t="str">
        <f aca="false">IF(Apontamentos!$C482="","",Apontamentos!E482&amp;"")</f>
        <v/>
      </c>
      <c r="D482" s="10" t="str">
        <f aca="false">IF(Apontamentos!$C482="","",Apontamentos!F482&amp;"")</f>
        <v/>
      </c>
      <c r="E482" s="10" t="str">
        <f aca="false">IF(Apontamentos!$C482="","",Apontamentos!G482&amp;"")</f>
        <v/>
      </c>
      <c r="F482" s="14"/>
      <c r="G482" s="14"/>
      <c r="H482" s="14"/>
      <c r="I482" s="14"/>
      <c r="J482" s="13"/>
      <c r="K482" s="13"/>
    </row>
    <row r="483" customFormat="false" ht="15" hidden="false" customHeight="false" outlineLevel="0" collapsed="false">
      <c r="A483" s="11" t="str">
        <f aca="false">Apontamentos!C483</f>
        <v/>
      </c>
      <c r="B483" s="11" t="str">
        <f aca="false">IF(Apontamentos!$C483="","",Apontamentos!D483&amp;"")</f>
        <v/>
      </c>
      <c r="C483" s="11" t="str">
        <f aca="false">IF(Apontamentos!$C483="","",Apontamentos!E483&amp;"")</f>
        <v/>
      </c>
      <c r="D483" s="10" t="str">
        <f aca="false">IF(Apontamentos!$C483="","",Apontamentos!F483&amp;"")</f>
        <v/>
      </c>
      <c r="E483" s="10" t="str">
        <f aca="false">IF(Apontamentos!$C483="","",Apontamentos!G483&amp;"")</f>
        <v/>
      </c>
      <c r="F483" s="14"/>
      <c r="G483" s="14"/>
      <c r="H483" s="14"/>
      <c r="I483" s="14"/>
      <c r="J483" s="13"/>
      <c r="K483" s="13"/>
    </row>
    <row r="484" customFormat="false" ht="15" hidden="false" customHeight="false" outlineLevel="0" collapsed="false">
      <c r="A484" s="11" t="str">
        <f aca="false">Apontamentos!C484</f>
        <v/>
      </c>
      <c r="B484" s="11" t="str">
        <f aca="false">IF(Apontamentos!$C484="","",Apontamentos!D484&amp;"")</f>
        <v/>
      </c>
      <c r="C484" s="11" t="str">
        <f aca="false">IF(Apontamentos!$C484="","",Apontamentos!E484&amp;"")</f>
        <v/>
      </c>
      <c r="D484" s="10" t="str">
        <f aca="false">IF(Apontamentos!$C484="","",Apontamentos!F484&amp;"")</f>
        <v/>
      </c>
      <c r="E484" s="10" t="str">
        <f aca="false">IF(Apontamentos!$C484="","",Apontamentos!G484&amp;"")</f>
        <v/>
      </c>
      <c r="F484" s="14"/>
      <c r="G484" s="14"/>
      <c r="H484" s="14"/>
      <c r="I484" s="14"/>
      <c r="J484" s="13"/>
      <c r="K484" s="13"/>
    </row>
    <row r="485" customFormat="false" ht="15" hidden="false" customHeight="false" outlineLevel="0" collapsed="false">
      <c r="A485" s="11" t="str">
        <f aca="false">Apontamentos!C485</f>
        <v/>
      </c>
      <c r="B485" s="11" t="str">
        <f aca="false">IF(Apontamentos!$C485="","",Apontamentos!D485&amp;"")</f>
        <v/>
      </c>
      <c r="C485" s="11" t="str">
        <f aca="false">IF(Apontamentos!$C485="","",Apontamentos!E485&amp;"")</f>
        <v/>
      </c>
      <c r="D485" s="10" t="str">
        <f aca="false">IF(Apontamentos!$C485="","",Apontamentos!F485&amp;"")</f>
        <v/>
      </c>
      <c r="E485" s="10" t="str">
        <f aca="false">IF(Apontamentos!$C485="","",Apontamentos!G485&amp;"")</f>
        <v/>
      </c>
      <c r="F485" s="14"/>
      <c r="G485" s="14"/>
      <c r="H485" s="14"/>
      <c r="I485" s="14"/>
      <c r="J485" s="13"/>
      <c r="K485" s="13"/>
    </row>
    <row r="486" customFormat="false" ht="15" hidden="false" customHeight="false" outlineLevel="0" collapsed="false">
      <c r="A486" s="11" t="str">
        <f aca="false">Apontamentos!C486</f>
        <v/>
      </c>
      <c r="B486" s="11" t="str">
        <f aca="false">IF(Apontamentos!$C486="","",Apontamentos!D486&amp;"")</f>
        <v/>
      </c>
      <c r="C486" s="11" t="str">
        <f aca="false">IF(Apontamentos!$C486="","",Apontamentos!E486&amp;"")</f>
        <v/>
      </c>
      <c r="D486" s="10" t="str">
        <f aca="false">IF(Apontamentos!$C486="","",Apontamentos!F486&amp;"")</f>
        <v/>
      </c>
      <c r="E486" s="10" t="str">
        <f aca="false">IF(Apontamentos!$C486="","",Apontamentos!G486&amp;"")</f>
        <v/>
      </c>
      <c r="F486" s="14"/>
      <c r="G486" s="14"/>
      <c r="H486" s="14"/>
      <c r="I486" s="14"/>
      <c r="J486" s="13"/>
      <c r="K486" s="13"/>
    </row>
    <row r="487" customFormat="false" ht="15" hidden="false" customHeight="false" outlineLevel="0" collapsed="false">
      <c r="A487" s="11" t="str">
        <f aca="false">Apontamentos!C487</f>
        <v/>
      </c>
      <c r="B487" s="11" t="str">
        <f aca="false">IF(Apontamentos!$C487="","",Apontamentos!D487&amp;"")</f>
        <v/>
      </c>
      <c r="C487" s="11" t="str">
        <f aca="false">IF(Apontamentos!$C487="","",Apontamentos!E487&amp;"")</f>
        <v/>
      </c>
      <c r="D487" s="10" t="str">
        <f aca="false">IF(Apontamentos!$C487="","",Apontamentos!F487&amp;"")</f>
        <v/>
      </c>
      <c r="E487" s="10" t="str">
        <f aca="false">IF(Apontamentos!$C487="","",Apontamentos!G487&amp;"")</f>
        <v/>
      </c>
      <c r="F487" s="14"/>
      <c r="G487" s="14"/>
      <c r="H487" s="14"/>
      <c r="I487" s="14"/>
      <c r="J487" s="13"/>
      <c r="K487" s="13"/>
    </row>
    <row r="488" customFormat="false" ht="15" hidden="false" customHeight="false" outlineLevel="0" collapsed="false">
      <c r="A488" s="11" t="str">
        <f aca="false">Apontamentos!C488</f>
        <v/>
      </c>
      <c r="B488" s="11" t="str">
        <f aca="false">IF(Apontamentos!$C488="","",Apontamentos!D488&amp;"")</f>
        <v/>
      </c>
      <c r="C488" s="11" t="str">
        <f aca="false">IF(Apontamentos!$C488="","",Apontamentos!E488&amp;"")</f>
        <v/>
      </c>
      <c r="D488" s="10" t="str">
        <f aca="false">IF(Apontamentos!$C488="","",Apontamentos!F488&amp;"")</f>
        <v/>
      </c>
      <c r="E488" s="10" t="str">
        <f aca="false">IF(Apontamentos!$C488="","",Apontamentos!G488&amp;"")</f>
        <v/>
      </c>
      <c r="F488" s="14"/>
      <c r="G488" s="14"/>
      <c r="H488" s="14"/>
      <c r="I488" s="14"/>
      <c r="J488" s="13"/>
      <c r="K488" s="13"/>
    </row>
    <row r="489" customFormat="false" ht="15" hidden="false" customHeight="false" outlineLevel="0" collapsed="false">
      <c r="A489" s="11" t="str">
        <f aca="false">Apontamentos!C489</f>
        <v/>
      </c>
      <c r="B489" s="11" t="str">
        <f aca="false">IF(Apontamentos!$C489="","",Apontamentos!D489&amp;"")</f>
        <v/>
      </c>
      <c r="C489" s="11" t="str">
        <f aca="false">IF(Apontamentos!$C489="","",Apontamentos!E489&amp;"")</f>
        <v/>
      </c>
      <c r="D489" s="10" t="str">
        <f aca="false">IF(Apontamentos!$C489="","",Apontamentos!F489&amp;"")</f>
        <v/>
      </c>
      <c r="E489" s="10" t="str">
        <f aca="false">IF(Apontamentos!$C489="","",Apontamentos!G489&amp;"")</f>
        <v/>
      </c>
      <c r="F489" s="14"/>
      <c r="G489" s="14"/>
      <c r="H489" s="14"/>
      <c r="I489" s="14"/>
      <c r="J489" s="13"/>
      <c r="K489" s="13"/>
    </row>
    <row r="490" customFormat="false" ht="15" hidden="false" customHeight="false" outlineLevel="0" collapsed="false">
      <c r="A490" s="11" t="str">
        <f aca="false">Apontamentos!C490</f>
        <v/>
      </c>
      <c r="B490" s="11" t="str">
        <f aca="false">IF(Apontamentos!$C490="","",Apontamentos!D490&amp;"")</f>
        <v/>
      </c>
      <c r="C490" s="11" t="str">
        <f aca="false">IF(Apontamentos!$C490="","",Apontamentos!E490&amp;"")</f>
        <v/>
      </c>
      <c r="D490" s="10" t="str">
        <f aca="false">IF(Apontamentos!$C490="","",Apontamentos!F490&amp;"")</f>
        <v/>
      </c>
      <c r="E490" s="10" t="str">
        <f aca="false">IF(Apontamentos!$C490="","",Apontamentos!G490&amp;"")</f>
        <v/>
      </c>
      <c r="F490" s="14"/>
      <c r="G490" s="14"/>
      <c r="H490" s="14"/>
      <c r="I490" s="14"/>
      <c r="J490" s="13"/>
      <c r="K490" s="13"/>
    </row>
    <row r="491" customFormat="false" ht="15" hidden="false" customHeight="false" outlineLevel="0" collapsed="false">
      <c r="A491" s="11" t="str">
        <f aca="false">Apontamentos!C491</f>
        <v/>
      </c>
      <c r="B491" s="11" t="str">
        <f aca="false">IF(Apontamentos!$C491="","",Apontamentos!D491&amp;"")</f>
        <v/>
      </c>
      <c r="C491" s="11" t="str">
        <f aca="false">IF(Apontamentos!$C491="","",Apontamentos!E491&amp;"")</f>
        <v/>
      </c>
      <c r="D491" s="10" t="str">
        <f aca="false">IF(Apontamentos!$C491="","",Apontamentos!F491&amp;"")</f>
        <v/>
      </c>
      <c r="E491" s="10" t="str">
        <f aca="false">IF(Apontamentos!$C491="","",Apontamentos!G491&amp;"")</f>
        <v/>
      </c>
      <c r="F491" s="14"/>
      <c r="G491" s="14"/>
      <c r="H491" s="14"/>
      <c r="I491" s="14"/>
      <c r="J491" s="13"/>
      <c r="K491" s="13"/>
    </row>
    <row r="492" customFormat="false" ht="15" hidden="false" customHeight="false" outlineLevel="0" collapsed="false">
      <c r="A492" s="11" t="str">
        <f aca="false">Apontamentos!C492</f>
        <v/>
      </c>
      <c r="B492" s="11" t="str">
        <f aca="false">IF(Apontamentos!$C492="","",Apontamentos!D492&amp;"")</f>
        <v/>
      </c>
      <c r="C492" s="11" t="str">
        <f aca="false">IF(Apontamentos!$C492="","",Apontamentos!E492&amp;"")</f>
        <v/>
      </c>
      <c r="D492" s="10" t="str">
        <f aca="false">IF(Apontamentos!$C492="","",Apontamentos!F492&amp;"")</f>
        <v/>
      </c>
      <c r="E492" s="10" t="str">
        <f aca="false">IF(Apontamentos!$C492="","",Apontamentos!G492&amp;"")</f>
        <v/>
      </c>
      <c r="F492" s="14"/>
      <c r="G492" s="14"/>
      <c r="H492" s="14"/>
      <c r="I492" s="14"/>
      <c r="J492" s="13"/>
      <c r="K492" s="13"/>
    </row>
    <row r="493" customFormat="false" ht="15" hidden="false" customHeight="false" outlineLevel="0" collapsed="false">
      <c r="A493" s="11" t="str">
        <f aca="false">Apontamentos!C493</f>
        <v/>
      </c>
      <c r="B493" s="11" t="str">
        <f aca="false">IF(Apontamentos!$C493="","",Apontamentos!D493&amp;"")</f>
        <v/>
      </c>
      <c r="C493" s="11" t="str">
        <f aca="false">IF(Apontamentos!$C493="","",Apontamentos!E493&amp;"")</f>
        <v/>
      </c>
      <c r="D493" s="10" t="str">
        <f aca="false">IF(Apontamentos!$C493="","",Apontamentos!F493&amp;"")</f>
        <v/>
      </c>
      <c r="E493" s="10" t="str">
        <f aca="false">IF(Apontamentos!$C493="","",Apontamentos!G493&amp;"")</f>
        <v/>
      </c>
      <c r="F493" s="14"/>
      <c r="G493" s="14"/>
      <c r="H493" s="14"/>
      <c r="I493" s="14"/>
      <c r="J493" s="13"/>
      <c r="K493" s="13"/>
    </row>
    <row r="494" customFormat="false" ht="15" hidden="false" customHeight="false" outlineLevel="0" collapsed="false">
      <c r="A494" s="11" t="str">
        <f aca="false">Apontamentos!C494</f>
        <v/>
      </c>
      <c r="B494" s="11" t="str">
        <f aca="false">IF(Apontamentos!$C494="","",Apontamentos!D494&amp;"")</f>
        <v/>
      </c>
      <c r="C494" s="11" t="str">
        <f aca="false">IF(Apontamentos!$C494="","",Apontamentos!E494&amp;"")</f>
        <v/>
      </c>
      <c r="D494" s="10" t="str">
        <f aca="false">IF(Apontamentos!$C494="","",Apontamentos!F494&amp;"")</f>
        <v/>
      </c>
      <c r="E494" s="10" t="str">
        <f aca="false">IF(Apontamentos!$C494="","",Apontamentos!G494&amp;"")</f>
        <v/>
      </c>
      <c r="F494" s="14"/>
      <c r="G494" s="14"/>
      <c r="H494" s="14"/>
      <c r="I494" s="14"/>
      <c r="J494" s="13"/>
      <c r="K494" s="13"/>
    </row>
    <row r="495" customFormat="false" ht="15" hidden="false" customHeight="false" outlineLevel="0" collapsed="false">
      <c r="A495" s="11" t="str">
        <f aca="false">Apontamentos!C495</f>
        <v/>
      </c>
      <c r="B495" s="11" t="str">
        <f aca="false">IF(Apontamentos!$C495="","",Apontamentos!D495&amp;"")</f>
        <v/>
      </c>
      <c r="C495" s="11" t="str">
        <f aca="false">IF(Apontamentos!$C495="","",Apontamentos!E495&amp;"")</f>
        <v/>
      </c>
      <c r="D495" s="10" t="str">
        <f aca="false">IF(Apontamentos!$C495="","",Apontamentos!F495&amp;"")</f>
        <v/>
      </c>
      <c r="E495" s="10" t="str">
        <f aca="false">IF(Apontamentos!$C495="","",Apontamentos!G495&amp;"")</f>
        <v/>
      </c>
      <c r="F495" s="14"/>
      <c r="G495" s="14"/>
      <c r="H495" s="14"/>
      <c r="I495" s="14"/>
      <c r="J495" s="13"/>
      <c r="K495" s="13"/>
    </row>
    <row r="496" customFormat="false" ht="15" hidden="false" customHeight="false" outlineLevel="0" collapsed="false">
      <c r="A496" s="11" t="str">
        <f aca="false">Apontamentos!C496</f>
        <v/>
      </c>
      <c r="B496" s="11" t="str">
        <f aca="false">IF(Apontamentos!$C496="","",Apontamentos!D496&amp;"")</f>
        <v/>
      </c>
      <c r="C496" s="11" t="str">
        <f aca="false">IF(Apontamentos!$C496="","",Apontamentos!E496&amp;"")</f>
        <v/>
      </c>
      <c r="D496" s="10" t="str">
        <f aca="false">IF(Apontamentos!$C496="","",Apontamentos!F496&amp;"")</f>
        <v/>
      </c>
      <c r="E496" s="10" t="str">
        <f aca="false">IF(Apontamentos!$C496="","",Apontamentos!G496&amp;"")</f>
        <v/>
      </c>
      <c r="F496" s="14"/>
      <c r="G496" s="14"/>
      <c r="H496" s="14"/>
      <c r="I496" s="14"/>
      <c r="J496" s="13"/>
      <c r="K496" s="13"/>
    </row>
    <row r="497" customFormat="false" ht="15" hidden="false" customHeight="false" outlineLevel="0" collapsed="false">
      <c r="A497" s="11" t="str">
        <f aca="false">Apontamentos!C497</f>
        <v/>
      </c>
      <c r="B497" s="11" t="str">
        <f aca="false">IF(Apontamentos!$C497="","",Apontamentos!D497&amp;"")</f>
        <v/>
      </c>
      <c r="C497" s="11" t="str">
        <f aca="false">IF(Apontamentos!$C497="","",Apontamentos!E497&amp;"")</f>
        <v/>
      </c>
      <c r="D497" s="10" t="str">
        <f aca="false">IF(Apontamentos!$C497="","",Apontamentos!F497&amp;"")</f>
        <v/>
      </c>
      <c r="E497" s="10" t="str">
        <f aca="false">IF(Apontamentos!$C497="","",Apontamentos!G497&amp;"")</f>
        <v/>
      </c>
      <c r="F497" s="14"/>
      <c r="G497" s="14"/>
      <c r="H497" s="14"/>
      <c r="I497" s="14"/>
      <c r="J497" s="13"/>
      <c r="K497" s="13"/>
    </row>
    <row r="498" customFormat="false" ht="15" hidden="false" customHeight="false" outlineLevel="0" collapsed="false">
      <c r="A498" s="11" t="str">
        <f aca="false">Apontamentos!C498</f>
        <v/>
      </c>
      <c r="B498" s="11" t="str">
        <f aca="false">IF(Apontamentos!$C498="","",Apontamentos!D498&amp;"")</f>
        <v/>
      </c>
      <c r="C498" s="11" t="str">
        <f aca="false">IF(Apontamentos!$C498="","",Apontamentos!E498&amp;"")</f>
        <v/>
      </c>
      <c r="D498" s="10" t="str">
        <f aca="false">IF(Apontamentos!$C498="","",Apontamentos!F498&amp;"")</f>
        <v/>
      </c>
      <c r="E498" s="10" t="str">
        <f aca="false">IF(Apontamentos!$C498="","",Apontamentos!G498&amp;"")</f>
        <v/>
      </c>
      <c r="F498" s="14"/>
      <c r="G498" s="14"/>
      <c r="H498" s="14"/>
      <c r="I498" s="14"/>
      <c r="J498" s="13"/>
      <c r="K498" s="13"/>
    </row>
    <row r="499" customFormat="false" ht="15" hidden="false" customHeight="false" outlineLevel="0" collapsed="false">
      <c r="A499" s="11" t="str">
        <f aca="false">Apontamentos!C499</f>
        <v/>
      </c>
      <c r="B499" s="11" t="str">
        <f aca="false">IF(Apontamentos!$C499="","",Apontamentos!D499&amp;"")</f>
        <v/>
      </c>
      <c r="C499" s="11" t="str">
        <f aca="false">IF(Apontamentos!$C499="","",Apontamentos!E499&amp;"")</f>
        <v/>
      </c>
      <c r="D499" s="10" t="str">
        <f aca="false">IF(Apontamentos!$C499="","",Apontamentos!F499&amp;"")</f>
        <v/>
      </c>
      <c r="E499" s="10" t="str">
        <f aca="false">IF(Apontamentos!$C499="","",Apontamentos!G499&amp;"")</f>
        <v/>
      </c>
      <c r="F499" s="14"/>
      <c r="G499" s="14"/>
      <c r="H499" s="14"/>
      <c r="I499" s="14"/>
      <c r="J499" s="13"/>
      <c r="K499" s="13"/>
    </row>
    <row r="500" customFormat="false" ht="15" hidden="false" customHeight="false" outlineLevel="0" collapsed="false">
      <c r="A500" s="11" t="str">
        <f aca="false">Apontamentos!C500</f>
        <v/>
      </c>
      <c r="B500" s="11" t="str">
        <f aca="false">IF(Apontamentos!$C500="","",Apontamentos!D500&amp;"")</f>
        <v/>
      </c>
      <c r="C500" s="11" t="str">
        <f aca="false">IF(Apontamentos!$C500="","",Apontamentos!E500&amp;"")</f>
        <v/>
      </c>
      <c r="D500" s="10" t="str">
        <f aca="false">IF(Apontamentos!$C500="","",Apontamentos!F500&amp;"")</f>
        <v/>
      </c>
      <c r="E500" s="10" t="str">
        <f aca="false">IF(Apontamentos!$C500="","",Apontamentos!G500&amp;"")</f>
        <v/>
      </c>
      <c r="F500" s="14"/>
      <c r="G500" s="14"/>
      <c r="H500" s="14"/>
      <c r="I500" s="14"/>
      <c r="J500" s="13"/>
      <c r="K500" s="13"/>
    </row>
    <row r="501" customFormat="false" ht="15" hidden="false" customHeight="false" outlineLevel="0" collapsed="false">
      <c r="A501" s="11" t="str">
        <f aca="false">Apontamentos!C501</f>
        <v/>
      </c>
      <c r="B501" s="11" t="str">
        <f aca="false">IF(Apontamentos!$C501="","",Apontamentos!D501&amp;"")</f>
        <v/>
      </c>
      <c r="C501" s="11" t="str">
        <f aca="false">IF(Apontamentos!$C501="","",Apontamentos!E501&amp;"")</f>
        <v/>
      </c>
      <c r="D501" s="10" t="str">
        <f aca="false">IF(Apontamentos!$C501="","",Apontamentos!F501&amp;"")</f>
        <v/>
      </c>
      <c r="E501" s="10" t="str">
        <f aca="false">IF(Apontamentos!$C501="","",Apontamentos!G501&amp;"")</f>
        <v/>
      </c>
      <c r="F501" s="14"/>
      <c r="G501" s="14"/>
      <c r="H501" s="14"/>
      <c r="I501" s="14"/>
      <c r="J501" s="13"/>
      <c r="K501" s="13"/>
    </row>
    <row r="502" customFormat="false" ht="15" hidden="false" customHeight="false" outlineLevel="0" collapsed="false">
      <c r="A502" s="11" t="str">
        <f aca="false">Apontamentos!C502</f>
        <v/>
      </c>
      <c r="B502" s="11" t="str">
        <f aca="false">IF(Apontamentos!$C502="","",Apontamentos!D502&amp;"")</f>
        <v/>
      </c>
      <c r="C502" s="11" t="str">
        <f aca="false">IF(Apontamentos!$C502="","",Apontamentos!E502&amp;"")</f>
        <v/>
      </c>
      <c r="D502" s="10" t="str">
        <f aca="false">IF(Apontamentos!$C502="","",Apontamentos!F502&amp;"")</f>
        <v/>
      </c>
      <c r="E502" s="10" t="str">
        <f aca="false">IF(Apontamentos!$C502="","",Apontamentos!G502&amp;"")</f>
        <v/>
      </c>
      <c r="F502" s="14"/>
      <c r="G502" s="14"/>
      <c r="H502" s="14"/>
      <c r="I502" s="14"/>
      <c r="J502" s="13"/>
      <c r="K502" s="13"/>
    </row>
    <row r="503" customFormat="false" ht="15" hidden="false" customHeight="false" outlineLevel="0" collapsed="false">
      <c r="A503" s="11" t="str">
        <f aca="false">Apontamentos!C503</f>
        <v/>
      </c>
      <c r="B503" s="11" t="str">
        <f aca="false">IF(Apontamentos!$C503="","",Apontamentos!D503&amp;"")</f>
        <v/>
      </c>
      <c r="C503" s="11" t="str">
        <f aca="false">IF(Apontamentos!$C503="","",Apontamentos!E503&amp;"")</f>
        <v/>
      </c>
      <c r="D503" s="10" t="str">
        <f aca="false">IF(Apontamentos!$C503="","",Apontamentos!F503&amp;"")</f>
        <v/>
      </c>
      <c r="E503" s="10" t="str">
        <f aca="false">IF(Apontamentos!$C503="","",Apontamentos!G503&amp;"")</f>
        <v/>
      </c>
      <c r="F503" s="14"/>
      <c r="G503" s="14"/>
      <c r="H503" s="14"/>
      <c r="I503" s="14"/>
      <c r="J503" s="13"/>
      <c r="K503" s="13"/>
    </row>
    <row r="504" customFormat="false" ht="15" hidden="false" customHeight="false" outlineLevel="0" collapsed="false">
      <c r="A504" s="11" t="str">
        <f aca="false">Apontamentos!C504</f>
        <v/>
      </c>
      <c r="B504" s="11" t="str">
        <f aca="false">IF(Apontamentos!$C504="","",Apontamentos!D504&amp;"")</f>
        <v/>
      </c>
      <c r="C504" s="11" t="str">
        <f aca="false">IF(Apontamentos!$C504="","",Apontamentos!E504&amp;"")</f>
        <v/>
      </c>
      <c r="D504" s="10" t="str">
        <f aca="false">IF(Apontamentos!$C504="","",Apontamentos!F504&amp;"")</f>
        <v/>
      </c>
      <c r="E504" s="10" t="str">
        <f aca="false">IF(Apontamentos!$C504="","",Apontamentos!G504&amp;"")</f>
        <v/>
      </c>
      <c r="F504" s="14"/>
      <c r="G504" s="14"/>
      <c r="H504" s="14"/>
      <c r="I504" s="14"/>
      <c r="J504" s="13"/>
      <c r="K504" s="13"/>
    </row>
    <row r="505" customFormat="false" ht="15" hidden="false" customHeight="false" outlineLevel="0" collapsed="false">
      <c r="A505" s="11" t="str">
        <f aca="false">Apontamentos!C505</f>
        <v/>
      </c>
      <c r="B505" s="11" t="str">
        <f aca="false">IF(Apontamentos!$C505="","",Apontamentos!D505&amp;"")</f>
        <v/>
      </c>
      <c r="C505" s="11" t="str">
        <f aca="false">IF(Apontamentos!$C505="","",Apontamentos!E505&amp;"")</f>
        <v/>
      </c>
      <c r="D505" s="10" t="str">
        <f aca="false">IF(Apontamentos!$C505="","",Apontamentos!F505&amp;"")</f>
        <v/>
      </c>
      <c r="E505" s="10" t="str">
        <f aca="false">IF(Apontamentos!$C505="","",Apontamentos!G505&amp;"")</f>
        <v/>
      </c>
      <c r="F505" s="14"/>
      <c r="G505" s="14"/>
      <c r="H505" s="14"/>
      <c r="I505" s="14"/>
      <c r="J505" s="13"/>
      <c r="K505" s="13"/>
    </row>
    <row r="506" customFormat="false" ht="15" hidden="false" customHeight="false" outlineLevel="0" collapsed="false">
      <c r="A506" s="11" t="str">
        <f aca="false">Apontamentos!C506</f>
        <v/>
      </c>
      <c r="B506" s="11" t="str">
        <f aca="false">IF(Apontamentos!$C506="","",Apontamentos!D506&amp;"")</f>
        <v/>
      </c>
      <c r="C506" s="11" t="str">
        <f aca="false">IF(Apontamentos!$C506="","",Apontamentos!E506&amp;"")</f>
        <v/>
      </c>
      <c r="D506" s="10" t="str">
        <f aca="false">IF(Apontamentos!$C506="","",Apontamentos!F506&amp;"")</f>
        <v/>
      </c>
      <c r="E506" s="10" t="str">
        <f aca="false">IF(Apontamentos!$C506="","",Apontamentos!G506&amp;"")</f>
        <v/>
      </c>
      <c r="F506" s="14"/>
      <c r="G506" s="14"/>
      <c r="H506" s="14"/>
      <c r="I506" s="14"/>
      <c r="J506" s="13"/>
      <c r="K506" s="13"/>
    </row>
    <row r="507" customFormat="false" ht="15" hidden="false" customHeight="false" outlineLevel="0" collapsed="false">
      <c r="A507" s="11" t="str">
        <f aca="false">Apontamentos!C507</f>
        <v/>
      </c>
      <c r="B507" s="11" t="str">
        <f aca="false">IF(Apontamentos!$C507="","",Apontamentos!D507&amp;"")</f>
        <v/>
      </c>
      <c r="C507" s="11" t="str">
        <f aca="false">IF(Apontamentos!$C507="","",Apontamentos!E507&amp;"")</f>
        <v/>
      </c>
      <c r="D507" s="10" t="str">
        <f aca="false">IF(Apontamentos!$C507="","",Apontamentos!F507&amp;"")</f>
        <v/>
      </c>
      <c r="E507" s="10" t="str">
        <f aca="false">IF(Apontamentos!$C507="","",Apontamentos!G507&amp;"")</f>
        <v/>
      </c>
      <c r="F507" s="14"/>
      <c r="G507" s="14"/>
      <c r="H507" s="14"/>
      <c r="I507" s="14"/>
      <c r="J507" s="13"/>
      <c r="K507" s="13"/>
    </row>
    <row r="508" customFormat="false" ht="15" hidden="false" customHeight="false" outlineLevel="0" collapsed="false">
      <c r="A508" s="11" t="str">
        <f aca="false">Apontamentos!C508</f>
        <v/>
      </c>
      <c r="B508" s="11" t="str">
        <f aca="false">IF(Apontamentos!$C508="","",Apontamentos!D508&amp;"")</f>
        <v/>
      </c>
      <c r="C508" s="11" t="str">
        <f aca="false">IF(Apontamentos!$C508="","",Apontamentos!E508&amp;"")</f>
        <v/>
      </c>
      <c r="D508" s="10" t="str">
        <f aca="false">IF(Apontamentos!$C508="","",Apontamentos!F508&amp;"")</f>
        <v/>
      </c>
      <c r="E508" s="10" t="str">
        <f aca="false">IF(Apontamentos!$C508="","",Apontamentos!G508&amp;"")</f>
        <v/>
      </c>
      <c r="F508" s="14"/>
      <c r="G508" s="14"/>
      <c r="H508" s="14"/>
      <c r="I508" s="14"/>
      <c r="J508" s="13"/>
      <c r="K508" s="13"/>
    </row>
    <row r="509" customFormat="false" ht="15" hidden="false" customHeight="false" outlineLevel="0" collapsed="false">
      <c r="A509" s="11" t="str">
        <f aca="false">Apontamentos!C509</f>
        <v/>
      </c>
      <c r="B509" s="11" t="str">
        <f aca="false">IF(Apontamentos!$C509="","",Apontamentos!D509&amp;"")</f>
        <v/>
      </c>
      <c r="C509" s="11" t="str">
        <f aca="false">IF(Apontamentos!$C509="","",Apontamentos!E509&amp;"")</f>
        <v/>
      </c>
      <c r="D509" s="10" t="str">
        <f aca="false">IF(Apontamentos!$C509="","",Apontamentos!F509&amp;"")</f>
        <v/>
      </c>
      <c r="E509" s="10" t="str">
        <f aca="false">IF(Apontamentos!$C509="","",Apontamentos!G509&amp;"")</f>
        <v/>
      </c>
      <c r="F509" s="14"/>
      <c r="G509" s="14"/>
      <c r="H509" s="14"/>
      <c r="I509" s="14"/>
      <c r="J509" s="13"/>
      <c r="K509" s="13"/>
    </row>
    <row r="510" customFormat="false" ht="15" hidden="false" customHeight="false" outlineLevel="0" collapsed="false">
      <c r="A510" s="11" t="str">
        <f aca="false">Apontamentos!C510</f>
        <v/>
      </c>
      <c r="B510" s="11" t="str">
        <f aca="false">IF(Apontamentos!$C510="","",Apontamentos!D510&amp;"")</f>
        <v/>
      </c>
      <c r="C510" s="11" t="str">
        <f aca="false">IF(Apontamentos!$C510="","",Apontamentos!E510&amp;"")</f>
        <v/>
      </c>
      <c r="D510" s="10" t="str">
        <f aca="false">IF(Apontamentos!$C510="","",Apontamentos!F510&amp;"")</f>
        <v/>
      </c>
      <c r="E510" s="10" t="str">
        <f aca="false">IF(Apontamentos!$C510="","",Apontamentos!G510&amp;"")</f>
        <v/>
      </c>
      <c r="F510" s="14"/>
      <c r="G510" s="14"/>
      <c r="H510" s="14"/>
      <c r="I510" s="14"/>
      <c r="J510" s="13"/>
      <c r="K510" s="13"/>
    </row>
    <row r="511" customFormat="false" ht="15" hidden="false" customHeight="false" outlineLevel="0" collapsed="false">
      <c r="A511" s="11" t="str">
        <f aca="false">Apontamentos!C511</f>
        <v/>
      </c>
      <c r="B511" s="11" t="str">
        <f aca="false">IF(Apontamentos!$C511="","",Apontamentos!D511&amp;"")</f>
        <v/>
      </c>
      <c r="C511" s="11" t="str">
        <f aca="false">IF(Apontamentos!$C511="","",Apontamentos!E511&amp;"")</f>
        <v/>
      </c>
      <c r="D511" s="10" t="str">
        <f aca="false">IF(Apontamentos!$C511="","",Apontamentos!F511&amp;"")</f>
        <v/>
      </c>
      <c r="E511" s="10" t="str">
        <f aca="false">IF(Apontamentos!$C511="","",Apontamentos!G511&amp;"")</f>
        <v/>
      </c>
      <c r="F511" s="14"/>
      <c r="G511" s="14"/>
      <c r="H511" s="14"/>
      <c r="I511" s="14"/>
      <c r="J511" s="13"/>
      <c r="K511" s="13"/>
    </row>
    <row r="512" customFormat="false" ht="15" hidden="false" customHeight="false" outlineLevel="0" collapsed="false">
      <c r="A512" s="11" t="str">
        <f aca="false">Apontamentos!C512</f>
        <v/>
      </c>
      <c r="B512" s="11" t="str">
        <f aca="false">IF(Apontamentos!$C512="","",Apontamentos!D512&amp;"")</f>
        <v/>
      </c>
      <c r="C512" s="11" t="str">
        <f aca="false">IF(Apontamentos!$C512="","",Apontamentos!E512&amp;"")</f>
        <v/>
      </c>
      <c r="D512" s="10" t="str">
        <f aca="false">IF(Apontamentos!$C512="","",Apontamentos!F512&amp;"")</f>
        <v/>
      </c>
      <c r="E512" s="10" t="str">
        <f aca="false">IF(Apontamentos!$C512="","",Apontamentos!G512&amp;"")</f>
        <v/>
      </c>
      <c r="F512" s="14"/>
      <c r="G512" s="14"/>
      <c r="H512" s="14"/>
      <c r="I512" s="14"/>
      <c r="J512" s="13"/>
      <c r="K512" s="13"/>
    </row>
    <row r="513" customFormat="false" ht="15" hidden="false" customHeight="false" outlineLevel="0" collapsed="false">
      <c r="A513" s="11" t="str">
        <f aca="false">Apontamentos!C513</f>
        <v/>
      </c>
      <c r="B513" s="11" t="str">
        <f aca="false">IF(Apontamentos!$C513="","",Apontamentos!D513&amp;"")</f>
        <v/>
      </c>
      <c r="C513" s="11" t="str">
        <f aca="false">IF(Apontamentos!$C513="","",Apontamentos!E513&amp;"")</f>
        <v/>
      </c>
      <c r="D513" s="10" t="str">
        <f aca="false">IF(Apontamentos!$C513="","",Apontamentos!F513&amp;"")</f>
        <v/>
      </c>
      <c r="E513" s="10" t="str">
        <f aca="false">IF(Apontamentos!$C513="","",Apontamentos!G513&amp;"")</f>
        <v/>
      </c>
      <c r="F513" s="14"/>
      <c r="G513" s="14"/>
      <c r="H513" s="14"/>
      <c r="I513" s="14"/>
      <c r="J513" s="13"/>
      <c r="K513" s="13"/>
    </row>
    <row r="514" customFormat="false" ht="15" hidden="false" customHeight="false" outlineLevel="0" collapsed="false">
      <c r="A514" s="11" t="str">
        <f aca="false">Apontamentos!C514</f>
        <v/>
      </c>
      <c r="B514" s="11" t="str">
        <f aca="false">IF(Apontamentos!$C514="","",Apontamentos!D514&amp;"")</f>
        <v/>
      </c>
      <c r="C514" s="11" t="str">
        <f aca="false">IF(Apontamentos!$C514="","",Apontamentos!E514&amp;"")</f>
        <v/>
      </c>
      <c r="D514" s="10" t="str">
        <f aca="false">IF(Apontamentos!$C514="","",Apontamentos!F514&amp;"")</f>
        <v/>
      </c>
      <c r="E514" s="10" t="str">
        <f aca="false">IF(Apontamentos!$C514="","",Apontamentos!G514&amp;"")</f>
        <v/>
      </c>
      <c r="F514" s="14"/>
      <c r="G514" s="14"/>
      <c r="H514" s="14"/>
      <c r="I514" s="14"/>
      <c r="J514" s="13"/>
      <c r="K514" s="13"/>
    </row>
    <row r="515" customFormat="false" ht="15" hidden="false" customHeight="false" outlineLevel="0" collapsed="false">
      <c r="A515" s="11" t="str">
        <f aca="false">Apontamentos!C515</f>
        <v/>
      </c>
      <c r="B515" s="11" t="str">
        <f aca="false">IF(Apontamentos!$C515="","",Apontamentos!D515&amp;"")</f>
        <v/>
      </c>
      <c r="C515" s="11" t="str">
        <f aca="false">IF(Apontamentos!$C515="","",Apontamentos!E515&amp;"")</f>
        <v/>
      </c>
      <c r="D515" s="10" t="str">
        <f aca="false">IF(Apontamentos!$C515="","",Apontamentos!F515&amp;"")</f>
        <v/>
      </c>
      <c r="E515" s="10" t="str">
        <f aca="false">IF(Apontamentos!$C515="","",Apontamentos!G515&amp;"")</f>
        <v/>
      </c>
      <c r="F515" s="14"/>
      <c r="G515" s="14"/>
      <c r="H515" s="14"/>
      <c r="I515" s="14"/>
      <c r="J515" s="13"/>
      <c r="K515" s="13"/>
    </row>
    <row r="516" customFormat="false" ht="15" hidden="false" customHeight="false" outlineLevel="0" collapsed="false">
      <c r="A516" s="11" t="str">
        <f aca="false">Apontamentos!C516</f>
        <v/>
      </c>
      <c r="B516" s="11" t="str">
        <f aca="false">IF(Apontamentos!$C516="","",Apontamentos!D516&amp;"")</f>
        <v/>
      </c>
      <c r="C516" s="11" t="str">
        <f aca="false">IF(Apontamentos!$C516="","",Apontamentos!E516&amp;"")</f>
        <v/>
      </c>
      <c r="D516" s="10" t="str">
        <f aca="false">IF(Apontamentos!$C516="","",Apontamentos!F516&amp;"")</f>
        <v/>
      </c>
      <c r="E516" s="10" t="str">
        <f aca="false">IF(Apontamentos!$C516="","",Apontamentos!G516&amp;"")</f>
        <v/>
      </c>
      <c r="F516" s="14"/>
      <c r="G516" s="14"/>
      <c r="H516" s="14"/>
      <c r="I516" s="14"/>
      <c r="J516" s="13"/>
      <c r="K516" s="13"/>
    </row>
    <row r="517" customFormat="false" ht="15" hidden="false" customHeight="false" outlineLevel="0" collapsed="false">
      <c r="A517" s="11" t="str">
        <f aca="false">Apontamentos!C517</f>
        <v/>
      </c>
      <c r="B517" s="11" t="str">
        <f aca="false">IF(Apontamentos!$C517="","",Apontamentos!D517&amp;"")</f>
        <v/>
      </c>
      <c r="C517" s="11" t="str">
        <f aca="false">IF(Apontamentos!$C517="","",Apontamentos!E517&amp;"")</f>
        <v/>
      </c>
      <c r="D517" s="10" t="str">
        <f aca="false">IF(Apontamentos!$C517="","",Apontamentos!F517&amp;"")</f>
        <v/>
      </c>
      <c r="E517" s="10" t="str">
        <f aca="false">IF(Apontamentos!$C517="","",Apontamentos!G517&amp;"")</f>
        <v/>
      </c>
      <c r="F517" s="14"/>
      <c r="G517" s="14"/>
      <c r="H517" s="14"/>
      <c r="I517" s="14"/>
      <c r="J517" s="13"/>
      <c r="K517" s="13"/>
    </row>
    <row r="518" customFormat="false" ht="15" hidden="false" customHeight="false" outlineLevel="0" collapsed="false">
      <c r="A518" s="11" t="str">
        <f aca="false">Apontamentos!C518</f>
        <v/>
      </c>
      <c r="B518" s="11" t="str">
        <f aca="false">IF(Apontamentos!$C518="","",Apontamentos!D518&amp;"")</f>
        <v/>
      </c>
      <c r="C518" s="11" t="str">
        <f aca="false">IF(Apontamentos!$C518="","",Apontamentos!E518&amp;"")</f>
        <v/>
      </c>
      <c r="D518" s="10" t="str">
        <f aca="false">IF(Apontamentos!$C518="","",Apontamentos!F518&amp;"")</f>
        <v/>
      </c>
      <c r="E518" s="10" t="str">
        <f aca="false">IF(Apontamentos!$C518="","",Apontamentos!G518&amp;"")</f>
        <v/>
      </c>
      <c r="F518" s="14"/>
      <c r="G518" s="14"/>
      <c r="H518" s="14"/>
      <c r="I518" s="14"/>
      <c r="J518" s="13"/>
      <c r="K518" s="13"/>
    </row>
    <row r="519" customFormat="false" ht="15" hidden="false" customHeight="false" outlineLevel="0" collapsed="false">
      <c r="A519" s="11" t="str">
        <f aca="false">Apontamentos!C519</f>
        <v/>
      </c>
      <c r="B519" s="11" t="str">
        <f aca="false">IF(Apontamentos!$C519="","",Apontamentos!D519&amp;"")</f>
        <v/>
      </c>
      <c r="C519" s="11" t="str">
        <f aca="false">IF(Apontamentos!$C519="","",Apontamentos!E519&amp;"")</f>
        <v/>
      </c>
      <c r="D519" s="10" t="str">
        <f aca="false">IF(Apontamentos!$C519="","",Apontamentos!F519&amp;"")</f>
        <v/>
      </c>
      <c r="E519" s="10" t="str">
        <f aca="false">IF(Apontamentos!$C519="","",Apontamentos!G519&amp;"")</f>
        <v/>
      </c>
      <c r="F519" s="14"/>
      <c r="G519" s="14"/>
      <c r="H519" s="14"/>
      <c r="I519" s="14"/>
      <c r="J519" s="13"/>
      <c r="K519" s="13"/>
    </row>
    <row r="520" customFormat="false" ht="15" hidden="false" customHeight="false" outlineLevel="0" collapsed="false">
      <c r="A520" s="11" t="str">
        <f aca="false">Apontamentos!C520</f>
        <v/>
      </c>
      <c r="B520" s="11" t="str">
        <f aca="false">IF(Apontamentos!$C520="","",Apontamentos!D520&amp;"")</f>
        <v/>
      </c>
      <c r="C520" s="11" t="str">
        <f aca="false">IF(Apontamentos!$C520="","",Apontamentos!E520&amp;"")</f>
        <v/>
      </c>
      <c r="D520" s="10" t="str">
        <f aca="false">IF(Apontamentos!$C520="","",Apontamentos!F520&amp;"")</f>
        <v/>
      </c>
      <c r="E520" s="10" t="str">
        <f aca="false">IF(Apontamentos!$C520="","",Apontamentos!G520&amp;"")</f>
        <v/>
      </c>
      <c r="F520" s="14"/>
      <c r="G520" s="14"/>
      <c r="H520" s="14"/>
      <c r="I520" s="14"/>
      <c r="J520" s="13"/>
      <c r="K520" s="13"/>
    </row>
    <row r="521" customFormat="false" ht="15" hidden="false" customHeight="false" outlineLevel="0" collapsed="false">
      <c r="A521" s="11" t="str">
        <f aca="false">Apontamentos!C521</f>
        <v/>
      </c>
      <c r="B521" s="11" t="str">
        <f aca="false">IF(Apontamentos!$C521="","",Apontamentos!D521&amp;"")</f>
        <v/>
      </c>
      <c r="C521" s="11" t="str">
        <f aca="false">IF(Apontamentos!$C521="","",Apontamentos!E521&amp;"")</f>
        <v/>
      </c>
      <c r="D521" s="10" t="str">
        <f aca="false">IF(Apontamentos!$C521="","",Apontamentos!F521&amp;"")</f>
        <v/>
      </c>
      <c r="E521" s="10" t="str">
        <f aca="false">IF(Apontamentos!$C521="","",Apontamentos!G521&amp;"")</f>
        <v/>
      </c>
      <c r="F521" s="14"/>
      <c r="G521" s="14"/>
      <c r="H521" s="14"/>
      <c r="I521" s="14"/>
      <c r="J521" s="13"/>
      <c r="K521" s="13"/>
    </row>
    <row r="522" customFormat="false" ht="15" hidden="false" customHeight="false" outlineLevel="0" collapsed="false">
      <c r="A522" s="11" t="str">
        <f aca="false">Apontamentos!C522</f>
        <v/>
      </c>
      <c r="B522" s="11" t="str">
        <f aca="false">IF(Apontamentos!$C522="","",Apontamentos!D522&amp;"")</f>
        <v/>
      </c>
      <c r="C522" s="11" t="str">
        <f aca="false">IF(Apontamentos!$C522="","",Apontamentos!E522&amp;"")</f>
        <v/>
      </c>
      <c r="D522" s="10" t="str">
        <f aca="false">IF(Apontamentos!$C522="","",Apontamentos!F522&amp;"")</f>
        <v/>
      </c>
      <c r="E522" s="10" t="str">
        <f aca="false">IF(Apontamentos!$C522="","",Apontamentos!G522&amp;"")</f>
        <v/>
      </c>
      <c r="F522" s="14"/>
      <c r="G522" s="14"/>
      <c r="H522" s="14"/>
      <c r="I522" s="14"/>
      <c r="J522" s="13"/>
      <c r="K522" s="13"/>
    </row>
    <row r="523" customFormat="false" ht="15" hidden="false" customHeight="false" outlineLevel="0" collapsed="false">
      <c r="A523" s="11" t="str">
        <f aca="false">Apontamentos!C523</f>
        <v/>
      </c>
      <c r="B523" s="11" t="str">
        <f aca="false">IF(Apontamentos!$C523="","",Apontamentos!D523&amp;"")</f>
        <v/>
      </c>
      <c r="C523" s="11" t="str">
        <f aca="false">IF(Apontamentos!$C523="","",Apontamentos!E523&amp;"")</f>
        <v/>
      </c>
      <c r="D523" s="10" t="str">
        <f aca="false">IF(Apontamentos!$C523="","",Apontamentos!F523&amp;"")</f>
        <v/>
      </c>
      <c r="E523" s="10" t="str">
        <f aca="false">IF(Apontamentos!$C523="","",Apontamentos!G523&amp;"")</f>
        <v/>
      </c>
      <c r="F523" s="14"/>
      <c r="G523" s="14"/>
      <c r="H523" s="14"/>
      <c r="I523" s="14"/>
      <c r="J523" s="13"/>
      <c r="K523" s="13"/>
    </row>
    <row r="524" customFormat="false" ht="15" hidden="false" customHeight="false" outlineLevel="0" collapsed="false">
      <c r="A524" s="11" t="str">
        <f aca="false">Apontamentos!C524</f>
        <v/>
      </c>
      <c r="B524" s="11" t="str">
        <f aca="false">IF(Apontamentos!$C524="","",Apontamentos!D524&amp;"")</f>
        <v/>
      </c>
      <c r="C524" s="11" t="str">
        <f aca="false">IF(Apontamentos!$C524="","",Apontamentos!E524&amp;"")</f>
        <v/>
      </c>
      <c r="D524" s="10" t="str">
        <f aca="false">IF(Apontamentos!$C524="","",Apontamentos!F524&amp;"")</f>
        <v/>
      </c>
      <c r="E524" s="10" t="str">
        <f aca="false">IF(Apontamentos!$C524="","",Apontamentos!G524&amp;"")</f>
        <v/>
      </c>
      <c r="F524" s="14"/>
      <c r="G524" s="14"/>
      <c r="H524" s="14"/>
      <c r="I524" s="14"/>
      <c r="J524" s="13"/>
      <c r="K524" s="13"/>
    </row>
    <row r="525" customFormat="false" ht="15" hidden="false" customHeight="false" outlineLevel="0" collapsed="false">
      <c r="A525" s="11" t="str">
        <f aca="false">Apontamentos!C525</f>
        <v/>
      </c>
      <c r="B525" s="11" t="str">
        <f aca="false">IF(Apontamentos!$C525="","",Apontamentos!D525&amp;"")</f>
        <v/>
      </c>
      <c r="C525" s="11" t="str">
        <f aca="false">IF(Apontamentos!$C525="","",Apontamentos!E525&amp;"")</f>
        <v/>
      </c>
      <c r="D525" s="10" t="str">
        <f aca="false">IF(Apontamentos!$C525="","",Apontamentos!F525&amp;"")</f>
        <v/>
      </c>
      <c r="E525" s="10" t="str">
        <f aca="false">IF(Apontamentos!$C525="","",Apontamentos!G525&amp;"")</f>
        <v/>
      </c>
      <c r="F525" s="14"/>
      <c r="G525" s="14"/>
      <c r="H525" s="14"/>
      <c r="I525" s="14"/>
      <c r="J525" s="13"/>
      <c r="K525" s="13"/>
    </row>
    <row r="526" customFormat="false" ht="15" hidden="false" customHeight="false" outlineLevel="0" collapsed="false">
      <c r="A526" s="11" t="str">
        <f aca="false">Apontamentos!C526</f>
        <v/>
      </c>
      <c r="B526" s="11" t="str">
        <f aca="false">IF(Apontamentos!$C526="","",Apontamentos!D526&amp;"")</f>
        <v/>
      </c>
      <c r="C526" s="11" t="str">
        <f aca="false">IF(Apontamentos!$C526="","",Apontamentos!E526&amp;"")</f>
        <v/>
      </c>
      <c r="D526" s="10" t="str">
        <f aca="false">IF(Apontamentos!$C526="","",Apontamentos!F526&amp;"")</f>
        <v/>
      </c>
      <c r="E526" s="10" t="str">
        <f aca="false">IF(Apontamentos!$C526="","",Apontamentos!G526&amp;"")</f>
        <v/>
      </c>
      <c r="F526" s="14"/>
      <c r="G526" s="14"/>
      <c r="H526" s="14"/>
      <c r="I526" s="14"/>
      <c r="J526" s="13"/>
      <c r="K526" s="13"/>
    </row>
    <row r="527" customFormat="false" ht="15" hidden="false" customHeight="false" outlineLevel="0" collapsed="false">
      <c r="A527" s="11" t="str">
        <f aca="false">Apontamentos!C527</f>
        <v/>
      </c>
      <c r="B527" s="11" t="str">
        <f aca="false">IF(Apontamentos!$C527="","",Apontamentos!D527&amp;"")</f>
        <v/>
      </c>
      <c r="C527" s="11" t="str">
        <f aca="false">IF(Apontamentos!$C527="","",Apontamentos!E527&amp;"")</f>
        <v/>
      </c>
      <c r="D527" s="10" t="str">
        <f aca="false">IF(Apontamentos!$C527="","",Apontamentos!F527&amp;"")</f>
        <v/>
      </c>
      <c r="E527" s="10" t="str">
        <f aca="false">IF(Apontamentos!$C527="","",Apontamentos!G527&amp;"")</f>
        <v/>
      </c>
      <c r="F527" s="14"/>
      <c r="G527" s="14"/>
      <c r="H527" s="14"/>
      <c r="I527" s="14"/>
      <c r="J527" s="13"/>
      <c r="K527" s="13"/>
    </row>
    <row r="528" customFormat="false" ht="15" hidden="false" customHeight="false" outlineLevel="0" collapsed="false">
      <c r="A528" s="11" t="str">
        <f aca="false">Apontamentos!C528</f>
        <v/>
      </c>
      <c r="B528" s="11" t="str">
        <f aca="false">IF(Apontamentos!$C528="","",Apontamentos!D528&amp;"")</f>
        <v/>
      </c>
      <c r="C528" s="11" t="str">
        <f aca="false">IF(Apontamentos!$C528="","",Apontamentos!E528&amp;"")</f>
        <v/>
      </c>
      <c r="D528" s="10" t="str">
        <f aca="false">IF(Apontamentos!$C528="","",Apontamentos!F528&amp;"")</f>
        <v/>
      </c>
      <c r="E528" s="10" t="str">
        <f aca="false">IF(Apontamentos!$C528="","",Apontamentos!G528&amp;"")</f>
        <v/>
      </c>
      <c r="F528" s="14"/>
      <c r="G528" s="14"/>
      <c r="H528" s="14"/>
      <c r="I528" s="14"/>
      <c r="J528" s="13"/>
      <c r="K528" s="13"/>
    </row>
    <row r="529" customFormat="false" ht="15" hidden="false" customHeight="false" outlineLevel="0" collapsed="false">
      <c r="A529" s="11" t="str">
        <f aca="false">Apontamentos!C529</f>
        <v/>
      </c>
      <c r="B529" s="11" t="str">
        <f aca="false">IF(Apontamentos!$C529="","",Apontamentos!D529&amp;"")</f>
        <v/>
      </c>
      <c r="C529" s="11" t="str">
        <f aca="false">IF(Apontamentos!$C529="","",Apontamentos!E529&amp;"")</f>
        <v/>
      </c>
      <c r="D529" s="10" t="str">
        <f aca="false">IF(Apontamentos!$C529="","",Apontamentos!F529&amp;"")</f>
        <v/>
      </c>
      <c r="E529" s="10" t="str">
        <f aca="false">IF(Apontamentos!$C529="","",Apontamentos!G529&amp;"")</f>
        <v/>
      </c>
      <c r="F529" s="14"/>
      <c r="G529" s="14"/>
      <c r="H529" s="14"/>
      <c r="I529" s="14"/>
      <c r="J529" s="13"/>
      <c r="K529" s="13"/>
    </row>
    <row r="530" customFormat="false" ht="15" hidden="false" customHeight="false" outlineLevel="0" collapsed="false">
      <c r="A530" s="11" t="str">
        <f aca="false">Apontamentos!C530</f>
        <v/>
      </c>
      <c r="B530" s="11" t="str">
        <f aca="false">IF(Apontamentos!$C530="","",Apontamentos!D530&amp;"")</f>
        <v/>
      </c>
      <c r="C530" s="11" t="str">
        <f aca="false">IF(Apontamentos!$C530="","",Apontamentos!E530&amp;"")</f>
        <v/>
      </c>
      <c r="D530" s="10" t="str">
        <f aca="false">IF(Apontamentos!$C530="","",Apontamentos!F530&amp;"")</f>
        <v/>
      </c>
      <c r="E530" s="10" t="str">
        <f aca="false">IF(Apontamentos!$C530="","",Apontamentos!G530&amp;"")</f>
        <v/>
      </c>
      <c r="F530" s="14"/>
      <c r="G530" s="14"/>
      <c r="H530" s="14"/>
      <c r="I530" s="14"/>
      <c r="J530" s="13"/>
      <c r="K530" s="13"/>
    </row>
    <row r="531" customFormat="false" ht="15" hidden="false" customHeight="false" outlineLevel="0" collapsed="false">
      <c r="A531" s="11" t="str">
        <f aca="false">Apontamentos!C531</f>
        <v/>
      </c>
      <c r="B531" s="11" t="str">
        <f aca="false">IF(Apontamentos!$C531="","",Apontamentos!D531&amp;"")</f>
        <v/>
      </c>
      <c r="C531" s="11" t="str">
        <f aca="false">IF(Apontamentos!$C531="","",Apontamentos!E531&amp;"")</f>
        <v/>
      </c>
      <c r="D531" s="10" t="str">
        <f aca="false">IF(Apontamentos!$C531="","",Apontamentos!F531&amp;"")</f>
        <v/>
      </c>
      <c r="E531" s="10" t="str">
        <f aca="false">IF(Apontamentos!$C531="","",Apontamentos!G531&amp;"")</f>
        <v/>
      </c>
      <c r="F531" s="14"/>
      <c r="G531" s="14"/>
      <c r="H531" s="14"/>
      <c r="I531" s="14"/>
      <c r="J531" s="13"/>
      <c r="K531" s="13"/>
    </row>
    <row r="532" customFormat="false" ht="15" hidden="false" customHeight="false" outlineLevel="0" collapsed="false">
      <c r="A532" s="11" t="str">
        <f aca="false">Apontamentos!C532</f>
        <v/>
      </c>
      <c r="B532" s="11" t="str">
        <f aca="false">IF(Apontamentos!$C532="","",Apontamentos!D532&amp;"")</f>
        <v/>
      </c>
      <c r="C532" s="11" t="str">
        <f aca="false">IF(Apontamentos!$C532="","",Apontamentos!E532&amp;"")</f>
        <v/>
      </c>
      <c r="D532" s="10" t="str">
        <f aca="false">IF(Apontamentos!$C532="","",Apontamentos!F532&amp;"")</f>
        <v/>
      </c>
      <c r="E532" s="10" t="str">
        <f aca="false">IF(Apontamentos!$C532="","",Apontamentos!G532&amp;"")</f>
        <v/>
      </c>
      <c r="F532" s="14"/>
      <c r="G532" s="14"/>
      <c r="H532" s="14"/>
      <c r="I532" s="14"/>
      <c r="J532" s="13"/>
      <c r="K532" s="13"/>
    </row>
    <row r="533" customFormat="false" ht="15" hidden="false" customHeight="false" outlineLevel="0" collapsed="false">
      <c r="A533" s="11" t="str">
        <f aca="false">Apontamentos!C533</f>
        <v/>
      </c>
      <c r="B533" s="11" t="str">
        <f aca="false">IF(Apontamentos!$C533="","",Apontamentos!D533&amp;"")</f>
        <v/>
      </c>
      <c r="C533" s="11" t="str">
        <f aca="false">IF(Apontamentos!$C533="","",Apontamentos!E533&amp;"")</f>
        <v/>
      </c>
      <c r="D533" s="10" t="str">
        <f aca="false">IF(Apontamentos!$C533="","",Apontamentos!F533&amp;"")</f>
        <v/>
      </c>
      <c r="E533" s="10" t="str">
        <f aca="false">IF(Apontamentos!$C533="","",Apontamentos!G533&amp;"")</f>
        <v/>
      </c>
      <c r="F533" s="14"/>
      <c r="G533" s="14"/>
      <c r="H533" s="14"/>
      <c r="I533" s="14"/>
      <c r="J533" s="13"/>
      <c r="K533" s="13"/>
    </row>
    <row r="534" customFormat="false" ht="15" hidden="false" customHeight="false" outlineLevel="0" collapsed="false">
      <c r="A534" s="11" t="str">
        <f aca="false">Apontamentos!C534</f>
        <v/>
      </c>
      <c r="B534" s="11" t="str">
        <f aca="false">IF(Apontamentos!$C534="","",Apontamentos!D534&amp;"")</f>
        <v/>
      </c>
      <c r="C534" s="11" t="str">
        <f aca="false">IF(Apontamentos!$C534="","",Apontamentos!E534&amp;"")</f>
        <v/>
      </c>
      <c r="D534" s="10" t="str">
        <f aca="false">IF(Apontamentos!$C534="","",Apontamentos!F534&amp;"")</f>
        <v/>
      </c>
      <c r="E534" s="10" t="str">
        <f aca="false">IF(Apontamentos!$C534="","",Apontamentos!G534&amp;"")</f>
        <v/>
      </c>
      <c r="F534" s="14"/>
      <c r="G534" s="14"/>
      <c r="H534" s="14"/>
      <c r="I534" s="14"/>
      <c r="J534" s="13"/>
      <c r="K534" s="13"/>
    </row>
    <row r="535" customFormat="false" ht="15" hidden="false" customHeight="false" outlineLevel="0" collapsed="false">
      <c r="A535" s="11" t="str">
        <f aca="false">Apontamentos!C535</f>
        <v/>
      </c>
      <c r="B535" s="11" t="str">
        <f aca="false">IF(Apontamentos!$C535="","",Apontamentos!D535&amp;"")</f>
        <v/>
      </c>
      <c r="C535" s="11" t="str">
        <f aca="false">IF(Apontamentos!$C535="","",Apontamentos!E535&amp;"")</f>
        <v/>
      </c>
      <c r="D535" s="10" t="str">
        <f aca="false">IF(Apontamentos!$C535="","",Apontamentos!F535&amp;"")</f>
        <v/>
      </c>
      <c r="E535" s="10" t="str">
        <f aca="false">IF(Apontamentos!$C535="","",Apontamentos!G535&amp;"")</f>
        <v/>
      </c>
      <c r="F535" s="14"/>
      <c r="G535" s="14"/>
      <c r="H535" s="14"/>
      <c r="I535" s="14"/>
      <c r="J535" s="13"/>
      <c r="K535" s="13"/>
    </row>
    <row r="536" customFormat="false" ht="15" hidden="false" customHeight="false" outlineLevel="0" collapsed="false">
      <c r="A536" s="11" t="str">
        <f aca="false">Apontamentos!C536</f>
        <v/>
      </c>
      <c r="B536" s="11" t="str">
        <f aca="false">IF(Apontamentos!$C536="","",Apontamentos!D536&amp;"")</f>
        <v/>
      </c>
      <c r="C536" s="11" t="str">
        <f aca="false">IF(Apontamentos!$C536="","",Apontamentos!E536&amp;"")</f>
        <v/>
      </c>
      <c r="D536" s="10" t="str">
        <f aca="false">IF(Apontamentos!$C536="","",Apontamentos!F536&amp;"")</f>
        <v/>
      </c>
      <c r="E536" s="10" t="str">
        <f aca="false">IF(Apontamentos!$C536="","",Apontamentos!G536&amp;"")</f>
        <v/>
      </c>
      <c r="F536" s="14"/>
      <c r="G536" s="14"/>
      <c r="H536" s="14"/>
      <c r="I536" s="14"/>
      <c r="J536" s="13"/>
      <c r="K536" s="13"/>
    </row>
    <row r="537" customFormat="false" ht="15" hidden="false" customHeight="false" outlineLevel="0" collapsed="false">
      <c r="A537" s="11" t="str">
        <f aca="false">Apontamentos!C537</f>
        <v/>
      </c>
      <c r="B537" s="11" t="str">
        <f aca="false">IF(Apontamentos!$C537="","",Apontamentos!D537&amp;"")</f>
        <v/>
      </c>
      <c r="C537" s="11" t="str">
        <f aca="false">IF(Apontamentos!$C537="","",Apontamentos!E537&amp;"")</f>
        <v/>
      </c>
      <c r="D537" s="10" t="str">
        <f aca="false">IF(Apontamentos!$C537="","",Apontamentos!F537&amp;"")</f>
        <v/>
      </c>
      <c r="E537" s="10" t="str">
        <f aca="false">IF(Apontamentos!$C537="","",Apontamentos!G537&amp;"")</f>
        <v/>
      </c>
      <c r="F537" s="14"/>
      <c r="G537" s="14"/>
      <c r="H537" s="14"/>
      <c r="I537" s="14"/>
      <c r="J537" s="13"/>
      <c r="K537" s="13"/>
    </row>
    <row r="538" customFormat="false" ht="15" hidden="false" customHeight="false" outlineLevel="0" collapsed="false">
      <c r="A538" s="11" t="str">
        <f aca="false">Apontamentos!C538</f>
        <v/>
      </c>
      <c r="B538" s="11" t="str">
        <f aca="false">IF(Apontamentos!$C538="","",Apontamentos!D538&amp;"")</f>
        <v/>
      </c>
      <c r="C538" s="11" t="str">
        <f aca="false">IF(Apontamentos!$C538="","",Apontamentos!E538&amp;"")</f>
        <v/>
      </c>
      <c r="D538" s="10" t="str">
        <f aca="false">IF(Apontamentos!$C538="","",Apontamentos!F538&amp;"")</f>
        <v/>
      </c>
      <c r="E538" s="10" t="str">
        <f aca="false">IF(Apontamentos!$C538="","",Apontamentos!G538&amp;"")</f>
        <v/>
      </c>
      <c r="F538" s="14"/>
      <c r="G538" s="14"/>
      <c r="H538" s="14"/>
      <c r="I538" s="14"/>
      <c r="J538" s="13"/>
      <c r="K538" s="13"/>
    </row>
    <row r="539" customFormat="false" ht="15" hidden="false" customHeight="false" outlineLevel="0" collapsed="false">
      <c r="A539" s="11" t="str">
        <f aca="false">Apontamentos!C539</f>
        <v/>
      </c>
      <c r="B539" s="11" t="str">
        <f aca="false">IF(Apontamentos!$C539="","",Apontamentos!D539&amp;"")</f>
        <v/>
      </c>
      <c r="C539" s="11" t="str">
        <f aca="false">IF(Apontamentos!$C539="","",Apontamentos!E539&amp;"")</f>
        <v/>
      </c>
      <c r="D539" s="10" t="str">
        <f aca="false">IF(Apontamentos!$C539="","",Apontamentos!F539&amp;"")</f>
        <v/>
      </c>
      <c r="E539" s="10" t="str">
        <f aca="false">IF(Apontamentos!$C539="","",Apontamentos!G539&amp;"")</f>
        <v/>
      </c>
      <c r="F539" s="14"/>
      <c r="G539" s="14"/>
      <c r="H539" s="14"/>
      <c r="I539" s="14"/>
      <c r="J539" s="13"/>
      <c r="K539" s="13"/>
    </row>
    <row r="540" customFormat="false" ht="15" hidden="false" customHeight="false" outlineLevel="0" collapsed="false">
      <c r="A540" s="11" t="str">
        <f aca="false">Apontamentos!C540</f>
        <v/>
      </c>
      <c r="B540" s="11" t="str">
        <f aca="false">IF(Apontamentos!$C540="","",Apontamentos!D540&amp;"")</f>
        <v/>
      </c>
      <c r="C540" s="11" t="str">
        <f aca="false">IF(Apontamentos!$C540="","",Apontamentos!E540&amp;"")</f>
        <v/>
      </c>
      <c r="D540" s="10" t="str">
        <f aca="false">IF(Apontamentos!$C540="","",Apontamentos!F540&amp;"")</f>
        <v/>
      </c>
      <c r="E540" s="10" t="str">
        <f aca="false">IF(Apontamentos!$C540="","",Apontamentos!G540&amp;"")</f>
        <v/>
      </c>
      <c r="F540" s="14"/>
      <c r="G540" s="14"/>
      <c r="H540" s="14"/>
      <c r="I540" s="14"/>
      <c r="J540" s="13"/>
      <c r="K540" s="13"/>
    </row>
    <row r="541" customFormat="false" ht="15" hidden="false" customHeight="false" outlineLevel="0" collapsed="false">
      <c r="A541" s="11" t="str">
        <f aca="false">Apontamentos!C541</f>
        <v/>
      </c>
      <c r="B541" s="11" t="str">
        <f aca="false">IF(Apontamentos!$C541="","",Apontamentos!D541&amp;"")</f>
        <v/>
      </c>
      <c r="C541" s="11" t="str">
        <f aca="false">IF(Apontamentos!$C541="","",Apontamentos!E541&amp;"")</f>
        <v/>
      </c>
      <c r="D541" s="10" t="str">
        <f aca="false">IF(Apontamentos!$C541="","",Apontamentos!F541&amp;"")</f>
        <v/>
      </c>
      <c r="E541" s="10" t="str">
        <f aca="false">IF(Apontamentos!$C541="","",Apontamentos!G541&amp;"")</f>
        <v/>
      </c>
      <c r="F541" s="14"/>
      <c r="G541" s="14"/>
      <c r="H541" s="14"/>
      <c r="I541" s="14"/>
      <c r="J541" s="13"/>
      <c r="K541" s="13"/>
    </row>
    <row r="542" customFormat="false" ht="15" hidden="false" customHeight="false" outlineLevel="0" collapsed="false">
      <c r="A542" s="11" t="str">
        <f aca="false">Apontamentos!C542</f>
        <v/>
      </c>
      <c r="B542" s="11" t="str">
        <f aca="false">IF(Apontamentos!$C542="","",Apontamentos!D542&amp;"")</f>
        <v/>
      </c>
      <c r="C542" s="11" t="str">
        <f aca="false">IF(Apontamentos!$C542="","",Apontamentos!E542&amp;"")</f>
        <v/>
      </c>
      <c r="D542" s="10" t="str">
        <f aca="false">IF(Apontamentos!$C542="","",Apontamentos!F542&amp;"")</f>
        <v/>
      </c>
      <c r="E542" s="10" t="str">
        <f aca="false">IF(Apontamentos!$C542="","",Apontamentos!G542&amp;"")</f>
        <v/>
      </c>
      <c r="F542" s="14"/>
      <c r="G542" s="14"/>
      <c r="H542" s="14"/>
      <c r="I542" s="14"/>
      <c r="J542" s="13"/>
      <c r="K542" s="13"/>
    </row>
    <row r="543" customFormat="false" ht="15" hidden="false" customHeight="false" outlineLevel="0" collapsed="false">
      <c r="A543" s="11" t="str">
        <f aca="false">Apontamentos!C543</f>
        <v/>
      </c>
      <c r="B543" s="11" t="str">
        <f aca="false">IF(Apontamentos!$C543="","",Apontamentos!D543&amp;"")</f>
        <v/>
      </c>
      <c r="C543" s="11" t="str">
        <f aca="false">IF(Apontamentos!$C543="","",Apontamentos!E543&amp;"")</f>
        <v/>
      </c>
      <c r="D543" s="10" t="str">
        <f aca="false">IF(Apontamentos!$C543="","",Apontamentos!F543&amp;"")</f>
        <v/>
      </c>
      <c r="E543" s="10" t="str">
        <f aca="false">IF(Apontamentos!$C543="","",Apontamentos!G543&amp;"")</f>
        <v/>
      </c>
      <c r="F543" s="14"/>
      <c r="G543" s="14"/>
      <c r="H543" s="14"/>
      <c r="I543" s="14"/>
      <c r="J543" s="13"/>
      <c r="K543" s="13"/>
    </row>
    <row r="544" customFormat="false" ht="15" hidden="false" customHeight="false" outlineLevel="0" collapsed="false">
      <c r="A544" s="11" t="str">
        <f aca="false">Apontamentos!C544</f>
        <v/>
      </c>
      <c r="B544" s="11" t="str">
        <f aca="false">IF(Apontamentos!$C544="","",Apontamentos!D544&amp;"")</f>
        <v/>
      </c>
      <c r="C544" s="11" t="str">
        <f aca="false">IF(Apontamentos!$C544="","",Apontamentos!E544&amp;"")</f>
        <v/>
      </c>
      <c r="D544" s="10" t="str">
        <f aca="false">IF(Apontamentos!$C544="","",Apontamentos!F544&amp;"")</f>
        <v/>
      </c>
      <c r="E544" s="10" t="str">
        <f aca="false">IF(Apontamentos!$C544="","",Apontamentos!G544&amp;"")</f>
        <v/>
      </c>
      <c r="F544" s="14"/>
      <c r="G544" s="14"/>
      <c r="H544" s="14"/>
      <c r="I544" s="14"/>
      <c r="J544" s="13"/>
      <c r="K544" s="13"/>
    </row>
    <row r="545" customFormat="false" ht="15" hidden="false" customHeight="false" outlineLevel="0" collapsed="false">
      <c r="A545" s="11" t="str">
        <f aca="false">Apontamentos!C545</f>
        <v/>
      </c>
      <c r="B545" s="11" t="str">
        <f aca="false">IF(Apontamentos!$C545="","",Apontamentos!D545&amp;"")</f>
        <v/>
      </c>
      <c r="C545" s="11" t="str">
        <f aca="false">IF(Apontamentos!$C545="","",Apontamentos!E545&amp;"")</f>
        <v/>
      </c>
      <c r="D545" s="10" t="str">
        <f aca="false">IF(Apontamentos!$C545="","",Apontamentos!F545&amp;"")</f>
        <v/>
      </c>
      <c r="E545" s="10" t="str">
        <f aca="false">IF(Apontamentos!$C545="","",Apontamentos!G545&amp;"")</f>
        <v/>
      </c>
      <c r="F545" s="14"/>
      <c r="G545" s="14"/>
      <c r="H545" s="14"/>
      <c r="I545" s="14"/>
      <c r="J545" s="13"/>
      <c r="K545" s="13"/>
    </row>
    <row r="546" customFormat="false" ht="15" hidden="false" customHeight="false" outlineLevel="0" collapsed="false">
      <c r="A546" s="11" t="str">
        <f aca="false">Apontamentos!C546</f>
        <v/>
      </c>
      <c r="B546" s="11" t="str">
        <f aca="false">IF(Apontamentos!$C546="","",Apontamentos!D546&amp;"")</f>
        <v/>
      </c>
      <c r="C546" s="11" t="str">
        <f aca="false">IF(Apontamentos!$C546="","",Apontamentos!E546&amp;"")</f>
        <v/>
      </c>
      <c r="D546" s="10" t="str">
        <f aca="false">IF(Apontamentos!$C546="","",Apontamentos!F546&amp;"")</f>
        <v/>
      </c>
      <c r="E546" s="10" t="str">
        <f aca="false">IF(Apontamentos!$C546="","",Apontamentos!G546&amp;"")</f>
        <v/>
      </c>
      <c r="F546" s="14"/>
      <c r="G546" s="14"/>
      <c r="H546" s="14"/>
      <c r="I546" s="14"/>
      <c r="J546" s="13"/>
      <c r="K546" s="13"/>
    </row>
    <row r="547" customFormat="false" ht="15" hidden="false" customHeight="false" outlineLevel="0" collapsed="false">
      <c r="A547" s="11" t="str">
        <f aca="false">Apontamentos!C547</f>
        <v/>
      </c>
      <c r="B547" s="11" t="str">
        <f aca="false">IF(Apontamentos!$C547="","",Apontamentos!D547&amp;"")</f>
        <v/>
      </c>
      <c r="C547" s="11" t="str">
        <f aca="false">IF(Apontamentos!$C547="","",Apontamentos!E547&amp;"")</f>
        <v/>
      </c>
      <c r="D547" s="10" t="str">
        <f aca="false">IF(Apontamentos!$C547="","",Apontamentos!F547&amp;"")</f>
        <v/>
      </c>
      <c r="E547" s="10" t="str">
        <f aca="false">IF(Apontamentos!$C547="","",Apontamentos!G547&amp;"")</f>
        <v/>
      </c>
      <c r="F547" s="14"/>
      <c r="G547" s="14"/>
      <c r="H547" s="14"/>
      <c r="I547" s="14"/>
      <c r="J547" s="13"/>
      <c r="K547" s="13"/>
    </row>
    <row r="548" customFormat="false" ht="15" hidden="false" customHeight="false" outlineLevel="0" collapsed="false">
      <c r="A548" s="11" t="str">
        <f aca="false">Apontamentos!C548</f>
        <v/>
      </c>
      <c r="B548" s="11" t="str">
        <f aca="false">IF(Apontamentos!$C548="","",Apontamentos!D548&amp;"")</f>
        <v/>
      </c>
      <c r="C548" s="11" t="str">
        <f aca="false">IF(Apontamentos!$C548="","",Apontamentos!E548&amp;"")</f>
        <v/>
      </c>
      <c r="D548" s="10" t="str">
        <f aca="false">IF(Apontamentos!$C548="","",Apontamentos!F548&amp;"")</f>
        <v/>
      </c>
      <c r="E548" s="10" t="str">
        <f aca="false">IF(Apontamentos!$C548="","",Apontamentos!G548&amp;"")</f>
        <v/>
      </c>
      <c r="F548" s="14"/>
      <c r="G548" s="14"/>
      <c r="H548" s="14"/>
      <c r="I548" s="14"/>
      <c r="J548" s="13"/>
      <c r="K548" s="13"/>
    </row>
    <row r="549" customFormat="false" ht="15" hidden="false" customHeight="false" outlineLevel="0" collapsed="false">
      <c r="A549" s="11" t="str">
        <f aca="false">Apontamentos!C549</f>
        <v/>
      </c>
      <c r="B549" s="11" t="str">
        <f aca="false">IF(Apontamentos!$C549="","",Apontamentos!D549&amp;"")</f>
        <v/>
      </c>
      <c r="C549" s="11" t="str">
        <f aca="false">IF(Apontamentos!$C549="","",Apontamentos!E549&amp;"")</f>
        <v/>
      </c>
      <c r="D549" s="10" t="str">
        <f aca="false">IF(Apontamentos!$C549="","",Apontamentos!F549&amp;"")</f>
        <v/>
      </c>
      <c r="E549" s="10" t="str">
        <f aca="false">IF(Apontamentos!$C549="","",Apontamentos!G549&amp;"")</f>
        <v/>
      </c>
      <c r="F549" s="14"/>
      <c r="G549" s="14"/>
      <c r="H549" s="14"/>
      <c r="I549" s="14"/>
      <c r="J549" s="13"/>
      <c r="K549" s="13"/>
    </row>
    <row r="550" customFormat="false" ht="15" hidden="false" customHeight="false" outlineLevel="0" collapsed="false">
      <c r="A550" s="11" t="str">
        <f aca="false">Apontamentos!C550</f>
        <v/>
      </c>
      <c r="B550" s="11" t="str">
        <f aca="false">IF(Apontamentos!$C550="","",Apontamentos!D550&amp;"")</f>
        <v/>
      </c>
      <c r="C550" s="11" t="str">
        <f aca="false">IF(Apontamentos!$C550="","",Apontamentos!E550&amp;"")</f>
        <v/>
      </c>
      <c r="D550" s="10" t="str">
        <f aca="false">IF(Apontamentos!$C550="","",Apontamentos!F550&amp;"")</f>
        <v/>
      </c>
      <c r="E550" s="10" t="str">
        <f aca="false">IF(Apontamentos!$C550="","",Apontamentos!G550&amp;"")</f>
        <v/>
      </c>
      <c r="F550" s="14"/>
      <c r="G550" s="14"/>
      <c r="H550" s="14"/>
      <c r="I550" s="14"/>
      <c r="J550" s="13"/>
      <c r="K550" s="13"/>
    </row>
    <row r="551" customFormat="false" ht="15" hidden="false" customHeight="false" outlineLevel="0" collapsed="false">
      <c r="A551" s="11" t="str">
        <f aca="false">Apontamentos!C551</f>
        <v/>
      </c>
      <c r="B551" s="11" t="str">
        <f aca="false">IF(Apontamentos!$C551="","",Apontamentos!D551&amp;"")</f>
        <v/>
      </c>
      <c r="C551" s="11" t="str">
        <f aca="false">IF(Apontamentos!$C551="","",Apontamentos!E551&amp;"")</f>
        <v/>
      </c>
      <c r="D551" s="10" t="str">
        <f aca="false">IF(Apontamentos!$C551="","",Apontamentos!F551&amp;"")</f>
        <v/>
      </c>
      <c r="E551" s="10" t="str">
        <f aca="false">IF(Apontamentos!$C551="","",Apontamentos!G551&amp;"")</f>
        <v/>
      </c>
      <c r="F551" s="14"/>
      <c r="G551" s="14"/>
      <c r="H551" s="14"/>
      <c r="I551" s="14"/>
      <c r="J551" s="13"/>
      <c r="K551" s="13"/>
    </row>
    <row r="552" customFormat="false" ht="15" hidden="false" customHeight="false" outlineLevel="0" collapsed="false">
      <c r="A552" s="11" t="str">
        <f aca="false">Apontamentos!C552</f>
        <v/>
      </c>
      <c r="B552" s="11" t="str">
        <f aca="false">IF(Apontamentos!$C552="","",Apontamentos!D552&amp;"")</f>
        <v/>
      </c>
      <c r="C552" s="11" t="str">
        <f aca="false">IF(Apontamentos!$C552="","",Apontamentos!E552&amp;"")</f>
        <v/>
      </c>
      <c r="D552" s="10" t="str">
        <f aca="false">IF(Apontamentos!$C552="","",Apontamentos!F552&amp;"")</f>
        <v/>
      </c>
      <c r="E552" s="10" t="str">
        <f aca="false">IF(Apontamentos!$C552="","",Apontamentos!G552&amp;"")</f>
        <v/>
      </c>
      <c r="F552" s="14"/>
      <c r="G552" s="14"/>
      <c r="H552" s="14"/>
      <c r="I552" s="14"/>
      <c r="J552" s="13"/>
      <c r="K552" s="13"/>
    </row>
    <row r="553" customFormat="false" ht="15" hidden="false" customHeight="false" outlineLevel="0" collapsed="false">
      <c r="A553" s="11" t="str">
        <f aca="false">Apontamentos!C553</f>
        <v/>
      </c>
      <c r="B553" s="11" t="str">
        <f aca="false">IF(Apontamentos!$C553="","",Apontamentos!D553&amp;"")</f>
        <v/>
      </c>
      <c r="C553" s="11" t="str">
        <f aca="false">IF(Apontamentos!$C553="","",Apontamentos!E553&amp;"")</f>
        <v/>
      </c>
      <c r="D553" s="10" t="str">
        <f aca="false">IF(Apontamentos!$C553="","",Apontamentos!F553&amp;"")</f>
        <v/>
      </c>
      <c r="E553" s="10" t="str">
        <f aca="false">IF(Apontamentos!$C553="","",Apontamentos!G553&amp;"")</f>
        <v/>
      </c>
      <c r="F553" s="14"/>
      <c r="G553" s="14"/>
      <c r="H553" s="14"/>
      <c r="I553" s="14"/>
      <c r="J553" s="13"/>
      <c r="K553" s="13"/>
    </row>
    <row r="554" customFormat="false" ht="15" hidden="false" customHeight="false" outlineLevel="0" collapsed="false">
      <c r="A554" s="11" t="str">
        <f aca="false">Apontamentos!C554</f>
        <v/>
      </c>
      <c r="B554" s="11" t="str">
        <f aca="false">IF(Apontamentos!$C554="","",Apontamentos!D554&amp;"")</f>
        <v/>
      </c>
      <c r="C554" s="11" t="str">
        <f aca="false">IF(Apontamentos!$C554="","",Apontamentos!E554&amp;"")</f>
        <v/>
      </c>
      <c r="D554" s="10" t="str">
        <f aca="false">IF(Apontamentos!$C554="","",Apontamentos!F554&amp;"")</f>
        <v/>
      </c>
      <c r="E554" s="10" t="str">
        <f aca="false">IF(Apontamentos!$C554="","",Apontamentos!G554&amp;"")</f>
        <v/>
      </c>
      <c r="F554" s="14"/>
      <c r="G554" s="14"/>
      <c r="H554" s="14"/>
      <c r="I554" s="14"/>
      <c r="J554" s="13"/>
      <c r="K554" s="13"/>
    </row>
    <row r="555" customFormat="false" ht="15" hidden="false" customHeight="false" outlineLevel="0" collapsed="false">
      <c r="A555" s="11" t="str">
        <f aca="false">Apontamentos!C555</f>
        <v/>
      </c>
      <c r="B555" s="11" t="str">
        <f aca="false">IF(Apontamentos!$C555="","",Apontamentos!D555&amp;"")</f>
        <v/>
      </c>
      <c r="C555" s="11" t="str">
        <f aca="false">IF(Apontamentos!$C555="","",Apontamentos!E555&amp;"")</f>
        <v/>
      </c>
      <c r="D555" s="10" t="str">
        <f aca="false">IF(Apontamentos!$C555="","",Apontamentos!F555&amp;"")</f>
        <v/>
      </c>
      <c r="E555" s="10" t="str">
        <f aca="false">IF(Apontamentos!$C555="","",Apontamentos!G555&amp;"")</f>
        <v/>
      </c>
      <c r="F555" s="14"/>
      <c r="G555" s="14"/>
      <c r="H555" s="14"/>
      <c r="I555" s="14"/>
      <c r="J555" s="13"/>
      <c r="K555" s="13"/>
    </row>
    <row r="556" customFormat="false" ht="15" hidden="false" customHeight="false" outlineLevel="0" collapsed="false">
      <c r="A556" s="11" t="str">
        <f aca="false">Apontamentos!C556</f>
        <v/>
      </c>
      <c r="B556" s="11" t="str">
        <f aca="false">IF(Apontamentos!$C556="","",Apontamentos!D556&amp;"")</f>
        <v/>
      </c>
      <c r="C556" s="11" t="str">
        <f aca="false">IF(Apontamentos!$C556="","",Apontamentos!E556&amp;"")</f>
        <v/>
      </c>
      <c r="D556" s="10" t="str">
        <f aca="false">IF(Apontamentos!$C556="","",Apontamentos!F556&amp;"")</f>
        <v/>
      </c>
      <c r="E556" s="10" t="str">
        <f aca="false">IF(Apontamentos!$C556="","",Apontamentos!G556&amp;"")</f>
        <v/>
      </c>
      <c r="F556" s="14"/>
      <c r="G556" s="14"/>
      <c r="H556" s="14"/>
      <c r="I556" s="14"/>
      <c r="J556" s="13"/>
      <c r="K556" s="13"/>
    </row>
    <row r="557" customFormat="false" ht="15" hidden="false" customHeight="false" outlineLevel="0" collapsed="false">
      <c r="A557" s="11" t="str">
        <f aca="false">Apontamentos!C557</f>
        <v/>
      </c>
      <c r="B557" s="11" t="str">
        <f aca="false">IF(Apontamentos!$C557="","",Apontamentos!D557&amp;"")</f>
        <v/>
      </c>
      <c r="C557" s="11" t="str">
        <f aca="false">IF(Apontamentos!$C557="","",Apontamentos!E557&amp;"")</f>
        <v/>
      </c>
      <c r="D557" s="10" t="str">
        <f aca="false">IF(Apontamentos!$C557="","",Apontamentos!F557&amp;"")</f>
        <v/>
      </c>
      <c r="E557" s="10" t="str">
        <f aca="false">IF(Apontamentos!$C557="","",Apontamentos!G557&amp;"")</f>
        <v/>
      </c>
      <c r="F557" s="14"/>
      <c r="G557" s="14"/>
      <c r="H557" s="14"/>
      <c r="I557" s="14"/>
      <c r="J557" s="13"/>
      <c r="K557" s="13"/>
    </row>
    <row r="558" customFormat="false" ht="15" hidden="false" customHeight="false" outlineLevel="0" collapsed="false">
      <c r="A558" s="11" t="str">
        <f aca="false">Apontamentos!C558</f>
        <v/>
      </c>
      <c r="B558" s="11" t="str">
        <f aca="false">IF(Apontamentos!$C558="","",Apontamentos!D558&amp;"")</f>
        <v/>
      </c>
      <c r="C558" s="11" t="str">
        <f aca="false">IF(Apontamentos!$C558="","",Apontamentos!E558&amp;"")</f>
        <v/>
      </c>
      <c r="D558" s="10" t="str">
        <f aca="false">IF(Apontamentos!$C558="","",Apontamentos!F558&amp;"")</f>
        <v/>
      </c>
      <c r="E558" s="10" t="str">
        <f aca="false">IF(Apontamentos!$C558="","",Apontamentos!G558&amp;"")</f>
        <v/>
      </c>
      <c r="F558" s="14"/>
      <c r="G558" s="14"/>
      <c r="H558" s="14"/>
      <c r="I558" s="14"/>
      <c r="J558" s="13"/>
      <c r="K558" s="13"/>
    </row>
    <row r="559" customFormat="false" ht="15" hidden="false" customHeight="false" outlineLevel="0" collapsed="false">
      <c r="A559" s="11" t="str">
        <f aca="false">Apontamentos!C559</f>
        <v/>
      </c>
      <c r="B559" s="11" t="str">
        <f aca="false">IF(Apontamentos!$C559="","",Apontamentos!D559&amp;"")</f>
        <v/>
      </c>
      <c r="C559" s="11" t="str">
        <f aca="false">IF(Apontamentos!$C559="","",Apontamentos!E559&amp;"")</f>
        <v/>
      </c>
      <c r="D559" s="10" t="str">
        <f aca="false">IF(Apontamentos!$C559="","",Apontamentos!F559&amp;"")</f>
        <v/>
      </c>
      <c r="E559" s="10" t="str">
        <f aca="false">IF(Apontamentos!$C559="","",Apontamentos!G559&amp;"")</f>
        <v/>
      </c>
      <c r="F559" s="14"/>
      <c r="G559" s="14"/>
      <c r="H559" s="14"/>
      <c r="I559" s="14"/>
      <c r="J559" s="13"/>
      <c r="K559" s="13"/>
    </row>
    <row r="560" customFormat="false" ht="15" hidden="false" customHeight="false" outlineLevel="0" collapsed="false">
      <c r="A560" s="11" t="str">
        <f aca="false">Apontamentos!C560</f>
        <v/>
      </c>
      <c r="B560" s="11" t="str">
        <f aca="false">IF(Apontamentos!$C560="","",Apontamentos!D560&amp;"")</f>
        <v/>
      </c>
      <c r="C560" s="11" t="str">
        <f aca="false">IF(Apontamentos!$C560="","",Apontamentos!E560&amp;"")</f>
        <v/>
      </c>
      <c r="D560" s="10" t="str">
        <f aca="false">IF(Apontamentos!$C560="","",Apontamentos!F560&amp;"")</f>
        <v/>
      </c>
      <c r="E560" s="10" t="str">
        <f aca="false">IF(Apontamentos!$C560="","",Apontamentos!G560&amp;"")</f>
        <v/>
      </c>
      <c r="F560" s="14"/>
      <c r="G560" s="14"/>
      <c r="H560" s="14"/>
      <c r="I560" s="14"/>
      <c r="J560" s="13"/>
      <c r="K560" s="13"/>
    </row>
    <row r="561" customFormat="false" ht="15" hidden="false" customHeight="false" outlineLevel="0" collapsed="false">
      <c r="A561" s="11" t="str">
        <f aca="false">Apontamentos!C561</f>
        <v/>
      </c>
      <c r="B561" s="11" t="str">
        <f aca="false">IF(Apontamentos!$C561="","",Apontamentos!D561&amp;"")</f>
        <v/>
      </c>
      <c r="C561" s="11" t="str">
        <f aca="false">IF(Apontamentos!$C561="","",Apontamentos!E561&amp;"")</f>
        <v/>
      </c>
      <c r="D561" s="10" t="str">
        <f aca="false">IF(Apontamentos!$C561="","",Apontamentos!F561&amp;"")</f>
        <v/>
      </c>
      <c r="E561" s="10" t="str">
        <f aca="false">IF(Apontamentos!$C561="","",Apontamentos!G561&amp;"")</f>
        <v/>
      </c>
      <c r="F561" s="14"/>
      <c r="G561" s="14"/>
      <c r="H561" s="14"/>
      <c r="I561" s="14"/>
      <c r="J561" s="13"/>
      <c r="K561" s="13"/>
    </row>
    <row r="562" customFormat="false" ht="15" hidden="false" customHeight="false" outlineLevel="0" collapsed="false">
      <c r="A562" s="11" t="str">
        <f aca="false">Apontamentos!C562</f>
        <v/>
      </c>
      <c r="B562" s="11" t="str">
        <f aca="false">IF(Apontamentos!$C562="","",Apontamentos!D562&amp;"")</f>
        <v/>
      </c>
      <c r="C562" s="11" t="str">
        <f aca="false">IF(Apontamentos!$C562="","",Apontamentos!E562&amp;"")</f>
        <v/>
      </c>
      <c r="D562" s="10" t="str">
        <f aca="false">IF(Apontamentos!$C562="","",Apontamentos!F562&amp;"")</f>
        <v/>
      </c>
      <c r="E562" s="10" t="str">
        <f aca="false">IF(Apontamentos!$C562="","",Apontamentos!G562&amp;"")</f>
        <v/>
      </c>
      <c r="F562" s="14"/>
      <c r="G562" s="14"/>
      <c r="H562" s="14"/>
      <c r="I562" s="14"/>
      <c r="J562" s="13"/>
      <c r="K562" s="13"/>
    </row>
    <row r="563" customFormat="false" ht="15" hidden="false" customHeight="false" outlineLevel="0" collapsed="false">
      <c r="A563" s="11" t="str">
        <f aca="false">Apontamentos!C563</f>
        <v/>
      </c>
      <c r="B563" s="11" t="str">
        <f aca="false">IF(Apontamentos!$C563="","",Apontamentos!D563&amp;"")</f>
        <v/>
      </c>
      <c r="C563" s="11" t="str">
        <f aca="false">IF(Apontamentos!$C563="","",Apontamentos!E563&amp;"")</f>
        <v/>
      </c>
      <c r="D563" s="10" t="str">
        <f aca="false">IF(Apontamentos!$C563="","",Apontamentos!F563&amp;"")</f>
        <v/>
      </c>
      <c r="E563" s="10" t="str">
        <f aca="false">IF(Apontamentos!$C563="","",Apontamentos!G563&amp;"")</f>
        <v/>
      </c>
      <c r="F563" s="14"/>
      <c r="G563" s="14"/>
      <c r="H563" s="14"/>
      <c r="I563" s="14"/>
      <c r="J563" s="13"/>
      <c r="K563" s="13"/>
    </row>
    <row r="564" customFormat="false" ht="15" hidden="false" customHeight="false" outlineLevel="0" collapsed="false">
      <c r="A564" s="11" t="str">
        <f aca="false">Apontamentos!C564</f>
        <v/>
      </c>
      <c r="B564" s="11" t="str">
        <f aca="false">IF(Apontamentos!$C564="","",Apontamentos!D564&amp;"")</f>
        <v/>
      </c>
      <c r="C564" s="11" t="str">
        <f aca="false">IF(Apontamentos!$C564="","",Apontamentos!E564&amp;"")</f>
        <v/>
      </c>
      <c r="D564" s="10" t="str">
        <f aca="false">IF(Apontamentos!$C564="","",Apontamentos!F564&amp;"")</f>
        <v/>
      </c>
      <c r="E564" s="10" t="str">
        <f aca="false">IF(Apontamentos!$C564="","",Apontamentos!G564&amp;"")</f>
        <v/>
      </c>
      <c r="F564" s="14"/>
      <c r="G564" s="14"/>
      <c r="H564" s="14"/>
      <c r="I564" s="14"/>
      <c r="J564" s="13"/>
      <c r="K564" s="13"/>
    </row>
    <row r="565" customFormat="false" ht="15" hidden="false" customHeight="false" outlineLevel="0" collapsed="false">
      <c r="A565" s="11" t="str">
        <f aca="false">Apontamentos!C565</f>
        <v/>
      </c>
      <c r="B565" s="11" t="str">
        <f aca="false">IF(Apontamentos!$C565="","",Apontamentos!D565&amp;"")</f>
        <v/>
      </c>
      <c r="C565" s="11" t="str">
        <f aca="false">IF(Apontamentos!$C565="","",Apontamentos!E565&amp;"")</f>
        <v/>
      </c>
      <c r="D565" s="10" t="str">
        <f aca="false">IF(Apontamentos!$C565="","",Apontamentos!F565&amp;"")</f>
        <v/>
      </c>
      <c r="E565" s="10" t="str">
        <f aca="false">IF(Apontamentos!$C565="","",Apontamentos!G565&amp;"")</f>
        <v/>
      </c>
      <c r="F565" s="14"/>
      <c r="G565" s="14"/>
      <c r="H565" s="14"/>
      <c r="I565" s="14"/>
      <c r="J565" s="13"/>
      <c r="K565" s="13"/>
    </row>
    <row r="566" customFormat="false" ht="15" hidden="false" customHeight="false" outlineLevel="0" collapsed="false">
      <c r="A566" s="11" t="str">
        <f aca="false">Apontamentos!C566</f>
        <v/>
      </c>
      <c r="B566" s="11" t="str">
        <f aca="false">IF(Apontamentos!$C566="","",Apontamentos!D566&amp;"")</f>
        <v/>
      </c>
      <c r="C566" s="11" t="str">
        <f aca="false">IF(Apontamentos!$C566="","",Apontamentos!E566&amp;"")</f>
        <v/>
      </c>
      <c r="D566" s="10" t="str">
        <f aca="false">IF(Apontamentos!$C566="","",Apontamentos!F566&amp;"")</f>
        <v/>
      </c>
      <c r="E566" s="10" t="str">
        <f aca="false">IF(Apontamentos!$C566="","",Apontamentos!G566&amp;"")</f>
        <v/>
      </c>
      <c r="F566" s="14"/>
      <c r="G566" s="14"/>
      <c r="H566" s="14"/>
      <c r="I566" s="14"/>
      <c r="J566" s="13"/>
      <c r="K566" s="13"/>
    </row>
    <row r="567" customFormat="false" ht="15" hidden="false" customHeight="false" outlineLevel="0" collapsed="false">
      <c r="A567" s="11" t="str">
        <f aca="false">Apontamentos!C567</f>
        <v/>
      </c>
      <c r="B567" s="11" t="str">
        <f aca="false">IF(Apontamentos!$C567="","",Apontamentos!D567&amp;"")</f>
        <v/>
      </c>
      <c r="C567" s="11" t="str">
        <f aca="false">IF(Apontamentos!$C567="","",Apontamentos!E567&amp;"")</f>
        <v/>
      </c>
      <c r="D567" s="10" t="str">
        <f aca="false">IF(Apontamentos!$C567="","",Apontamentos!F567&amp;"")</f>
        <v/>
      </c>
      <c r="E567" s="10" t="str">
        <f aca="false">IF(Apontamentos!$C567="","",Apontamentos!G567&amp;"")</f>
        <v/>
      </c>
      <c r="F567" s="14"/>
      <c r="G567" s="14"/>
      <c r="H567" s="14"/>
      <c r="I567" s="14"/>
      <c r="J567" s="13"/>
      <c r="K567" s="13"/>
    </row>
    <row r="568" customFormat="false" ht="15" hidden="false" customHeight="false" outlineLevel="0" collapsed="false">
      <c r="A568" s="11" t="str">
        <f aca="false">Apontamentos!C568</f>
        <v/>
      </c>
      <c r="B568" s="11" t="str">
        <f aca="false">IF(Apontamentos!$C568="","",Apontamentos!D568&amp;"")</f>
        <v/>
      </c>
      <c r="C568" s="11" t="str">
        <f aca="false">IF(Apontamentos!$C568="","",Apontamentos!E568&amp;"")</f>
        <v/>
      </c>
      <c r="D568" s="10" t="str">
        <f aca="false">IF(Apontamentos!$C568="","",Apontamentos!F568&amp;"")</f>
        <v/>
      </c>
      <c r="E568" s="10" t="str">
        <f aca="false">IF(Apontamentos!$C568="","",Apontamentos!G568&amp;"")</f>
        <v/>
      </c>
      <c r="F568" s="14"/>
      <c r="G568" s="14"/>
      <c r="H568" s="14"/>
      <c r="I568" s="14"/>
      <c r="J568" s="13"/>
      <c r="K568" s="13"/>
    </row>
    <row r="569" customFormat="false" ht="15" hidden="false" customHeight="false" outlineLevel="0" collapsed="false">
      <c r="A569" s="11" t="str">
        <f aca="false">Apontamentos!C569</f>
        <v/>
      </c>
      <c r="B569" s="11" t="str">
        <f aca="false">IF(Apontamentos!$C569="","",Apontamentos!D569&amp;"")</f>
        <v/>
      </c>
      <c r="C569" s="11" t="str">
        <f aca="false">IF(Apontamentos!$C569="","",Apontamentos!E569&amp;"")</f>
        <v/>
      </c>
      <c r="D569" s="10" t="str">
        <f aca="false">IF(Apontamentos!$C569="","",Apontamentos!F569&amp;"")</f>
        <v/>
      </c>
      <c r="E569" s="10" t="str">
        <f aca="false">IF(Apontamentos!$C569="","",Apontamentos!G569&amp;"")</f>
        <v/>
      </c>
      <c r="F569" s="14"/>
      <c r="G569" s="14"/>
      <c r="H569" s="14"/>
      <c r="I569" s="14"/>
      <c r="J569" s="13"/>
      <c r="K569" s="13"/>
    </row>
    <row r="570" customFormat="false" ht="15" hidden="false" customHeight="false" outlineLevel="0" collapsed="false">
      <c r="A570" s="11" t="str">
        <f aca="false">Apontamentos!C570</f>
        <v/>
      </c>
      <c r="B570" s="11" t="str">
        <f aca="false">IF(Apontamentos!$C570="","",Apontamentos!D570&amp;"")</f>
        <v/>
      </c>
      <c r="C570" s="11" t="str">
        <f aca="false">IF(Apontamentos!$C570="","",Apontamentos!E570&amp;"")</f>
        <v/>
      </c>
      <c r="D570" s="10" t="str">
        <f aca="false">IF(Apontamentos!$C570="","",Apontamentos!F570&amp;"")</f>
        <v/>
      </c>
      <c r="E570" s="10" t="str">
        <f aca="false">IF(Apontamentos!$C570="","",Apontamentos!G570&amp;"")</f>
        <v/>
      </c>
      <c r="F570" s="14"/>
      <c r="G570" s="14"/>
      <c r="H570" s="14"/>
      <c r="I570" s="14"/>
      <c r="J570" s="13"/>
      <c r="K570" s="13"/>
    </row>
    <row r="571" customFormat="false" ht="15" hidden="false" customHeight="false" outlineLevel="0" collapsed="false">
      <c r="A571" s="11" t="str">
        <f aca="false">Apontamentos!C571</f>
        <v/>
      </c>
      <c r="B571" s="11" t="str">
        <f aca="false">IF(Apontamentos!$C571="","",Apontamentos!D571&amp;"")</f>
        <v/>
      </c>
      <c r="C571" s="11" t="str">
        <f aca="false">IF(Apontamentos!$C571="","",Apontamentos!E571&amp;"")</f>
        <v/>
      </c>
      <c r="D571" s="10" t="str">
        <f aca="false">IF(Apontamentos!$C571="","",Apontamentos!F571&amp;"")</f>
        <v/>
      </c>
      <c r="E571" s="10" t="str">
        <f aca="false">IF(Apontamentos!$C571="","",Apontamentos!G571&amp;"")</f>
        <v/>
      </c>
      <c r="F571" s="14"/>
      <c r="G571" s="14"/>
      <c r="H571" s="14"/>
      <c r="I571" s="14"/>
      <c r="J571" s="13"/>
      <c r="K571" s="13"/>
    </row>
    <row r="572" customFormat="false" ht="15" hidden="false" customHeight="false" outlineLevel="0" collapsed="false">
      <c r="A572" s="11" t="str">
        <f aca="false">Apontamentos!C572</f>
        <v/>
      </c>
      <c r="B572" s="11" t="str">
        <f aca="false">IF(Apontamentos!$C572="","",Apontamentos!D572&amp;"")</f>
        <v/>
      </c>
      <c r="C572" s="11" t="str">
        <f aca="false">IF(Apontamentos!$C572="","",Apontamentos!E572&amp;"")</f>
        <v/>
      </c>
      <c r="D572" s="10" t="str">
        <f aca="false">IF(Apontamentos!$C572="","",Apontamentos!F572&amp;"")</f>
        <v/>
      </c>
      <c r="E572" s="10" t="str">
        <f aca="false">IF(Apontamentos!$C572="","",Apontamentos!G572&amp;"")</f>
        <v/>
      </c>
      <c r="F572" s="14"/>
      <c r="G572" s="14"/>
      <c r="H572" s="14"/>
      <c r="I572" s="14"/>
      <c r="J572" s="13"/>
      <c r="K572" s="13"/>
    </row>
    <row r="573" customFormat="false" ht="15" hidden="false" customHeight="false" outlineLevel="0" collapsed="false">
      <c r="A573" s="11" t="str">
        <f aca="false">Apontamentos!C573</f>
        <v/>
      </c>
      <c r="B573" s="11" t="str">
        <f aca="false">IF(Apontamentos!$C573="","",Apontamentos!D573&amp;"")</f>
        <v/>
      </c>
      <c r="C573" s="11" t="str">
        <f aca="false">IF(Apontamentos!$C573="","",Apontamentos!E573&amp;"")</f>
        <v/>
      </c>
      <c r="D573" s="10" t="str">
        <f aca="false">IF(Apontamentos!$C573="","",Apontamentos!F573&amp;"")</f>
        <v/>
      </c>
      <c r="E573" s="10" t="str">
        <f aca="false">IF(Apontamentos!$C573="","",Apontamentos!G573&amp;"")</f>
        <v/>
      </c>
      <c r="F573" s="14"/>
      <c r="G573" s="14"/>
      <c r="H573" s="14"/>
      <c r="I573" s="14"/>
      <c r="J573" s="13"/>
      <c r="K573" s="13"/>
    </row>
    <row r="574" customFormat="false" ht="15" hidden="false" customHeight="false" outlineLevel="0" collapsed="false">
      <c r="A574" s="11" t="str">
        <f aca="false">Apontamentos!C574</f>
        <v/>
      </c>
      <c r="B574" s="11" t="str">
        <f aca="false">IF(Apontamentos!$C574="","",Apontamentos!D574&amp;"")</f>
        <v/>
      </c>
      <c r="C574" s="11" t="str">
        <f aca="false">IF(Apontamentos!$C574="","",Apontamentos!E574&amp;"")</f>
        <v/>
      </c>
      <c r="D574" s="10" t="str">
        <f aca="false">IF(Apontamentos!$C574="","",Apontamentos!F574&amp;"")</f>
        <v/>
      </c>
      <c r="E574" s="10" t="str">
        <f aca="false">IF(Apontamentos!$C574="","",Apontamentos!G574&amp;"")</f>
        <v/>
      </c>
      <c r="F574" s="14"/>
      <c r="G574" s="14"/>
      <c r="H574" s="14"/>
      <c r="I574" s="14"/>
      <c r="J574" s="13"/>
      <c r="K574" s="13"/>
    </row>
    <row r="575" customFormat="false" ht="15" hidden="false" customHeight="false" outlineLevel="0" collapsed="false">
      <c r="A575" s="11" t="str">
        <f aca="false">Apontamentos!C575</f>
        <v/>
      </c>
      <c r="B575" s="11" t="str">
        <f aca="false">IF(Apontamentos!$C575="","",Apontamentos!D575&amp;"")</f>
        <v/>
      </c>
      <c r="C575" s="11" t="str">
        <f aca="false">IF(Apontamentos!$C575="","",Apontamentos!E575&amp;"")</f>
        <v/>
      </c>
      <c r="D575" s="10" t="str">
        <f aca="false">IF(Apontamentos!$C575="","",Apontamentos!F575&amp;"")</f>
        <v/>
      </c>
      <c r="E575" s="10" t="str">
        <f aca="false">IF(Apontamentos!$C575="","",Apontamentos!G575&amp;"")</f>
        <v/>
      </c>
      <c r="F575" s="14"/>
      <c r="G575" s="14"/>
      <c r="H575" s="14"/>
      <c r="I575" s="14"/>
      <c r="J575" s="13"/>
      <c r="K575" s="13"/>
    </row>
    <row r="576" customFormat="false" ht="15" hidden="false" customHeight="false" outlineLevel="0" collapsed="false">
      <c r="A576" s="11" t="str">
        <f aca="false">Apontamentos!C576</f>
        <v/>
      </c>
      <c r="B576" s="11" t="str">
        <f aca="false">IF(Apontamentos!$C576="","",Apontamentos!D576&amp;"")</f>
        <v/>
      </c>
      <c r="C576" s="11" t="str">
        <f aca="false">IF(Apontamentos!$C576="","",Apontamentos!E576&amp;"")</f>
        <v/>
      </c>
      <c r="D576" s="10" t="str">
        <f aca="false">IF(Apontamentos!$C576="","",Apontamentos!F576&amp;"")</f>
        <v/>
      </c>
      <c r="E576" s="10" t="str">
        <f aca="false">IF(Apontamentos!$C576="","",Apontamentos!G576&amp;"")</f>
        <v/>
      </c>
      <c r="F576" s="14"/>
      <c r="G576" s="14"/>
      <c r="H576" s="14"/>
      <c r="I576" s="14"/>
      <c r="J576" s="13"/>
      <c r="K576" s="13"/>
    </row>
    <row r="577" customFormat="false" ht="15" hidden="false" customHeight="false" outlineLevel="0" collapsed="false">
      <c r="A577" s="11" t="str">
        <f aca="false">Apontamentos!C577</f>
        <v/>
      </c>
      <c r="B577" s="11" t="str">
        <f aca="false">IF(Apontamentos!$C577="","",Apontamentos!D577&amp;"")</f>
        <v/>
      </c>
      <c r="C577" s="11" t="str">
        <f aca="false">IF(Apontamentos!$C577="","",Apontamentos!E577&amp;"")</f>
        <v/>
      </c>
      <c r="D577" s="10" t="str">
        <f aca="false">IF(Apontamentos!$C577="","",Apontamentos!F577&amp;"")</f>
        <v/>
      </c>
      <c r="E577" s="10" t="str">
        <f aca="false">IF(Apontamentos!$C577="","",Apontamentos!G577&amp;"")</f>
        <v/>
      </c>
      <c r="F577" s="14"/>
      <c r="G577" s="14"/>
      <c r="H577" s="14"/>
      <c r="I577" s="14"/>
      <c r="J577" s="13"/>
      <c r="K577" s="13"/>
    </row>
    <row r="578" customFormat="false" ht="15" hidden="false" customHeight="false" outlineLevel="0" collapsed="false">
      <c r="A578" s="11" t="str">
        <f aca="false">Apontamentos!C578</f>
        <v/>
      </c>
      <c r="B578" s="11" t="str">
        <f aca="false">IF(Apontamentos!$C578="","",Apontamentos!D578&amp;"")</f>
        <v/>
      </c>
      <c r="C578" s="11" t="str">
        <f aca="false">IF(Apontamentos!$C578="","",Apontamentos!E578&amp;"")</f>
        <v/>
      </c>
      <c r="D578" s="10" t="str">
        <f aca="false">IF(Apontamentos!$C578="","",Apontamentos!F578&amp;"")</f>
        <v/>
      </c>
      <c r="E578" s="10" t="str">
        <f aca="false">IF(Apontamentos!$C578="","",Apontamentos!G578&amp;"")</f>
        <v/>
      </c>
      <c r="F578" s="14"/>
      <c r="G578" s="14"/>
      <c r="H578" s="14"/>
      <c r="I578" s="14"/>
      <c r="J578" s="13"/>
      <c r="K578" s="13"/>
    </row>
    <row r="579" customFormat="false" ht="15" hidden="false" customHeight="false" outlineLevel="0" collapsed="false">
      <c r="A579" s="11" t="str">
        <f aca="false">Apontamentos!C579</f>
        <v/>
      </c>
      <c r="B579" s="11" t="str">
        <f aca="false">IF(Apontamentos!$C579="","",Apontamentos!D579&amp;"")</f>
        <v/>
      </c>
      <c r="C579" s="11" t="str">
        <f aca="false">IF(Apontamentos!$C579="","",Apontamentos!E579&amp;"")</f>
        <v/>
      </c>
      <c r="D579" s="10" t="str">
        <f aca="false">IF(Apontamentos!$C579="","",Apontamentos!F579&amp;"")</f>
        <v/>
      </c>
      <c r="E579" s="10" t="str">
        <f aca="false">IF(Apontamentos!$C579="","",Apontamentos!G579&amp;"")</f>
        <v/>
      </c>
      <c r="F579" s="14"/>
      <c r="G579" s="14"/>
      <c r="H579" s="14"/>
      <c r="I579" s="14"/>
      <c r="J579" s="13"/>
      <c r="K579" s="13"/>
    </row>
    <row r="580" customFormat="false" ht="15" hidden="false" customHeight="false" outlineLevel="0" collapsed="false">
      <c r="A580" s="11" t="str">
        <f aca="false">Apontamentos!C580</f>
        <v/>
      </c>
      <c r="B580" s="11" t="str">
        <f aca="false">IF(Apontamentos!$C580="","",Apontamentos!D580&amp;"")</f>
        <v/>
      </c>
      <c r="C580" s="11" t="str">
        <f aca="false">IF(Apontamentos!$C580="","",Apontamentos!E580&amp;"")</f>
        <v/>
      </c>
      <c r="D580" s="10" t="str">
        <f aca="false">IF(Apontamentos!$C580="","",Apontamentos!F580&amp;"")</f>
        <v/>
      </c>
      <c r="E580" s="10" t="str">
        <f aca="false">IF(Apontamentos!$C580="","",Apontamentos!G580&amp;"")</f>
        <v/>
      </c>
      <c r="F580" s="14"/>
      <c r="G580" s="14"/>
      <c r="H580" s="14"/>
      <c r="I580" s="14"/>
      <c r="J580" s="13"/>
      <c r="K580" s="13"/>
    </row>
    <row r="581" customFormat="false" ht="15" hidden="false" customHeight="false" outlineLevel="0" collapsed="false">
      <c r="A581" s="11" t="str">
        <f aca="false">Apontamentos!C581</f>
        <v/>
      </c>
      <c r="B581" s="11" t="str">
        <f aca="false">IF(Apontamentos!$C581="","",Apontamentos!D581&amp;"")</f>
        <v/>
      </c>
      <c r="C581" s="11" t="str">
        <f aca="false">IF(Apontamentos!$C581="","",Apontamentos!E581&amp;"")</f>
        <v/>
      </c>
      <c r="D581" s="10" t="str">
        <f aca="false">IF(Apontamentos!$C581="","",Apontamentos!F581&amp;"")</f>
        <v/>
      </c>
      <c r="E581" s="10" t="str">
        <f aca="false">IF(Apontamentos!$C581="","",Apontamentos!G581&amp;"")</f>
        <v/>
      </c>
      <c r="F581" s="14"/>
      <c r="G581" s="14"/>
      <c r="H581" s="14"/>
      <c r="I581" s="14"/>
      <c r="J581" s="13"/>
      <c r="K581" s="13"/>
    </row>
    <row r="582" customFormat="false" ht="15" hidden="false" customHeight="false" outlineLevel="0" collapsed="false">
      <c r="A582" s="11" t="str">
        <f aca="false">Apontamentos!C582</f>
        <v/>
      </c>
      <c r="B582" s="11" t="str">
        <f aca="false">IF(Apontamentos!$C582="","",Apontamentos!D582&amp;"")</f>
        <v/>
      </c>
      <c r="C582" s="11" t="str">
        <f aca="false">IF(Apontamentos!$C582="","",Apontamentos!E582&amp;"")</f>
        <v/>
      </c>
      <c r="D582" s="10" t="str">
        <f aca="false">IF(Apontamentos!$C582="","",Apontamentos!F582&amp;"")</f>
        <v/>
      </c>
      <c r="E582" s="10" t="str">
        <f aca="false">IF(Apontamentos!$C582="","",Apontamentos!G582&amp;"")</f>
        <v/>
      </c>
      <c r="F582" s="14"/>
      <c r="G582" s="14"/>
      <c r="H582" s="14"/>
      <c r="I582" s="14"/>
      <c r="J582" s="13"/>
      <c r="K582" s="13"/>
    </row>
    <row r="583" customFormat="false" ht="15" hidden="false" customHeight="false" outlineLevel="0" collapsed="false">
      <c r="A583" s="11" t="str">
        <f aca="false">Apontamentos!C583</f>
        <v/>
      </c>
      <c r="B583" s="11" t="str">
        <f aca="false">IF(Apontamentos!$C583="","",Apontamentos!D583&amp;"")</f>
        <v/>
      </c>
      <c r="C583" s="11" t="str">
        <f aca="false">IF(Apontamentos!$C583="","",Apontamentos!E583&amp;"")</f>
        <v/>
      </c>
      <c r="D583" s="10" t="str">
        <f aca="false">IF(Apontamentos!$C583="","",Apontamentos!F583&amp;"")</f>
        <v/>
      </c>
      <c r="E583" s="10" t="str">
        <f aca="false">IF(Apontamentos!$C583="","",Apontamentos!G583&amp;"")</f>
        <v/>
      </c>
      <c r="F583" s="14"/>
      <c r="G583" s="14"/>
      <c r="H583" s="14"/>
      <c r="I583" s="14"/>
      <c r="J583" s="13"/>
      <c r="K583" s="13"/>
    </row>
    <row r="584" customFormat="false" ht="15" hidden="false" customHeight="false" outlineLevel="0" collapsed="false">
      <c r="A584" s="11" t="str">
        <f aca="false">Apontamentos!C584</f>
        <v/>
      </c>
      <c r="B584" s="11" t="str">
        <f aca="false">IF(Apontamentos!$C584="","",Apontamentos!D584&amp;"")</f>
        <v/>
      </c>
      <c r="C584" s="11" t="str">
        <f aca="false">IF(Apontamentos!$C584="","",Apontamentos!E584&amp;"")</f>
        <v/>
      </c>
      <c r="D584" s="10" t="str">
        <f aca="false">IF(Apontamentos!$C584="","",Apontamentos!F584&amp;"")</f>
        <v/>
      </c>
      <c r="E584" s="10" t="str">
        <f aca="false">IF(Apontamentos!$C584="","",Apontamentos!G584&amp;"")</f>
        <v/>
      </c>
      <c r="F584" s="14"/>
      <c r="G584" s="14"/>
      <c r="H584" s="14"/>
      <c r="I584" s="14"/>
      <c r="J584" s="13"/>
      <c r="K584" s="13"/>
    </row>
    <row r="585" customFormat="false" ht="15" hidden="false" customHeight="false" outlineLevel="0" collapsed="false">
      <c r="A585" s="11" t="str">
        <f aca="false">Apontamentos!C585</f>
        <v/>
      </c>
      <c r="B585" s="11" t="str">
        <f aca="false">IF(Apontamentos!$C585="","",Apontamentos!D585&amp;"")</f>
        <v/>
      </c>
      <c r="C585" s="11" t="str">
        <f aca="false">IF(Apontamentos!$C585="","",Apontamentos!E585&amp;"")</f>
        <v/>
      </c>
      <c r="D585" s="10" t="str">
        <f aca="false">IF(Apontamentos!$C585="","",Apontamentos!F585&amp;"")</f>
        <v/>
      </c>
      <c r="E585" s="10" t="str">
        <f aca="false">IF(Apontamentos!$C585="","",Apontamentos!G585&amp;"")</f>
        <v/>
      </c>
      <c r="F585" s="14"/>
      <c r="G585" s="14"/>
      <c r="H585" s="14"/>
      <c r="I585" s="14"/>
      <c r="J585" s="13"/>
      <c r="K585" s="13"/>
    </row>
    <row r="586" customFormat="false" ht="15" hidden="false" customHeight="false" outlineLevel="0" collapsed="false">
      <c r="A586" s="11" t="str">
        <f aca="false">Apontamentos!C586</f>
        <v/>
      </c>
      <c r="B586" s="11" t="str">
        <f aca="false">IF(Apontamentos!$C586="","",Apontamentos!D586&amp;"")</f>
        <v/>
      </c>
      <c r="C586" s="11" t="str">
        <f aca="false">IF(Apontamentos!$C586="","",Apontamentos!E586&amp;"")</f>
        <v/>
      </c>
      <c r="D586" s="10" t="str">
        <f aca="false">IF(Apontamentos!$C586="","",Apontamentos!F586&amp;"")</f>
        <v/>
      </c>
      <c r="E586" s="10" t="str">
        <f aca="false">IF(Apontamentos!$C586="","",Apontamentos!G586&amp;"")</f>
        <v/>
      </c>
      <c r="F586" s="14"/>
      <c r="G586" s="14"/>
      <c r="H586" s="14"/>
      <c r="I586" s="14"/>
      <c r="J586" s="13"/>
      <c r="K586" s="13"/>
    </row>
    <row r="587" customFormat="false" ht="15" hidden="false" customHeight="false" outlineLevel="0" collapsed="false">
      <c r="A587" s="11" t="str">
        <f aca="false">Apontamentos!C587</f>
        <v/>
      </c>
      <c r="B587" s="11" t="str">
        <f aca="false">IF(Apontamentos!$C587="","",Apontamentos!D587&amp;"")</f>
        <v/>
      </c>
      <c r="C587" s="11" t="str">
        <f aca="false">IF(Apontamentos!$C587="","",Apontamentos!E587&amp;"")</f>
        <v/>
      </c>
      <c r="D587" s="10" t="str">
        <f aca="false">IF(Apontamentos!$C587="","",Apontamentos!F587&amp;"")</f>
        <v/>
      </c>
      <c r="E587" s="10" t="str">
        <f aca="false">IF(Apontamentos!$C587="","",Apontamentos!G587&amp;"")</f>
        <v/>
      </c>
      <c r="F587" s="14"/>
      <c r="G587" s="14"/>
      <c r="H587" s="14"/>
      <c r="I587" s="14"/>
      <c r="J587" s="13"/>
      <c r="K587" s="13"/>
    </row>
    <row r="588" customFormat="false" ht="15" hidden="false" customHeight="false" outlineLevel="0" collapsed="false">
      <c r="A588" s="11" t="str">
        <f aca="false">Apontamentos!C588</f>
        <v/>
      </c>
      <c r="B588" s="11" t="str">
        <f aca="false">IF(Apontamentos!$C588="","",Apontamentos!D588&amp;"")</f>
        <v/>
      </c>
      <c r="C588" s="11" t="str">
        <f aca="false">IF(Apontamentos!$C588="","",Apontamentos!E588&amp;"")</f>
        <v/>
      </c>
      <c r="D588" s="10" t="str">
        <f aca="false">IF(Apontamentos!$C588="","",Apontamentos!F588&amp;"")</f>
        <v/>
      </c>
      <c r="E588" s="10" t="str">
        <f aca="false">IF(Apontamentos!$C588="","",Apontamentos!G588&amp;"")</f>
        <v/>
      </c>
      <c r="F588" s="14"/>
      <c r="G588" s="14"/>
      <c r="H588" s="14"/>
      <c r="I588" s="14"/>
      <c r="J588" s="13"/>
      <c r="K588" s="13"/>
    </row>
    <row r="589" customFormat="false" ht="15" hidden="false" customHeight="false" outlineLevel="0" collapsed="false">
      <c r="A589" s="11" t="str">
        <f aca="false">Apontamentos!C589</f>
        <v/>
      </c>
      <c r="B589" s="11" t="str">
        <f aca="false">IF(Apontamentos!$C589="","",Apontamentos!D589&amp;"")</f>
        <v/>
      </c>
      <c r="C589" s="11" t="str">
        <f aca="false">IF(Apontamentos!$C589="","",Apontamentos!E589&amp;"")</f>
        <v/>
      </c>
      <c r="D589" s="10" t="str">
        <f aca="false">IF(Apontamentos!$C589="","",Apontamentos!F589&amp;"")</f>
        <v/>
      </c>
      <c r="E589" s="10" t="str">
        <f aca="false">IF(Apontamentos!$C589="","",Apontamentos!G589&amp;"")</f>
        <v/>
      </c>
      <c r="F589" s="14"/>
      <c r="G589" s="14"/>
      <c r="H589" s="14"/>
      <c r="I589" s="14"/>
      <c r="J589" s="13"/>
      <c r="K589" s="13"/>
    </row>
    <row r="590" customFormat="false" ht="15" hidden="false" customHeight="false" outlineLevel="0" collapsed="false">
      <c r="A590" s="11" t="str">
        <f aca="false">Apontamentos!C590</f>
        <v/>
      </c>
      <c r="B590" s="11" t="str">
        <f aca="false">IF(Apontamentos!$C590="","",Apontamentos!D590&amp;"")</f>
        <v/>
      </c>
      <c r="C590" s="11" t="str">
        <f aca="false">IF(Apontamentos!$C590="","",Apontamentos!E590&amp;"")</f>
        <v/>
      </c>
      <c r="D590" s="10" t="str">
        <f aca="false">IF(Apontamentos!$C590="","",Apontamentos!F590&amp;"")</f>
        <v/>
      </c>
      <c r="E590" s="10" t="str">
        <f aca="false">IF(Apontamentos!$C590="","",Apontamentos!G590&amp;"")</f>
        <v/>
      </c>
      <c r="F590" s="14"/>
      <c r="G590" s="14"/>
      <c r="H590" s="14"/>
      <c r="I590" s="14"/>
      <c r="J590" s="13"/>
      <c r="K590" s="13"/>
    </row>
    <row r="591" customFormat="false" ht="15" hidden="false" customHeight="false" outlineLevel="0" collapsed="false">
      <c r="A591" s="11" t="str">
        <f aca="false">Apontamentos!C591</f>
        <v/>
      </c>
      <c r="B591" s="11" t="str">
        <f aca="false">IF(Apontamentos!$C591="","",Apontamentos!D591&amp;"")</f>
        <v/>
      </c>
      <c r="C591" s="11" t="str">
        <f aca="false">IF(Apontamentos!$C591="","",Apontamentos!E591&amp;"")</f>
        <v/>
      </c>
      <c r="D591" s="10" t="str">
        <f aca="false">IF(Apontamentos!$C591="","",Apontamentos!F591&amp;"")</f>
        <v/>
      </c>
      <c r="E591" s="10" t="str">
        <f aca="false">IF(Apontamentos!$C591="","",Apontamentos!G591&amp;"")</f>
        <v/>
      </c>
      <c r="F591" s="14"/>
      <c r="G591" s="14"/>
      <c r="H591" s="14"/>
      <c r="I591" s="14"/>
      <c r="J591" s="13"/>
      <c r="K591" s="13"/>
    </row>
    <row r="592" customFormat="false" ht="15" hidden="false" customHeight="false" outlineLevel="0" collapsed="false">
      <c r="A592" s="11" t="str">
        <f aca="false">Apontamentos!C592</f>
        <v/>
      </c>
      <c r="B592" s="11" t="str">
        <f aca="false">IF(Apontamentos!$C592="","",Apontamentos!D592&amp;"")</f>
        <v/>
      </c>
      <c r="C592" s="11" t="str">
        <f aca="false">IF(Apontamentos!$C592="","",Apontamentos!E592&amp;"")</f>
        <v/>
      </c>
      <c r="D592" s="10" t="str">
        <f aca="false">IF(Apontamentos!$C592="","",Apontamentos!F592&amp;"")</f>
        <v/>
      </c>
      <c r="E592" s="10" t="str">
        <f aca="false">IF(Apontamentos!$C592="","",Apontamentos!G592&amp;"")</f>
        <v/>
      </c>
      <c r="F592" s="14"/>
      <c r="G592" s="14"/>
      <c r="H592" s="14"/>
      <c r="I592" s="14"/>
      <c r="J592" s="13"/>
      <c r="K592" s="13"/>
    </row>
    <row r="593" customFormat="false" ht="15" hidden="false" customHeight="false" outlineLevel="0" collapsed="false">
      <c r="A593" s="11" t="str">
        <f aca="false">Apontamentos!C593</f>
        <v/>
      </c>
      <c r="B593" s="11" t="str">
        <f aca="false">IF(Apontamentos!$C593="","",Apontamentos!D593&amp;"")</f>
        <v/>
      </c>
      <c r="C593" s="11" t="str">
        <f aca="false">IF(Apontamentos!$C593="","",Apontamentos!E593&amp;"")</f>
        <v/>
      </c>
      <c r="D593" s="10" t="str">
        <f aca="false">IF(Apontamentos!$C593="","",Apontamentos!F593&amp;"")</f>
        <v/>
      </c>
      <c r="E593" s="10" t="str">
        <f aca="false">IF(Apontamentos!$C593="","",Apontamentos!G593&amp;"")</f>
        <v/>
      </c>
      <c r="F593" s="14"/>
      <c r="G593" s="14"/>
      <c r="H593" s="14"/>
      <c r="I593" s="14"/>
      <c r="J593" s="13"/>
      <c r="K593" s="13"/>
    </row>
    <row r="594" customFormat="false" ht="15" hidden="false" customHeight="false" outlineLevel="0" collapsed="false">
      <c r="A594" s="11" t="str">
        <f aca="false">Apontamentos!C594</f>
        <v/>
      </c>
      <c r="B594" s="11" t="str">
        <f aca="false">IF(Apontamentos!$C594="","",Apontamentos!D594&amp;"")</f>
        <v/>
      </c>
      <c r="C594" s="11" t="str">
        <f aca="false">IF(Apontamentos!$C594="","",Apontamentos!E594&amp;"")</f>
        <v/>
      </c>
      <c r="D594" s="10" t="str">
        <f aca="false">IF(Apontamentos!$C594="","",Apontamentos!F594&amp;"")</f>
        <v/>
      </c>
      <c r="E594" s="10" t="str">
        <f aca="false">IF(Apontamentos!$C594="","",Apontamentos!G594&amp;"")</f>
        <v/>
      </c>
      <c r="F594" s="14"/>
      <c r="G594" s="14"/>
      <c r="H594" s="14"/>
      <c r="I594" s="14"/>
      <c r="J594" s="13"/>
      <c r="K594" s="13"/>
    </row>
    <row r="595" customFormat="false" ht="15" hidden="false" customHeight="false" outlineLevel="0" collapsed="false">
      <c r="A595" s="11" t="str">
        <f aca="false">Apontamentos!C595</f>
        <v/>
      </c>
      <c r="B595" s="11" t="str">
        <f aca="false">IF(Apontamentos!$C595="","",Apontamentos!D595&amp;"")</f>
        <v/>
      </c>
      <c r="C595" s="11" t="str">
        <f aca="false">IF(Apontamentos!$C595="","",Apontamentos!E595&amp;"")</f>
        <v/>
      </c>
      <c r="D595" s="10" t="str">
        <f aca="false">IF(Apontamentos!$C595="","",Apontamentos!F595&amp;"")</f>
        <v/>
      </c>
      <c r="E595" s="10" t="str">
        <f aca="false">IF(Apontamentos!$C595="","",Apontamentos!G595&amp;"")</f>
        <v/>
      </c>
      <c r="F595" s="14"/>
      <c r="G595" s="14"/>
      <c r="H595" s="14"/>
      <c r="I595" s="14"/>
      <c r="J595" s="13"/>
      <c r="K595" s="13"/>
    </row>
    <row r="596" customFormat="false" ht="15" hidden="false" customHeight="false" outlineLevel="0" collapsed="false">
      <c r="A596" s="11" t="str">
        <f aca="false">Apontamentos!C596</f>
        <v/>
      </c>
      <c r="B596" s="11" t="str">
        <f aca="false">IF(Apontamentos!$C596="","",Apontamentos!D596&amp;"")</f>
        <v/>
      </c>
      <c r="C596" s="11" t="str">
        <f aca="false">IF(Apontamentos!$C596="","",Apontamentos!E596&amp;"")</f>
        <v/>
      </c>
      <c r="D596" s="10" t="str">
        <f aca="false">IF(Apontamentos!$C596="","",Apontamentos!F596&amp;"")</f>
        <v/>
      </c>
      <c r="E596" s="10" t="str">
        <f aca="false">IF(Apontamentos!$C596="","",Apontamentos!G596&amp;"")</f>
        <v/>
      </c>
      <c r="F596" s="14"/>
      <c r="G596" s="14"/>
      <c r="H596" s="14"/>
      <c r="I596" s="14"/>
      <c r="J596" s="13"/>
      <c r="K596" s="13"/>
    </row>
    <row r="597" customFormat="false" ht="15" hidden="false" customHeight="false" outlineLevel="0" collapsed="false">
      <c r="A597" s="11" t="str">
        <f aca="false">Apontamentos!C597</f>
        <v/>
      </c>
      <c r="B597" s="11" t="str">
        <f aca="false">IF(Apontamentos!$C597="","",Apontamentos!D597&amp;"")</f>
        <v/>
      </c>
      <c r="C597" s="11" t="str">
        <f aca="false">IF(Apontamentos!$C597="","",Apontamentos!E597&amp;"")</f>
        <v/>
      </c>
      <c r="D597" s="10" t="str">
        <f aca="false">IF(Apontamentos!$C597="","",Apontamentos!F597&amp;"")</f>
        <v/>
      </c>
      <c r="E597" s="10" t="str">
        <f aca="false">IF(Apontamentos!$C597="","",Apontamentos!G597&amp;"")</f>
        <v/>
      </c>
      <c r="F597" s="14"/>
      <c r="G597" s="14"/>
      <c r="H597" s="14"/>
      <c r="I597" s="14"/>
      <c r="J597" s="13"/>
      <c r="K597" s="13"/>
    </row>
    <row r="598" customFormat="false" ht="15" hidden="false" customHeight="false" outlineLevel="0" collapsed="false">
      <c r="A598" s="11" t="str">
        <f aca="false">Apontamentos!C598</f>
        <v/>
      </c>
      <c r="B598" s="11" t="str">
        <f aca="false">IF(Apontamentos!$C598="","",Apontamentos!D598&amp;"")</f>
        <v/>
      </c>
      <c r="C598" s="11" t="str">
        <f aca="false">IF(Apontamentos!$C598="","",Apontamentos!E598&amp;"")</f>
        <v/>
      </c>
      <c r="D598" s="10" t="str">
        <f aca="false">IF(Apontamentos!$C598="","",Apontamentos!F598&amp;"")</f>
        <v/>
      </c>
      <c r="E598" s="10" t="str">
        <f aca="false">IF(Apontamentos!$C598="","",Apontamentos!G598&amp;"")</f>
        <v/>
      </c>
      <c r="F598" s="14"/>
      <c r="G598" s="14"/>
      <c r="H598" s="14"/>
      <c r="I598" s="14"/>
      <c r="J598" s="13"/>
      <c r="K598" s="13"/>
    </row>
    <row r="599" customFormat="false" ht="15" hidden="false" customHeight="false" outlineLevel="0" collapsed="false">
      <c r="A599" s="11" t="str">
        <f aca="false">Apontamentos!C599</f>
        <v/>
      </c>
      <c r="B599" s="11" t="str">
        <f aca="false">IF(Apontamentos!$C599="","",Apontamentos!D599&amp;"")</f>
        <v/>
      </c>
      <c r="C599" s="11" t="str">
        <f aca="false">IF(Apontamentos!$C599="","",Apontamentos!E599&amp;"")</f>
        <v/>
      </c>
      <c r="D599" s="10" t="str">
        <f aca="false">IF(Apontamentos!$C599="","",Apontamentos!F599&amp;"")</f>
        <v/>
      </c>
      <c r="E599" s="10" t="str">
        <f aca="false">IF(Apontamentos!$C599="","",Apontamentos!G599&amp;"")</f>
        <v/>
      </c>
      <c r="F599" s="14"/>
      <c r="G599" s="14"/>
      <c r="H599" s="14"/>
      <c r="I599" s="14"/>
      <c r="J599" s="13"/>
      <c r="K599" s="13"/>
    </row>
    <row r="600" customFormat="false" ht="15" hidden="false" customHeight="false" outlineLevel="0" collapsed="false">
      <c r="A600" s="11" t="str">
        <f aca="false">Apontamentos!C600</f>
        <v/>
      </c>
      <c r="B600" s="11" t="str">
        <f aca="false">IF(Apontamentos!$C600="","",Apontamentos!D600&amp;"")</f>
        <v/>
      </c>
      <c r="C600" s="11" t="str">
        <f aca="false">IF(Apontamentos!$C600="","",Apontamentos!E600&amp;"")</f>
        <v/>
      </c>
      <c r="D600" s="10" t="str">
        <f aca="false">IF(Apontamentos!$C600="","",Apontamentos!F600&amp;"")</f>
        <v/>
      </c>
      <c r="E600" s="10" t="str">
        <f aca="false">IF(Apontamentos!$C600="","",Apontamentos!G600&amp;"")</f>
        <v/>
      </c>
      <c r="F600" s="14"/>
      <c r="G600" s="14"/>
      <c r="H600" s="14"/>
      <c r="I600" s="14"/>
      <c r="J600" s="13"/>
      <c r="K600" s="13"/>
    </row>
    <row r="601" customFormat="false" ht="15" hidden="false" customHeight="false" outlineLevel="0" collapsed="false">
      <c r="A601" s="11" t="str">
        <f aca="false">Apontamentos!C601</f>
        <v/>
      </c>
      <c r="B601" s="11" t="str">
        <f aca="false">IF(Apontamentos!$C601="","",Apontamentos!D601&amp;"")</f>
        <v/>
      </c>
      <c r="C601" s="11" t="str">
        <f aca="false">IF(Apontamentos!$C601="","",Apontamentos!E601&amp;"")</f>
        <v/>
      </c>
      <c r="D601" s="10" t="str">
        <f aca="false">IF(Apontamentos!$C601="","",Apontamentos!F601&amp;"")</f>
        <v/>
      </c>
      <c r="E601" s="10" t="str">
        <f aca="false">IF(Apontamentos!$C601="","",Apontamentos!G601&amp;"")</f>
        <v/>
      </c>
      <c r="F601" s="14"/>
      <c r="G601" s="14"/>
      <c r="H601" s="14"/>
      <c r="I601" s="14"/>
      <c r="J601" s="13"/>
      <c r="K601" s="13"/>
    </row>
  </sheetData>
  <dataValidations count="3">
    <dataValidation allowBlank="true" error="Escolha um valor da lista." errorStyle="stop" operator="between" showDropDown="false" showErrorMessage="true" showInputMessage="false" sqref="F2:F601" type="list">
      <formula1>Listas!$A$2:$A$14</formula1>
      <formula2>0</formula2>
    </dataValidation>
    <dataValidation allowBlank="true" error="Escolha um valor da lista." errorStyle="stop" operator="between" showDropDown="false" showErrorMessage="true" showInputMessage="false" sqref="G2:I601" type="list">
      <formula1>Listas!$B$2:$B$3</formula1>
      <formula2>0</formula2>
    </dataValidation>
    <dataValidation allowBlank="true" errorStyle="stop" operator="between" showDropDown="false" showErrorMessage="false" showInputMessage="false" sqref="J2:J601" type="list">
      <formula1>Listas!$C$2:$C$13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44"/>
  </cols>
  <sheetData>
    <row r="1" customFormat="false" ht="36" hidden="false" customHeight="true" outlineLevel="0" collapsed="false">
      <c r="A1" s="8" t="s">
        <v>267</v>
      </c>
      <c r="B1" s="8" t="s">
        <v>44</v>
      </c>
      <c r="C1" s="8" t="s">
        <v>45</v>
      </c>
      <c r="D1" s="8" t="s">
        <v>270</v>
      </c>
      <c r="E1" s="8" t="s">
        <v>271</v>
      </c>
      <c r="F1" s="9" t="s">
        <v>272</v>
      </c>
      <c r="G1" s="9" t="s">
        <v>21</v>
      </c>
      <c r="H1" s="9" t="s">
        <v>23</v>
      </c>
      <c r="I1" s="9" t="s">
        <v>25</v>
      </c>
      <c r="J1" s="9" t="s">
        <v>27</v>
      </c>
      <c r="K1" s="9" t="s">
        <v>273</v>
      </c>
    </row>
    <row r="2" customFormat="false" ht="15" hidden="false" customHeight="false" outlineLevel="0" collapsed="false">
      <c r="A2" s="11" t="str">
        <f aca="false">Apontamentos!C2</f>
        <v/>
      </c>
      <c r="B2" s="11" t="str">
        <f aca="false">IF(Apontamentos!$C2="","",Apontamentos!D2&amp;"")</f>
        <v/>
      </c>
      <c r="C2" s="11" t="str">
        <f aca="false">IF(Apontamentos!$C2="","",Apontamentos!E2&amp;"")</f>
        <v/>
      </c>
      <c r="D2" s="10" t="str">
        <f aca="false">IF(Apontamentos!$C2="","",Apontamentos!F2&amp;"")</f>
        <v/>
      </c>
      <c r="E2" s="10" t="str">
        <f aca="false">IF(Apontamentos!$C2="","",Apontamentos!G2&amp;"")</f>
        <v/>
      </c>
      <c r="F2" s="14"/>
      <c r="G2" s="14"/>
      <c r="H2" s="14"/>
      <c r="I2" s="14"/>
      <c r="J2" s="13"/>
      <c r="K2" s="13"/>
    </row>
    <row r="3" customFormat="false" ht="15" hidden="false" customHeight="false" outlineLevel="0" collapsed="false">
      <c r="A3" s="11" t="str">
        <f aca="false">Apontamentos!C3</f>
        <v/>
      </c>
      <c r="B3" s="11" t="str">
        <f aca="false">IF(Apontamentos!$C3="","",Apontamentos!D3&amp;"")</f>
        <v/>
      </c>
      <c r="C3" s="11" t="str">
        <f aca="false">IF(Apontamentos!$C3="","",Apontamentos!E3&amp;"")</f>
        <v/>
      </c>
      <c r="D3" s="10" t="str">
        <f aca="false">IF(Apontamentos!$C3="","",Apontamentos!F3&amp;"")</f>
        <v/>
      </c>
      <c r="E3" s="10" t="str">
        <f aca="false">IF(Apontamentos!$C3="","",Apontamentos!G3&amp;"")</f>
        <v/>
      </c>
      <c r="F3" s="14"/>
      <c r="G3" s="14"/>
      <c r="H3" s="14"/>
      <c r="I3" s="14"/>
      <c r="J3" s="13"/>
      <c r="K3" s="13"/>
    </row>
    <row r="4" customFormat="false" ht="15" hidden="false" customHeight="false" outlineLevel="0" collapsed="false">
      <c r="A4" s="11" t="str">
        <f aca="false">Apontamentos!C4</f>
        <v/>
      </c>
      <c r="B4" s="11" t="str">
        <f aca="false">IF(Apontamentos!$C4="","",Apontamentos!D4&amp;"")</f>
        <v/>
      </c>
      <c r="C4" s="11" t="str">
        <f aca="false">IF(Apontamentos!$C4="","",Apontamentos!E4&amp;"")</f>
        <v/>
      </c>
      <c r="D4" s="10" t="str">
        <f aca="false">IF(Apontamentos!$C4="","",Apontamentos!F4&amp;"")</f>
        <v/>
      </c>
      <c r="E4" s="10" t="str">
        <f aca="false">IF(Apontamentos!$C4="","",Apontamentos!G4&amp;"")</f>
        <v/>
      </c>
      <c r="F4" s="14"/>
      <c r="G4" s="14"/>
      <c r="H4" s="14"/>
      <c r="I4" s="14"/>
      <c r="J4" s="13"/>
      <c r="K4" s="13"/>
    </row>
    <row r="5" customFormat="false" ht="15" hidden="false" customHeight="false" outlineLevel="0" collapsed="false">
      <c r="A5" s="11" t="str">
        <f aca="false">Apontamentos!C5</f>
        <v/>
      </c>
      <c r="B5" s="11" t="str">
        <f aca="false">IF(Apontamentos!$C5="","",Apontamentos!D5&amp;"")</f>
        <v/>
      </c>
      <c r="C5" s="11" t="str">
        <f aca="false">IF(Apontamentos!$C5="","",Apontamentos!E5&amp;"")</f>
        <v/>
      </c>
      <c r="D5" s="10" t="str">
        <f aca="false">IF(Apontamentos!$C5="","",Apontamentos!F5&amp;"")</f>
        <v/>
      </c>
      <c r="E5" s="10" t="str">
        <f aca="false">IF(Apontamentos!$C5="","",Apontamentos!G5&amp;"")</f>
        <v/>
      </c>
      <c r="F5" s="14"/>
      <c r="G5" s="14"/>
      <c r="H5" s="14"/>
      <c r="I5" s="14"/>
      <c r="J5" s="13"/>
      <c r="K5" s="13"/>
    </row>
    <row r="6" customFormat="false" ht="15" hidden="false" customHeight="false" outlineLevel="0" collapsed="false">
      <c r="A6" s="11" t="str">
        <f aca="false">Apontamentos!C6</f>
        <v/>
      </c>
      <c r="B6" s="11" t="str">
        <f aca="false">IF(Apontamentos!$C6="","",Apontamentos!D6&amp;"")</f>
        <v/>
      </c>
      <c r="C6" s="11" t="str">
        <f aca="false">IF(Apontamentos!$C6="","",Apontamentos!E6&amp;"")</f>
        <v/>
      </c>
      <c r="D6" s="10" t="str">
        <f aca="false">IF(Apontamentos!$C6="","",Apontamentos!F6&amp;"")</f>
        <v/>
      </c>
      <c r="E6" s="10" t="str">
        <f aca="false">IF(Apontamentos!$C6="","",Apontamentos!G6&amp;"")</f>
        <v/>
      </c>
      <c r="F6" s="14"/>
      <c r="G6" s="14"/>
      <c r="H6" s="14"/>
      <c r="I6" s="14"/>
      <c r="J6" s="13"/>
      <c r="K6" s="13"/>
    </row>
    <row r="7" customFormat="false" ht="15" hidden="false" customHeight="false" outlineLevel="0" collapsed="false">
      <c r="A7" s="11" t="str">
        <f aca="false">Apontamentos!C7</f>
        <v/>
      </c>
      <c r="B7" s="11" t="str">
        <f aca="false">IF(Apontamentos!$C7="","",Apontamentos!D7&amp;"")</f>
        <v/>
      </c>
      <c r="C7" s="11" t="str">
        <f aca="false">IF(Apontamentos!$C7="","",Apontamentos!E7&amp;"")</f>
        <v/>
      </c>
      <c r="D7" s="10" t="str">
        <f aca="false">IF(Apontamentos!$C7="","",Apontamentos!F7&amp;"")</f>
        <v/>
      </c>
      <c r="E7" s="10" t="str">
        <f aca="false">IF(Apontamentos!$C7="","",Apontamentos!G7&amp;"")</f>
        <v/>
      </c>
      <c r="F7" s="14"/>
      <c r="G7" s="14"/>
      <c r="H7" s="14"/>
      <c r="I7" s="14"/>
      <c r="J7" s="13"/>
      <c r="K7" s="13"/>
    </row>
    <row r="8" customFormat="false" ht="15" hidden="false" customHeight="false" outlineLevel="0" collapsed="false">
      <c r="A8" s="11" t="str">
        <f aca="false">Apontamentos!C8</f>
        <v/>
      </c>
      <c r="B8" s="11" t="str">
        <f aca="false">IF(Apontamentos!$C8="","",Apontamentos!D8&amp;"")</f>
        <v/>
      </c>
      <c r="C8" s="11" t="str">
        <f aca="false">IF(Apontamentos!$C8="","",Apontamentos!E8&amp;"")</f>
        <v/>
      </c>
      <c r="D8" s="10" t="str">
        <f aca="false">IF(Apontamentos!$C8="","",Apontamentos!F8&amp;"")</f>
        <v/>
      </c>
      <c r="E8" s="10" t="str">
        <f aca="false">IF(Apontamentos!$C8="","",Apontamentos!G8&amp;"")</f>
        <v/>
      </c>
      <c r="F8" s="14"/>
      <c r="G8" s="14"/>
      <c r="H8" s="14"/>
      <c r="I8" s="14"/>
      <c r="J8" s="13"/>
      <c r="K8" s="13"/>
    </row>
    <row r="9" customFormat="false" ht="15" hidden="false" customHeight="false" outlineLevel="0" collapsed="false">
      <c r="A9" s="11" t="str">
        <f aca="false">Apontamentos!C9</f>
        <v/>
      </c>
      <c r="B9" s="11" t="str">
        <f aca="false">IF(Apontamentos!$C9="","",Apontamentos!D9&amp;"")</f>
        <v/>
      </c>
      <c r="C9" s="11" t="str">
        <f aca="false">IF(Apontamentos!$C9="","",Apontamentos!E9&amp;"")</f>
        <v/>
      </c>
      <c r="D9" s="10" t="str">
        <f aca="false">IF(Apontamentos!$C9="","",Apontamentos!F9&amp;"")</f>
        <v/>
      </c>
      <c r="E9" s="10" t="str">
        <f aca="false">IF(Apontamentos!$C9="","",Apontamentos!G9&amp;"")</f>
        <v/>
      </c>
      <c r="F9" s="14"/>
      <c r="G9" s="14"/>
      <c r="H9" s="14"/>
      <c r="I9" s="14"/>
      <c r="J9" s="13"/>
      <c r="K9" s="13"/>
    </row>
    <row r="10" customFormat="false" ht="15" hidden="false" customHeight="false" outlineLevel="0" collapsed="false">
      <c r="A10" s="11" t="str">
        <f aca="false">Apontamentos!C10</f>
        <v/>
      </c>
      <c r="B10" s="11" t="str">
        <f aca="false">IF(Apontamentos!$C10="","",Apontamentos!D10&amp;"")</f>
        <v/>
      </c>
      <c r="C10" s="11" t="str">
        <f aca="false">IF(Apontamentos!$C10="","",Apontamentos!E10&amp;"")</f>
        <v/>
      </c>
      <c r="D10" s="10" t="str">
        <f aca="false">IF(Apontamentos!$C10="","",Apontamentos!F10&amp;"")</f>
        <v/>
      </c>
      <c r="E10" s="10" t="str">
        <f aca="false">IF(Apontamentos!$C10="","",Apontamentos!G10&amp;"")</f>
        <v/>
      </c>
      <c r="F10" s="14"/>
      <c r="G10" s="14"/>
      <c r="H10" s="14"/>
      <c r="I10" s="14"/>
      <c r="J10" s="13"/>
      <c r="K10" s="13"/>
    </row>
    <row r="11" customFormat="false" ht="15" hidden="false" customHeight="false" outlineLevel="0" collapsed="false">
      <c r="A11" s="11" t="str">
        <f aca="false">Apontamentos!C11</f>
        <v/>
      </c>
      <c r="B11" s="11" t="str">
        <f aca="false">IF(Apontamentos!$C11="","",Apontamentos!D11&amp;"")</f>
        <v/>
      </c>
      <c r="C11" s="11" t="str">
        <f aca="false">IF(Apontamentos!$C11="","",Apontamentos!E11&amp;"")</f>
        <v/>
      </c>
      <c r="D11" s="10" t="str">
        <f aca="false">IF(Apontamentos!$C11="","",Apontamentos!F11&amp;"")</f>
        <v/>
      </c>
      <c r="E11" s="10" t="str">
        <f aca="false">IF(Apontamentos!$C11="","",Apontamentos!G11&amp;"")</f>
        <v/>
      </c>
      <c r="F11" s="14"/>
      <c r="G11" s="14"/>
      <c r="H11" s="14"/>
      <c r="I11" s="14"/>
      <c r="J11" s="13"/>
      <c r="K11" s="13"/>
    </row>
    <row r="12" customFormat="false" ht="15" hidden="false" customHeight="false" outlineLevel="0" collapsed="false">
      <c r="A12" s="11" t="str">
        <f aca="false">Apontamentos!C12</f>
        <v/>
      </c>
      <c r="B12" s="11" t="str">
        <f aca="false">IF(Apontamentos!$C12="","",Apontamentos!D12&amp;"")</f>
        <v/>
      </c>
      <c r="C12" s="11" t="str">
        <f aca="false">IF(Apontamentos!$C12="","",Apontamentos!E12&amp;"")</f>
        <v/>
      </c>
      <c r="D12" s="10" t="str">
        <f aca="false">IF(Apontamentos!$C12="","",Apontamentos!F12&amp;"")</f>
        <v/>
      </c>
      <c r="E12" s="10" t="str">
        <f aca="false">IF(Apontamentos!$C12="","",Apontamentos!G12&amp;"")</f>
        <v/>
      </c>
      <c r="F12" s="14"/>
      <c r="G12" s="14"/>
      <c r="H12" s="14"/>
      <c r="I12" s="14"/>
      <c r="J12" s="13"/>
      <c r="K12" s="13"/>
    </row>
    <row r="13" customFormat="false" ht="15" hidden="false" customHeight="false" outlineLevel="0" collapsed="false">
      <c r="A13" s="11" t="str">
        <f aca="false">Apontamentos!C13</f>
        <v/>
      </c>
      <c r="B13" s="11" t="str">
        <f aca="false">IF(Apontamentos!$C13="","",Apontamentos!D13&amp;"")</f>
        <v/>
      </c>
      <c r="C13" s="11" t="str">
        <f aca="false">IF(Apontamentos!$C13="","",Apontamentos!E13&amp;"")</f>
        <v/>
      </c>
      <c r="D13" s="10" t="str">
        <f aca="false">IF(Apontamentos!$C13="","",Apontamentos!F13&amp;"")</f>
        <v/>
      </c>
      <c r="E13" s="10" t="str">
        <f aca="false">IF(Apontamentos!$C13="","",Apontamentos!G13&amp;"")</f>
        <v/>
      </c>
      <c r="F13" s="14"/>
      <c r="G13" s="14"/>
      <c r="H13" s="14"/>
      <c r="I13" s="14"/>
      <c r="J13" s="13"/>
      <c r="K13" s="13"/>
    </row>
    <row r="14" customFormat="false" ht="15" hidden="false" customHeight="false" outlineLevel="0" collapsed="false">
      <c r="A14" s="11" t="str">
        <f aca="false">Apontamentos!C14</f>
        <v/>
      </c>
      <c r="B14" s="11" t="str">
        <f aca="false">IF(Apontamentos!$C14="","",Apontamentos!D14&amp;"")</f>
        <v/>
      </c>
      <c r="C14" s="11" t="str">
        <f aca="false">IF(Apontamentos!$C14="","",Apontamentos!E14&amp;"")</f>
        <v/>
      </c>
      <c r="D14" s="10" t="str">
        <f aca="false">IF(Apontamentos!$C14="","",Apontamentos!F14&amp;"")</f>
        <v/>
      </c>
      <c r="E14" s="10" t="str">
        <f aca="false">IF(Apontamentos!$C14="","",Apontamentos!G14&amp;"")</f>
        <v/>
      </c>
      <c r="F14" s="14"/>
      <c r="G14" s="14"/>
      <c r="H14" s="14"/>
      <c r="I14" s="14"/>
      <c r="J14" s="13"/>
      <c r="K14" s="13"/>
    </row>
    <row r="15" customFormat="false" ht="15" hidden="false" customHeight="false" outlineLevel="0" collapsed="false">
      <c r="A15" s="11" t="str">
        <f aca="false">Apontamentos!C15</f>
        <v/>
      </c>
      <c r="B15" s="11" t="str">
        <f aca="false">IF(Apontamentos!$C15="","",Apontamentos!D15&amp;"")</f>
        <v/>
      </c>
      <c r="C15" s="11" t="str">
        <f aca="false">IF(Apontamentos!$C15="","",Apontamentos!E15&amp;"")</f>
        <v/>
      </c>
      <c r="D15" s="10" t="str">
        <f aca="false">IF(Apontamentos!$C15="","",Apontamentos!F15&amp;"")</f>
        <v/>
      </c>
      <c r="E15" s="10" t="str">
        <f aca="false">IF(Apontamentos!$C15="","",Apontamentos!G15&amp;"")</f>
        <v/>
      </c>
      <c r="F15" s="14"/>
      <c r="G15" s="14"/>
      <c r="H15" s="14"/>
      <c r="I15" s="14"/>
      <c r="J15" s="13"/>
      <c r="K15" s="13"/>
    </row>
    <row r="16" customFormat="false" ht="15" hidden="false" customHeight="false" outlineLevel="0" collapsed="false">
      <c r="A16" s="11" t="str">
        <f aca="false">Apontamentos!C16</f>
        <v/>
      </c>
      <c r="B16" s="11" t="str">
        <f aca="false">IF(Apontamentos!$C16="","",Apontamentos!D16&amp;"")</f>
        <v/>
      </c>
      <c r="C16" s="11" t="str">
        <f aca="false">IF(Apontamentos!$C16="","",Apontamentos!E16&amp;"")</f>
        <v/>
      </c>
      <c r="D16" s="10" t="str">
        <f aca="false">IF(Apontamentos!$C16="","",Apontamentos!F16&amp;"")</f>
        <v/>
      </c>
      <c r="E16" s="10" t="str">
        <f aca="false">IF(Apontamentos!$C16="","",Apontamentos!G16&amp;"")</f>
        <v/>
      </c>
      <c r="F16" s="14"/>
      <c r="G16" s="14"/>
      <c r="H16" s="14"/>
      <c r="I16" s="14"/>
      <c r="J16" s="13"/>
      <c r="K16" s="13"/>
    </row>
    <row r="17" customFormat="false" ht="15" hidden="false" customHeight="false" outlineLevel="0" collapsed="false">
      <c r="A17" s="11" t="str">
        <f aca="false">Apontamentos!C17</f>
        <v/>
      </c>
      <c r="B17" s="11" t="str">
        <f aca="false">IF(Apontamentos!$C17="","",Apontamentos!D17&amp;"")</f>
        <v/>
      </c>
      <c r="C17" s="11" t="str">
        <f aca="false">IF(Apontamentos!$C17="","",Apontamentos!E17&amp;"")</f>
        <v/>
      </c>
      <c r="D17" s="10" t="str">
        <f aca="false">IF(Apontamentos!$C17="","",Apontamentos!F17&amp;"")</f>
        <v/>
      </c>
      <c r="E17" s="10" t="str">
        <f aca="false">IF(Apontamentos!$C17="","",Apontamentos!G17&amp;"")</f>
        <v/>
      </c>
      <c r="F17" s="14"/>
      <c r="G17" s="14"/>
      <c r="H17" s="14"/>
      <c r="I17" s="14"/>
      <c r="J17" s="13"/>
      <c r="K17" s="13"/>
    </row>
    <row r="18" customFormat="false" ht="15" hidden="false" customHeight="false" outlineLevel="0" collapsed="false">
      <c r="A18" s="11" t="str">
        <f aca="false">Apontamentos!C18</f>
        <v/>
      </c>
      <c r="B18" s="11" t="str">
        <f aca="false">IF(Apontamentos!$C18="","",Apontamentos!D18&amp;"")</f>
        <v/>
      </c>
      <c r="C18" s="11" t="str">
        <f aca="false">IF(Apontamentos!$C18="","",Apontamentos!E18&amp;"")</f>
        <v/>
      </c>
      <c r="D18" s="10" t="str">
        <f aca="false">IF(Apontamentos!$C18="","",Apontamentos!F18&amp;"")</f>
        <v/>
      </c>
      <c r="E18" s="10" t="str">
        <f aca="false">IF(Apontamentos!$C18="","",Apontamentos!G18&amp;"")</f>
        <v/>
      </c>
      <c r="F18" s="14"/>
      <c r="G18" s="14"/>
      <c r="H18" s="14"/>
      <c r="I18" s="14"/>
      <c r="J18" s="13"/>
      <c r="K18" s="13"/>
    </row>
    <row r="19" customFormat="false" ht="15" hidden="false" customHeight="false" outlineLevel="0" collapsed="false">
      <c r="A19" s="11" t="str">
        <f aca="false">Apontamentos!C19</f>
        <v/>
      </c>
      <c r="B19" s="11" t="str">
        <f aca="false">IF(Apontamentos!$C19="","",Apontamentos!D19&amp;"")</f>
        <v/>
      </c>
      <c r="C19" s="11" t="str">
        <f aca="false">IF(Apontamentos!$C19="","",Apontamentos!E19&amp;"")</f>
        <v/>
      </c>
      <c r="D19" s="10" t="str">
        <f aca="false">IF(Apontamentos!$C19="","",Apontamentos!F19&amp;"")</f>
        <v/>
      </c>
      <c r="E19" s="10" t="str">
        <f aca="false">IF(Apontamentos!$C19="","",Apontamentos!G19&amp;"")</f>
        <v/>
      </c>
      <c r="F19" s="14"/>
      <c r="G19" s="14"/>
      <c r="H19" s="14"/>
      <c r="I19" s="14"/>
      <c r="J19" s="13"/>
      <c r="K19" s="13"/>
    </row>
    <row r="20" customFormat="false" ht="15" hidden="false" customHeight="false" outlineLevel="0" collapsed="false">
      <c r="A20" s="11" t="str">
        <f aca="false">Apontamentos!C20</f>
        <v/>
      </c>
      <c r="B20" s="11" t="str">
        <f aca="false">IF(Apontamentos!$C20="","",Apontamentos!D20&amp;"")</f>
        <v/>
      </c>
      <c r="C20" s="11" t="str">
        <f aca="false">IF(Apontamentos!$C20="","",Apontamentos!E20&amp;"")</f>
        <v/>
      </c>
      <c r="D20" s="10" t="str">
        <f aca="false">IF(Apontamentos!$C20="","",Apontamentos!F20&amp;"")</f>
        <v/>
      </c>
      <c r="E20" s="10" t="str">
        <f aca="false">IF(Apontamentos!$C20="","",Apontamentos!G20&amp;"")</f>
        <v/>
      </c>
      <c r="F20" s="14"/>
      <c r="G20" s="14"/>
      <c r="H20" s="14"/>
      <c r="I20" s="14"/>
      <c r="J20" s="13"/>
      <c r="K20" s="13"/>
    </row>
    <row r="21" customFormat="false" ht="15" hidden="false" customHeight="false" outlineLevel="0" collapsed="false">
      <c r="A21" s="11" t="str">
        <f aca="false">Apontamentos!C21</f>
        <v/>
      </c>
      <c r="B21" s="11" t="str">
        <f aca="false">IF(Apontamentos!$C21="","",Apontamentos!D21&amp;"")</f>
        <v/>
      </c>
      <c r="C21" s="11" t="str">
        <f aca="false">IF(Apontamentos!$C21="","",Apontamentos!E21&amp;"")</f>
        <v/>
      </c>
      <c r="D21" s="10" t="str">
        <f aca="false">IF(Apontamentos!$C21="","",Apontamentos!F21&amp;"")</f>
        <v/>
      </c>
      <c r="E21" s="10" t="str">
        <f aca="false">IF(Apontamentos!$C21="","",Apontamentos!G21&amp;"")</f>
        <v/>
      </c>
      <c r="F21" s="14"/>
      <c r="G21" s="14"/>
      <c r="H21" s="14"/>
      <c r="I21" s="14"/>
      <c r="J21" s="13"/>
      <c r="K21" s="13"/>
    </row>
    <row r="22" customFormat="false" ht="15" hidden="false" customHeight="false" outlineLevel="0" collapsed="false">
      <c r="A22" s="11" t="str">
        <f aca="false">Apontamentos!C22</f>
        <v/>
      </c>
      <c r="B22" s="11" t="str">
        <f aca="false">IF(Apontamentos!$C22="","",Apontamentos!D22&amp;"")</f>
        <v/>
      </c>
      <c r="C22" s="11" t="str">
        <f aca="false">IF(Apontamentos!$C22="","",Apontamentos!E22&amp;"")</f>
        <v/>
      </c>
      <c r="D22" s="10" t="str">
        <f aca="false">IF(Apontamentos!$C22="","",Apontamentos!F22&amp;"")</f>
        <v/>
      </c>
      <c r="E22" s="10" t="str">
        <f aca="false">IF(Apontamentos!$C22="","",Apontamentos!G22&amp;"")</f>
        <v/>
      </c>
      <c r="F22" s="14"/>
      <c r="G22" s="14"/>
      <c r="H22" s="14"/>
      <c r="I22" s="14"/>
      <c r="J22" s="13"/>
      <c r="K22" s="13"/>
    </row>
    <row r="23" customFormat="false" ht="15" hidden="false" customHeight="false" outlineLevel="0" collapsed="false">
      <c r="A23" s="11" t="str">
        <f aca="false">Apontamentos!C23</f>
        <v/>
      </c>
      <c r="B23" s="11" t="str">
        <f aca="false">IF(Apontamentos!$C23="","",Apontamentos!D23&amp;"")</f>
        <v/>
      </c>
      <c r="C23" s="11" t="str">
        <f aca="false">IF(Apontamentos!$C23="","",Apontamentos!E23&amp;"")</f>
        <v/>
      </c>
      <c r="D23" s="10" t="str">
        <f aca="false">IF(Apontamentos!$C23="","",Apontamentos!F23&amp;"")</f>
        <v/>
      </c>
      <c r="E23" s="10" t="str">
        <f aca="false">IF(Apontamentos!$C23="","",Apontamentos!G23&amp;"")</f>
        <v/>
      </c>
      <c r="F23" s="14"/>
      <c r="G23" s="14"/>
      <c r="H23" s="14"/>
      <c r="I23" s="14"/>
      <c r="J23" s="13"/>
      <c r="K23" s="13"/>
    </row>
    <row r="24" customFormat="false" ht="15" hidden="false" customHeight="false" outlineLevel="0" collapsed="false">
      <c r="A24" s="11" t="str">
        <f aca="false">Apontamentos!C24</f>
        <v/>
      </c>
      <c r="B24" s="11" t="str">
        <f aca="false">IF(Apontamentos!$C24="","",Apontamentos!D24&amp;"")</f>
        <v/>
      </c>
      <c r="C24" s="11" t="str">
        <f aca="false">IF(Apontamentos!$C24="","",Apontamentos!E24&amp;"")</f>
        <v/>
      </c>
      <c r="D24" s="10" t="str">
        <f aca="false">IF(Apontamentos!$C24="","",Apontamentos!F24&amp;"")</f>
        <v/>
      </c>
      <c r="E24" s="10" t="str">
        <f aca="false">IF(Apontamentos!$C24="","",Apontamentos!G24&amp;"")</f>
        <v/>
      </c>
      <c r="F24" s="14"/>
      <c r="G24" s="14"/>
      <c r="H24" s="14"/>
      <c r="I24" s="14"/>
      <c r="J24" s="13"/>
      <c r="K24" s="13"/>
    </row>
    <row r="25" customFormat="false" ht="15" hidden="false" customHeight="false" outlineLevel="0" collapsed="false">
      <c r="A25" s="11" t="str">
        <f aca="false">Apontamentos!C25</f>
        <v/>
      </c>
      <c r="B25" s="11" t="str">
        <f aca="false">IF(Apontamentos!$C25="","",Apontamentos!D25&amp;"")</f>
        <v/>
      </c>
      <c r="C25" s="11" t="str">
        <f aca="false">IF(Apontamentos!$C25="","",Apontamentos!E25&amp;"")</f>
        <v/>
      </c>
      <c r="D25" s="10" t="str">
        <f aca="false">IF(Apontamentos!$C25="","",Apontamentos!F25&amp;"")</f>
        <v/>
      </c>
      <c r="E25" s="10" t="str">
        <f aca="false">IF(Apontamentos!$C25="","",Apontamentos!G25&amp;"")</f>
        <v/>
      </c>
      <c r="F25" s="14"/>
      <c r="G25" s="14"/>
      <c r="H25" s="14"/>
      <c r="I25" s="14"/>
      <c r="J25" s="13"/>
      <c r="K25" s="13"/>
    </row>
    <row r="26" customFormat="false" ht="15" hidden="false" customHeight="false" outlineLevel="0" collapsed="false">
      <c r="A26" s="11" t="str">
        <f aca="false">Apontamentos!C26</f>
        <v/>
      </c>
      <c r="B26" s="11" t="str">
        <f aca="false">IF(Apontamentos!$C26="","",Apontamentos!D26&amp;"")</f>
        <v/>
      </c>
      <c r="C26" s="11" t="str">
        <f aca="false">IF(Apontamentos!$C26="","",Apontamentos!E26&amp;"")</f>
        <v/>
      </c>
      <c r="D26" s="10" t="str">
        <f aca="false">IF(Apontamentos!$C26="","",Apontamentos!F26&amp;"")</f>
        <v/>
      </c>
      <c r="E26" s="10" t="str">
        <f aca="false">IF(Apontamentos!$C26="","",Apontamentos!G26&amp;"")</f>
        <v/>
      </c>
      <c r="F26" s="14"/>
      <c r="G26" s="14"/>
      <c r="H26" s="14"/>
      <c r="I26" s="14"/>
      <c r="J26" s="13"/>
      <c r="K26" s="13"/>
    </row>
    <row r="27" customFormat="false" ht="15" hidden="false" customHeight="false" outlineLevel="0" collapsed="false">
      <c r="A27" s="11" t="str">
        <f aca="false">Apontamentos!C27</f>
        <v/>
      </c>
      <c r="B27" s="11" t="str">
        <f aca="false">IF(Apontamentos!$C27="","",Apontamentos!D27&amp;"")</f>
        <v/>
      </c>
      <c r="C27" s="11" t="str">
        <f aca="false">IF(Apontamentos!$C27="","",Apontamentos!E27&amp;"")</f>
        <v/>
      </c>
      <c r="D27" s="10" t="str">
        <f aca="false">IF(Apontamentos!$C27="","",Apontamentos!F27&amp;"")</f>
        <v/>
      </c>
      <c r="E27" s="10" t="str">
        <f aca="false">IF(Apontamentos!$C27="","",Apontamentos!G27&amp;"")</f>
        <v/>
      </c>
      <c r="F27" s="14"/>
      <c r="G27" s="14"/>
      <c r="H27" s="14"/>
      <c r="I27" s="14"/>
      <c r="J27" s="13"/>
      <c r="K27" s="13"/>
    </row>
    <row r="28" customFormat="false" ht="15" hidden="false" customHeight="false" outlineLevel="0" collapsed="false">
      <c r="A28" s="11" t="str">
        <f aca="false">Apontamentos!C28</f>
        <v/>
      </c>
      <c r="B28" s="11" t="str">
        <f aca="false">IF(Apontamentos!$C28="","",Apontamentos!D28&amp;"")</f>
        <v/>
      </c>
      <c r="C28" s="11" t="str">
        <f aca="false">IF(Apontamentos!$C28="","",Apontamentos!E28&amp;"")</f>
        <v/>
      </c>
      <c r="D28" s="10" t="str">
        <f aca="false">IF(Apontamentos!$C28="","",Apontamentos!F28&amp;"")</f>
        <v/>
      </c>
      <c r="E28" s="10" t="str">
        <f aca="false">IF(Apontamentos!$C28="","",Apontamentos!G28&amp;"")</f>
        <v/>
      </c>
      <c r="F28" s="14"/>
      <c r="G28" s="14"/>
      <c r="H28" s="14"/>
      <c r="I28" s="14"/>
      <c r="J28" s="13"/>
      <c r="K28" s="13"/>
    </row>
    <row r="29" customFormat="false" ht="15" hidden="false" customHeight="false" outlineLevel="0" collapsed="false">
      <c r="A29" s="11" t="str">
        <f aca="false">Apontamentos!C29</f>
        <v/>
      </c>
      <c r="B29" s="11" t="str">
        <f aca="false">IF(Apontamentos!$C29="","",Apontamentos!D29&amp;"")</f>
        <v/>
      </c>
      <c r="C29" s="11" t="str">
        <f aca="false">IF(Apontamentos!$C29="","",Apontamentos!E29&amp;"")</f>
        <v/>
      </c>
      <c r="D29" s="10" t="str">
        <f aca="false">IF(Apontamentos!$C29="","",Apontamentos!F29&amp;"")</f>
        <v/>
      </c>
      <c r="E29" s="10" t="str">
        <f aca="false">IF(Apontamentos!$C29="","",Apontamentos!G29&amp;"")</f>
        <v/>
      </c>
      <c r="F29" s="14"/>
      <c r="G29" s="14"/>
      <c r="H29" s="14"/>
      <c r="I29" s="14"/>
      <c r="J29" s="13"/>
      <c r="K29" s="13"/>
    </row>
    <row r="30" customFormat="false" ht="15" hidden="false" customHeight="false" outlineLevel="0" collapsed="false">
      <c r="A30" s="11" t="str">
        <f aca="false">Apontamentos!C30</f>
        <v/>
      </c>
      <c r="B30" s="11" t="str">
        <f aca="false">IF(Apontamentos!$C30="","",Apontamentos!D30&amp;"")</f>
        <v/>
      </c>
      <c r="C30" s="11" t="str">
        <f aca="false">IF(Apontamentos!$C30="","",Apontamentos!E30&amp;"")</f>
        <v/>
      </c>
      <c r="D30" s="10" t="str">
        <f aca="false">IF(Apontamentos!$C30="","",Apontamentos!F30&amp;"")</f>
        <v/>
      </c>
      <c r="E30" s="10" t="str">
        <f aca="false">IF(Apontamentos!$C30="","",Apontamentos!G30&amp;"")</f>
        <v/>
      </c>
      <c r="F30" s="14"/>
      <c r="G30" s="14"/>
      <c r="H30" s="14"/>
      <c r="I30" s="14"/>
      <c r="J30" s="13"/>
      <c r="K30" s="13"/>
    </row>
    <row r="31" customFormat="false" ht="15" hidden="false" customHeight="false" outlineLevel="0" collapsed="false">
      <c r="A31" s="11" t="str">
        <f aca="false">Apontamentos!C31</f>
        <v/>
      </c>
      <c r="B31" s="11" t="str">
        <f aca="false">IF(Apontamentos!$C31="","",Apontamentos!D31&amp;"")</f>
        <v/>
      </c>
      <c r="C31" s="11" t="str">
        <f aca="false">IF(Apontamentos!$C31="","",Apontamentos!E31&amp;"")</f>
        <v/>
      </c>
      <c r="D31" s="10" t="str">
        <f aca="false">IF(Apontamentos!$C31="","",Apontamentos!F31&amp;"")</f>
        <v/>
      </c>
      <c r="E31" s="10" t="str">
        <f aca="false">IF(Apontamentos!$C31="","",Apontamentos!G31&amp;"")</f>
        <v/>
      </c>
      <c r="F31" s="14"/>
      <c r="G31" s="14"/>
      <c r="H31" s="14"/>
      <c r="I31" s="14"/>
      <c r="J31" s="13"/>
      <c r="K31" s="13"/>
    </row>
    <row r="32" customFormat="false" ht="15" hidden="false" customHeight="false" outlineLevel="0" collapsed="false">
      <c r="A32" s="11" t="str">
        <f aca="false">Apontamentos!C32</f>
        <v/>
      </c>
      <c r="B32" s="11" t="str">
        <f aca="false">IF(Apontamentos!$C32="","",Apontamentos!D32&amp;"")</f>
        <v/>
      </c>
      <c r="C32" s="11" t="str">
        <f aca="false">IF(Apontamentos!$C32="","",Apontamentos!E32&amp;"")</f>
        <v/>
      </c>
      <c r="D32" s="10" t="str">
        <f aca="false">IF(Apontamentos!$C32="","",Apontamentos!F32&amp;"")</f>
        <v/>
      </c>
      <c r="E32" s="10" t="str">
        <f aca="false">IF(Apontamentos!$C32="","",Apontamentos!G32&amp;"")</f>
        <v/>
      </c>
      <c r="F32" s="14"/>
      <c r="G32" s="14"/>
      <c r="H32" s="14"/>
      <c r="I32" s="14"/>
      <c r="J32" s="13"/>
      <c r="K32" s="13"/>
    </row>
    <row r="33" customFormat="false" ht="15" hidden="false" customHeight="false" outlineLevel="0" collapsed="false">
      <c r="A33" s="11" t="str">
        <f aca="false">Apontamentos!C33</f>
        <v/>
      </c>
      <c r="B33" s="11" t="str">
        <f aca="false">IF(Apontamentos!$C33="","",Apontamentos!D33&amp;"")</f>
        <v/>
      </c>
      <c r="C33" s="11" t="str">
        <f aca="false">IF(Apontamentos!$C33="","",Apontamentos!E33&amp;"")</f>
        <v/>
      </c>
      <c r="D33" s="10" t="str">
        <f aca="false">IF(Apontamentos!$C33="","",Apontamentos!F33&amp;"")</f>
        <v/>
      </c>
      <c r="E33" s="10" t="str">
        <f aca="false">IF(Apontamentos!$C33="","",Apontamentos!G33&amp;"")</f>
        <v/>
      </c>
      <c r="F33" s="14"/>
      <c r="G33" s="14"/>
      <c r="H33" s="14"/>
      <c r="I33" s="14"/>
      <c r="J33" s="13"/>
      <c r="K33" s="13"/>
    </row>
    <row r="34" customFormat="false" ht="15" hidden="false" customHeight="false" outlineLevel="0" collapsed="false">
      <c r="A34" s="11" t="str">
        <f aca="false">Apontamentos!C34</f>
        <v/>
      </c>
      <c r="B34" s="11" t="str">
        <f aca="false">IF(Apontamentos!$C34="","",Apontamentos!D34&amp;"")</f>
        <v/>
      </c>
      <c r="C34" s="11" t="str">
        <f aca="false">IF(Apontamentos!$C34="","",Apontamentos!E34&amp;"")</f>
        <v/>
      </c>
      <c r="D34" s="10" t="str">
        <f aca="false">IF(Apontamentos!$C34="","",Apontamentos!F34&amp;"")</f>
        <v/>
      </c>
      <c r="E34" s="10" t="str">
        <f aca="false">IF(Apontamentos!$C34="","",Apontamentos!G34&amp;"")</f>
        <v/>
      </c>
      <c r="F34" s="14"/>
      <c r="G34" s="14"/>
      <c r="H34" s="14"/>
      <c r="I34" s="14"/>
      <c r="J34" s="13"/>
      <c r="K34" s="13"/>
    </row>
    <row r="35" customFormat="false" ht="15" hidden="false" customHeight="false" outlineLevel="0" collapsed="false">
      <c r="A35" s="11" t="str">
        <f aca="false">Apontamentos!C35</f>
        <v/>
      </c>
      <c r="B35" s="11" t="str">
        <f aca="false">IF(Apontamentos!$C35="","",Apontamentos!D35&amp;"")</f>
        <v/>
      </c>
      <c r="C35" s="11" t="str">
        <f aca="false">IF(Apontamentos!$C35="","",Apontamentos!E35&amp;"")</f>
        <v/>
      </c>
      <c r="D35" s="10" t="str">
        <f aca="false">IF(Apontamentos!$C35="","",Apontamentos!F35&amp;"")</f>
        <v/>
      </c>
      <c r="E35" s="10" t="str">
        <f aca="false">IF(Apontamentos!$C35="","",Apontamentos!G35&amp;"")</f>
        <v/>
      </c>
      <c r="F35" s="14"/>
      <c r="G35" s="14"/>
      <c r="H35" s="14"/>
      <c r="I35" s="14"/>
      <c r="J35" s="13"/>
      <c r="K35" s="13"/>
    </row>
    <row r="36" customFormat="false" ht="15" hidden="false" customHeight="false" outlineLevel="0" collapsed="false">
      <c r="A36" s="11" t="str">
        <f aca="false">Apontamentos!C36</f>
        <v/>
      </c>
      <c r="B36" s="11" t="str">
        <f aca="false">IF(Apontamentos!$C36="","",Apontamentos!D36&amp;"")</f>
        <v/>
      </c>
      <c r="C36" s="11" t="str">
        <f aca="false">IF(Apontamentos!$C36="","",Apontamentos!E36&amp;"")</f>
        <v/>
      </c>
      <c r="D36" s="10" t="str">
        <f aca="false">IF(Apontamentos!$C36="","",Apontamentos!F36&amp;"")</f>
        <v/>
      </c>
      <c r="E36" s="10" t="str">
        <f aca="false">IF(Apontamentos!$C36="","",Apontamentos!G36&amp;"")</f>
        <v/>
      </c>
      <c r="F36" s="14"/>
      <c r="G36" s="14"/>
      <c r="H36" s="14"/>
      <c r="I36" s="14"/>
      <c r="J36" s="13"/>
      <c r="K36" s="13"/>
    </row>
    <row r="37" customFormat="false" ht="15" hidden="false" customHeight="false" outlineLevel="0" collapsed="false">
      <c r="A37" s="11" t="str">
        <f aca="false">Apontamentos!C37</f>
        <v/>
      </c>
      <c r="B37" s="11" t="str">
        <f aca="false">IF(Apontamentos!$C37="","",Apontamentos!D37&amp;"")</f>
        <v/>
      </c>
      <c r="C37" s="11" t="str">
        <f aca="false">IF(Apontamentos!$C37="","",Apontamentos!E37&amp;"")</f>
        <v/>
      </c>
      <c r="D37" s="10" t="str">
        <f aca="false">IF(Apontamentos!$C37="","",Apontamentos!F37&amp;"")</f>
        <v/>
      </c>
      <c r="E37" s="10" t="str">
        <f aca="false">IF(Apontamentos!$C37="","",Apontamentos!G37&amp;"")</f>
        <v/>
      </c>
      <c r="F37" s="14"/>
      <c r="G37" s="14"/>
      <c r="H37" s="14"/>
      <c r="I37" s="14"/>
      <c r="J37" s="13"/>
      <c r="K37" s="13"/>
    </row>
    <row r="38" customFormat="false" ht="15" hidden="false" customHeight="false" outlineLevel="0" collapsed="false">
      <c r="A38" s="11" t="str">
        <f aca="false">Apontamentos!C38</f>
        <v/>
      </c>
      <c r="B38" s="11" t="str">
        <f aca="false">IF(Apontamentos!$C38="","",Apontamentos!D38&amp;"")</f>
        <v/>
      </c>
      <c r="C38" s="11" t="str">
        <f aca="false">IF(Apontamentos!$C38="","",Apontamentos!E38&amp;"")</f>
        <v/>
      </c>
      <c r="D38" s="10" t="str">
        <f aca="false">IF(Apontamentos!$C38="","",Apontamentos!F38&amp;"")</f>
        <v/>
      </c>
      <c r="E38" s="10" t="str">
        <f aca="false">IF(Apontamentos!$C38="","",Apontamentos!G38&amp;"")</f>
        <v/>
      </c>
      <c r="F38" s="14"/>
      <c r="G38" s="14"/>
      <c r="H38" s="14"/>
      <c r="I38" s="14"/>
      <c r="J38" s="13"/>
      <c r="K38" s="13"/>
    </row>
    <row r="39" customFormat="false" ht="15" hidden="false" customHeight="false" outlineLevel="0" collapsed="false">
      <c r="A39" s="11" t="str">
        <f aca="false">Apontamentos!C39</f>
        <v/>
      </c>
      <c r="B39" s="11" t="str">
        <f aca="false">IF(Apontamentos!$C39="","",Apontamentos!D39&amp;"")</f>
        <v/>
      </c>
      <c r="C39" s="11" t="str">
        <f aca="false">IF(Apontamentos!$C39="","",Apontamentos!E39&amp;"")</f>
        <v/>
      </c>
      <c r="D39" s="10" t="str">
        <f aca="false">IF(Apontamentos!$C39="","",Apontamentos!F39&amp;"")</f>
        <v/>
      </c>
      <c r="E39" s="10" t="str">
        <f aca="false">IF(Apontamentos!$C39="","",Apontamentos!G39&amp;"")</f>
        <v/>
      </c>
      <c r="F39" s="14"/>
      <c r="G39" s="14"/>
      <c r="H39" s="14"/>
      <c r="I39" s="14"/>
      <c r="J39" s="13"/>
      <c r="K39" s="13"/>
    </row>
    <row r="40" customFormat="false" ht="15" hidden="false" customHeight="false" outlineLevel="0" collapsed="false">
      <c r="A40" s="11" t="str">
        <f aca="false">Apontamentos!C40</f>
        <v/>
      </c>
      <c r="B40" s="11" t="str">
        <f aca="false">IF(Apontamentos!$C40="","",Apontamentos!D40&amp;"")</f>
        <v/>
      </c>
      <c r="C40" s="11" t="str">
        <f aca="false">IF(Apontamentos!$C40="","",Apontamentos!E40&amp;"")</f>
        <v/>
      </c>
      <c r="D40" s="10" t="str">
        <f aca="false">IF(Apontamentos!$C40="","",Apontamentos!F40&amp;"")</f>
        <v/>
      </c>
      <c r="E40" s="10" t="str">
        <f aca="false">IF(Apontamentos!$C40="","",Apontamentos!G40&amp;"")</f>
        <v/>
      </c>
      <c r="F40" s="14"/>
      <c r="G40" s="14"/>
      <c r="H40" s="14"/>
      <c r="I40" s="14"/>
      <c r="J40" s="13"/>
      <c r="K40" s="13"/>
    </row>
    <row r="41" customFormat="false" ht="15" hidden="false" customHeight="false" outlineLevel="0" collapsed="false">
      <c r="A41" s="11" t="str">
        <f aca="false">Apontamentos!C41</f>
        <v/>
      </c>
      <c r="B41" s="11" t="str">
        <f aca="false">IF(Apontamentos!$C41="","",Apontamentos!D41&amp;"")</f>
        <v/>
      </c>
      <c r="C41" s="11" t="str">
        <f aca="false">IF(Apontamentos!$C41="","",Apontamentos!E41&amp;"")</f>
        <v/>
      </c>
      <c r="D41" s="10" t="str">
        <f aca="false">IF(Apontamentos!$C41="","",Apontamentos!F41&amp;"")</f>
        <v/>
      </c>
      <c r="E41" s="10" t="str">
        <f aca="false">IF(Apontamentos!$C41="","",Apontamentos!G41&amp;"")</f>
        <v/>
      </c>
      <c r="F41" s="14"/>
      <c r="G41" s="14"/>
      <c r="H41" s="14"/>
      <c r="I41" s="14"/>
      <c r="J41" s="13"/>
      <c r="K41" s="13"/>
    </row>
    <row r="42" customFormat="false" ht="15" hidden="false" customHeight="false" outlineLevel="0" collapsed="false">
      <c r="A42" s="11" t="str">
        <f aca="false">Apontamentos!C42</f>
        <v/>
      </c>
      <c r="B42" s="11" t="str">
        <f aca="false">IF(Apontamentos!$C42="","",Apontamentos!D42&amp;"")</f>
        <v/>
      </c>
      <c r="C42" s="11" t="str">
        <f aca="false">IF(Apontamentos!$C42="","",Apontamentos!E42&amp;"")</f>
        <v/>
      </c>
      <c r="D42" s="10" t="str">
        <f aca="false">IF(Apontamentos!$C42="","",Apontamentos!F42&amp;"")</f>
        <v/>
      </c>
      <c r="E42" s="10" t="str">
        <f aca="false">IF(Apontamentos!$C42="","",Apontamentos!G42&amp;"")</f>
        <v/>
      </c>
      <c r="F42" s="14"/>
      <c r="G42" s="14"/>
      <c r="H42" s="14"/>
      <c r="I42" s="14"/>
      <c r="J42" s="13"/>
      <c r="K42" s="13"/>
    </row>
    <row r="43" customFormat="false" ht="15" hidden="false" customHeight="false" outlineLevel="0" collapsed="false">
      <c r="A43" s="11" t="str">
        <f aca="false">Apontamentos!C43</f>
        <v/>
      </c>
      <c r="B43" s="11" t="str">
        <f aca="false">IF(Apontamentos!$C43="","",Apontamentos!D43&amp;"")</f>
        <v/>
      </c>
      <c r="C43" s="11" t="str">
        <f aca="false">IF(Apontamentos!$C43="","",Apontamentos!E43&amp;"")</f>
        <v/>
      </c>
      <c r="D43" s="10" t="str">
        <f aca="false">IF(Apontamentos!$C43="","",Apontamentos!F43&amp;"")</f>
        <v/>
      </c>
      <c r="E43" s="10" t="str">
        <f aca="false">IF(Apontamentos!$C43="","",Apontamentos!G43&amp;"")</f>
        <v/>
      </c>
      <c r="F43" s="14"/>
      <c r="G43" s="14"/>
      <c r="H43" s="14"/>
      <c r="I43" s="14"/>
      <c r="J43" s="13"/>
      <c r="K43" s="13"/>
    </row>
    <row r="44" customFormat="false" ht="15" hidden="false" customHeight="false" outlineLevel="0" collapsed="false">
      <c r="A44" s="11" t="str">
        <f aca="false">Apontamentos!C44</f>
        <v/>
      </c>
      <c r="B44" s="11" t="str">
        <f aca="false">IF(Apontamentos!$C44="","",Apontamentos!D44&amp;"")</f>
        <v/>
      </c>
      <c r="C44" s="11" t="str">
        <f aca="false">IF(Apontamentos!$C44="","",Apontamentos!E44&amp;"")</f>
        <v/>
      </c>
      <c r="D44" s="10" t="str">
        <f aca="false">IF(Apontamentos!$C44="","",Apontamentos!F44&amp;"")</f>
        <v/>
      </c>
      <c r="E44" s="10" t="str">
        <f aca="false">IF(Apontamentos!$C44="","",Apontamentos!G44&amp;"")</f>
        <v/>
      </c>
      <c r="F44" s="14"/>
      <c r="G44" s="14"/>
      <c r="H44" s="14"/>
      <c r="I44" s="14"/>
      <c r="J44" s="13"/>
      <c r="K44" s="13"/>
    </row>
    <row r="45" customFormat="false" ht="15" hidden="false" customHeight="false" outlineLevel="0" collapsed="false">
      <c r="A45" s="11" t="str">
        <f aca="false">Apontamentos!C45</f>
        <v/>
      </c>
      <c r="B45" s="11" t="str">
        <f aca="false">IF(Apontamentos!$C45="","",Apontamentos!D45&amp;"")</f>
        <v/>
      </c>
      <c r="C45" s="11" t="str">
        <f aca="false">IF(Apontamentos!$C45="","",Apontamentos!E45&amp;"")</f>
        <v/>
      </c>
      <c r="D45" s="10" t="str">
        <f aca="false">IF(Apontamentos!$C45="","",Apontamentos!F45&amp;"")</f>
        <v/>
      </c>
      <c r="E45" s="10" t="str">
        <f aca="false">IF(Apontamentos!$C45="","",Apontamentos!G45&amp;"")</f>
        <v/>
      </c>
      <c r="F45" s="14"/>
      <c r="G45" s="14"/>
      <c r="H45" s="14"/>
      <c r="I45" s="14"/>
      <c r="J45" s="13"/>
      <c r="K45" s="13"/>
    </row>
    <row r="46" customFormat="false" ht="15" hidden="false" customHeight="false" outlineLevel="0" collapsed="false">
      <c r="A46" s="11" t="str">
        <f aca="false">Apontamentos!C46</f>
        <v/>
      </c>
      <c r="B46" s="11" t="str">
        <f aca="false">IF(Apontamentos!$C46="","",Apontamentos!D46&amp;"")</f>
        <v/>
      </c>
      <c r="C46" s="11" t="str">
        <f aca="false">IF(Apontamentos!$C46="","",Apontamentos!E46&amp;"")</f>
        <v/>
      </c>
      <c r="D46" s="10" t="str">
        <f aca="false">IF(Apontamentos!$C46="","",Apontamentos!F46&amp;"")</f>
        <v/>
      </c>
      <c r="E46" s="10" t="str">
        <f aca="false">IF(Apontamentos!$C46="","",Apontamentos!G46&amp;"")</f>
        <v/>
      </c>
      <c r="F46" s="14"/>
      <c r="G46" s="14"/>
      <c r="H46" s="14"/>
      <c r="I46" s="14"/>
      <c r="J46" s="13"/>
      <c r="K46" s="13"/>
    </row>
    <row r="47" customFormat="false" ht="15" hidden="false" customHeight="false" outlineLevel="0" collapsed="false">
      <c r="A47" s="11" t="str">
        <f aca="false">Apontamentos!C47</f>
        <v/>
      </c>
      <c r="B47" s="11" t="str">
        <f aca="false">IF(Apontamentos!$C47="","",Apontamentos!D47&amp;"")</f>
        <v/>
      </c>
      <c r="C47" s="11" t="str">
        <f aca="false">IF(Apontamentos!$C47="","",Apontamentos!E47&amp;"")</f>
        <v/>
      </c>
      <c r="D47" s="10" t="str">
        <f aca="false">IF(Apontamentos!$C47="","",Apontamentos!F47&amp;"")</f>
        <v/>
      </c>
      <c r="E47" s="10" t="str">
        <f aca="false">IF(Apontamentos!$C47="","",Apontamentos!G47&amp;"")</f>
        <v/>
      </c>
      <c r="F47" s="14"/>
      <c r="G47" s="14"/>
      <c r="H47" s="14"/>
      <c r="I47" s="14"/>
      <c r="J47" s="13"/>
      <c r="K47" s="13"/>
    </row>
    <row r="48" customFormat="false" ht="15" hidden="false" customHeight="false" outlineLevel="0" collapsed="false">
      <c r="A48" s="11" t="str">
        <f aca="false">Apontamentos!C48</f>
        <v/>
      </c>
      <c r="B48" s="11" t="str">
        <f aca="false">IF(Apontamentos!$C48="","",Apontamentos!D48&amp;"")</f>
        <v/>
      </c>
      <c r="C48" s="11" t="str">
        <f aca="false">IF(Apontamentos!$C48="","",Apontamentos!E48&amp;"")</f>
        <v/>
      </c>
      <c r="D48" s="10" t="str">
        <f aca="false">IF(Apontamentos!$C48="","",Apontamentos!F48&amp;"")</f>
        <v/>
      </c>
      <c r="E48" s="10" t="str">
        <f aca="false">IF(Apontamentos!$C48="","",Apontamentos!G48&amp;"")</f>
        <v/>
      </c>
      <c r="F48" s="14"/>
      <c r="G48" s="14"/>
      <c r="H48" s="14"/>
      <c r="I48" s="14"/>
      <c r="J48" s="13"/>
      <c r="K48" s="13"/>
    </row>
    <row r="49" customFormat="false" ht="15" hidden="false" customHeight="false" outlineLevel="0" collapsed="false">
      <c r="A49" s="11" t="str">
        <f aca="false">Apontamentos!C49</f>
        <v/>
      </c>
      <c r="B49" s="11" t="str">
        <f aca="false">IF(Apontamentos!$C49="","",Apontamentos!D49&amp;"")</f>
        <v/>
      </c>
      <c r="C49" s="11" t="str">
        <f aca="false">IF(Apontamentos!$C49="","",Apontamentos!E49&amp;"")</f>
        <v/>
      </c>
      <c r="D49" s="10" t="str">
        <f aca="false">IF(Apontamentos!$C49="","",Apontamentos!F49&amp;"")</f>
        <v/>
      </c>
      <c r="E49" s="10" t="str">
        <f aca="false">IF(Apontamentos!$C49="","",Apontamentos!G49&amp;"")</f>
        <v/>
      </c>
      <c r="F49" s="14"/>
      <c r="G49" s="14"/>
      <c r="H49" s="14"/>
      <c r="I49" s="14"/>
      <c r="J49" s="13"/>
      <c r="K49" s="13"/>
    </row>
    <row r="50" customFormat="false" ht="15" hidden="false" customHeight="false" outlineLevel="0" collapsed="false">
      <c r="A50" s="11" t="str">
        <f aca="false">Apontamentos!C50</f>
        <v/>
      </c>
      <c r="B50" s="11" t="str">
        <f aca="false">IF(Apontamentos!$C50="","",Apontamentos!D50&amp;"")</f>
        <v/>
      </c>
      <c r="C50" s="11" t="str">
        <f aca="false">IF(Apontamentos!$C50="","",Apontamentos!E50&amp;"")</f>
        <v/>
      </c>
      <c r="D50" s="10" t="str">
        <f aca="false">IF(Apontamentos!$C50="","",Apontamentos!F50&amp;"")</f>
        <v/>
      </c>
      <c r="E50" s="10" t="str">
        <f aca="false">IF(Apontamentos!$C50="","",Apontamentos!G50&amp;"")</f>
        <v/>
      </c>
      <c r="F50" s="14"/>
      <c r="G50" s="14"/>
      <c r="H50" s="14"/>
      <c r="I50" s="14"/>
      <c r="J50" s="13"/>
      <c r="K50" s="13"/>
    </row>
    <row r="51" customFormat="false" ht="15" hidden="false" customHeight="false" outlineLevel="0" collapsed="false">
      <c r="A51" s="11" t="str">
        <f aca="false">Apontamentos!C51</f>
        <v/>
      </c>
      <c r="B51" s="11" t="str">
        <f aca="false">IF(Apontamentos!$C51="","",Apontamentos!D51&amp;"")</f>
        <v/>
      </c>
      <c r="C51" s="11" t="str">
        <f aca="false">IF(Apontamentos!$C51="","",Apontamentos!E51&amp;"")</f>
        <v/>
      </c>
      <c r="D51" s="10" t="str">
        <f aca="false">IF(Apontamentos!$C51="","",Apontamentos!F51&amp;"")</f>
        <v/>
      </c>
      <c r="E51" s="10" t="str">
        <f aca="false">IF(Apontamentos!$C51="","",Apontamentos!G51&amp;"")</f>
        <v/>
      </c>
      <c r="F51" s="14"/>
      <c r="G51" s="14"/>
      <c r="H51" s="14"/>
      <c r="I51" s="14"/>
      <c r="J51" s="13"/>
      <c r="K51" s="13"/>
    </row>
    <row r="52" customFormat="false" ht="15" hidden="false" customHeight="false" outlineLevel="0" collapsed="false">
      <c r="A52" s="11" t="str">
        <f aca="false">Apontamentos!C52</f>
        <v/>
      </c>
      <c r="B52" s="11" t="str">
        <f aca="false">IF(Apontamentos!$C52="","",Apontamentos!D52&amp;"")</f>
        <v/>
      </c>
      <c r="C52" s="11" t="str">
        <f aca="false">IF(Apontamentos!$C52="","",Apontamentos!E52&amp;"")</f>
        <v/>
      </c>
      <c r="D52" s="10" t="str">
        <f aca="false">IF(Apontamentos!$C52="","",Apontamentos!F52&amp;"")</f>
        <v/>
      </c>
      <c r="E52" s="10" t="str">
        <f aca="false">IF(Apontamentos!$C52="","",Apontamentos!G52&amp;"")</f>
        <v/>
      </c>
      <c r="F52" s="14"/>
      <c r="G52" s="14"/>
      <c r="H52" s="14"/>
      <c r="I52" s="14"/>
      <c r="J52" s="13"/>
      <c r="K52" s="13"/>
    </row>
    <row r="53" customFormat="false" ht="15" hidden="false" customHeight="false" outlineLevel="0" collapsed="false">
      <c r="A53" s="11" t="str">
        <f aca="false">Apontamentos!C53</f>
        <v/>
      </c>
      <c r="B53" s="11" t="str">
        <f aca="false">IF(Apontamentos!$C53="","",Apontamentos!D53&amp;"")</f>
        <v/>
      </c>
      <c r="C53" s="11" t="str">
        <f aca="false">IF(Apontamentos!$C53="","",Apontamentos!E53&amp;"")</f>
        <v/>
      </c>
      <c r="D53" s="10" t="str">
        <f aca="false">IF(Apontamentos!$C53="","",Apontamentos!F53&amp;"")</f>
        <v/>
      </c>
      <c r="E53" s="10" t="str">
        <f aca="false">IF(Apontamentos!$C53="","",Apontamentos!G53&amp;"")</f>
        <v/>
      </c>
      <c r="F53" s="14"/>
      <c r="G53" s="14"/>
      <c r="H53" s="14"/>
      <c r="I53" s="14"/>
      <c r="J53" s="13"/>
      <c r="K53" s="13"/>
    </row>
    <row r="54" customFormat="false" ht="15" hidden="false" customHeight="false" outlineLevel="0" collapsed="false">
      <c r="A54" s="11" t="str">
        <f aca="false">Apontamentos!C54</f>
        <v/>
      </c>
      <c r="B54" s="11" t="str">
        <f aca="false">IF(Apontamentos!$C54="","",Apontamentos!D54&amp;"")</f>
        <v/>
      </c>
      <c r="C54" s="11" t="str">
        <f aca="false">IF(Apontamentos!$C54="","",Apontamentos!E54&amp;"")</f>
        <v/>
      </c>
      <c r="D54" s="10" t="str">
        <f aca="false">IF(Apontamentos!$C54="","",Apontamentos!F54&amp;"")</f>
        <v/>
      </c>
      <c r="E54" s="10" t="str">
        <f aca="false">IF(Apontamentos!$C54="","",Apontamentos!G54&amp;"")</f>
        <v/>
      </c>
      <c r="F54" s="14"/>
      <c r="G54" s="14"/>
      <c r="H54" s="14"/>
      <c r="I54" s="14"/>
      <c r="J54" s="13"/>
      <c r="K54" s="13"/>
    </row>
    <row r="55" customFormat="false" ht="15" hidden="false" customHeight="false" outlineLevel="0" collapsed="false">
      <c r="A55" s="11" t="str">
        <f aca="false">Apontamentos!C55</f>
        <v/>
      </c>
      <c r="B55" s="11" t="str">
        <f aca="false">IF(Apontamentos!$C55="","",Apontamentos!D55&amp;"")</f>
        <v/>
      </c>
      <c r="C55" s="11" t="str">
        <f aca="false">IF(Apontamentos!$C55="","",Apontamentos!E55&amp;"")</f>
        <v/>
      </c>
      <c r="D55" s="10" t="str">
        <f aca="false">IF(Apontamentos!$C55="","",Apontamentos!F55&amp;"")</f>
        <v/>
      </c>
      <c r="E55" s="10" t="str">
        <f aca="false">IF(Apontamentos!$C55="","",Apontamentos!G55&amp;"")</f>
        <v/>
      </c>
      <c r="F55" s="14"/>
      <c r="G55" s="14"/>
      <c r="H55" s="14"/>
      <c r="I55" s="14"/>
      <c r="J55" s="13"/>
      <c r="K55" s="13"/>
    </row>
    <row r="56" customFormat="false" ht="15" hidden="false" customHeight="false" outlineLevel="0" collapsed="false">
      <c r="A56" s="11" t="str">
        <f aca="false">Apontamentos!C56</f>
        <v/>
      </c>
      <c r="B56" s="11" t="str">
        <f aca="false">IF(Apontamentos!$C56="","",Apontamentos!D56&amp;"")</f>
        <v/>
      </c>
      <c r="C56" s="11" t="str">
        <f aca="false">IF(Apontamentos!$C56="","",Apontamentos!E56&amp;"")</f>
        <v/>
      </c>
      <c r="D56" s="10" t="str">
        <f aca="false">IF(Apontamentos!$C56="","",Apontamentos!F56&amp;"")</f>
        <v/>
      </c>
      <c r="E56" s="10" t="str">
        <f aca="false">IF(Apontamentos!$C56="","",Apontamentos!G56&amp;"")</f>
        <v/>
      </c>
      <c r="F56" s="14"/>
      <c r="G56" s="14"/>
      <c r="H56" s="14"/>
      <c r="I56" s="14"/>
      <c r="J56" s="13"/>
      <c r="K56" s="13"/>
    </row>
    <row r="57" customFormat="false" ht="15" hidden="false" customHeight="false" outlineLevel="0" collapsed="false">
      <c r="A57" s="11" t="str">
        <f aca="false">Apontamentos!C57</f>
        <v/>
      </c>
      <c r="B57" s="11" t="str">
        <f aca="false">IF(Apontamentos!$C57="","",Apontamentos!D57&amp;"")</f>
        <v/>
      </c>
      <c r="C57" s="11" t="str">
        <f aca="false">IF(Apontamentos!$C57="","",Apontamentos!E57&amp;"")</f>
        <v/>
      </c>
      <c r="D57" s="10" t="str">
        <f aca="false">IF(Apontamentos!$C57="","",Apontamentos!F57&amp;"")</f>
        <v/>
      </c>
      <c r="E57" s="10" t="str">
        <f aca="false">IF(Apontamentos!$C57="","",Apontamentos!G57&amp;"")</f>
        <v/>
      </c>
      <c r="F57" s="14"/>
      <c r="G57" s="14"/>
      <c r="H57" s="14"/>
      <c r="I57" s="14"/>
      <c r="J57" s="13"/>
      <c r="K57" s="13"/>
    </row>
    <row r="58" customFormat="false" ht="15" hidden="false" customHeight="false" outlineLevel="0" collapsed="false">
      <c r="A58" s="11" t="str">
        <f aca="false">Apontamentos!C58</f>
        <v/>
      </c>
      <c r="B58" s="11" t="str">
        <f aca="false">IF(Apontamentos!$C58="","",Apontamentos!D58&amp;"")</f>
        <v/>
      </c>
      <c r="C58" s="11" t="str">
        <f aca="false">IF(Apontamentos!$C58="","",Apontamentos!E58&amp;"")</f>
        <v/>
      </c>
      <c r="D58" s="10" t="str">
        <f aca="false">IF(Apontamentos!$C58="","",Apontamentos!F58&amp;"")</f>
        <v/>
      </c>
      <c r="E58" s="10" t="str">
        <f aca="false">IF(Apontamentos!$C58="","",Apontamentos!G58&amp;"")</f>
        <v/>
      </c>
      <c r="F58" s="14"/>
      <c r="G58" s="14"/>
      <c r="H58" s="14"/>
      <c r="I58" s="14"/>
      <c r="J58" s="13"/>
      <c r="K58" s="13"/>
    </row>
    <row r="59" customFormat="false" ht="15" hidden="false" customHeight="false" outlineLevel="0" collapsed="false">
      <c r="A59" s="11" t="str">
        <f aca="false">Apontamentos!C59</f>
        <v/>
      </c>
      <c r="B59" s="11" t="str">
        <f aca="false">IF(Apontamentos!$C59="","",Apontamentos!D59&amp;"")</f>
        <v/>
      </c>
      <c r="C59" s="11" t="str">
        <f aca="false">IF(Apontamentos!$C59="","",Apontamentos!E59&amp;"")</f>
        <v/>
      </c>
      <c r="D59" s="10" t="str">
        <f aca="false">IF(Apontamentos!$C59="","",Apontamentos!F59&amp;"")</f>
        <v/>
      </c>
      <c r="E59" s="10" t="str">
        <f aca="false">IF(Apontamentos!$C59="","",Apontamentos!G59&amp;"")</f>
        <v/>
      </c>
      <c r="F59" s="14"/>
      <c r="G59" s="14"/>
      <c r="H59" s="14"/>
      <c r="I59" s="14"/>
      <c r="J59" s="13"/>
      <c r="K59" s="13"/>
    </row>
    <row r="60" customFormat="false" ht="15" hidden="false" customHeight="false" outlineLevel="0" collapsed="false">
      <c r="A60" s="11" t="str">
        <f aca="false">Apontamentos!C60</f>
        <v/>
      </c>
      <c r="B60" s="11" t="str">
        <f aca="false">IF(Apontamentos!$C60="","",Apontamentos!D60&amp;"")</f>
        <v/>
      </c>
      <c r="C60" s="11" t="str">
        <f aca="false">IF(Apontamentos!$C60="","",Apontamentos!E60&amp;"")</f>
        <v/>
      </c>
      <c r="D60" s="10" t="str">
        <f aca="false">IF(Apontamentos!$C60="","",Apontamentos!F60&amp;"")</f>
        <v/>
      </c>
      <c r="E60" s="10" t="str">
        <f aca="false">IF(Apontamentos!$C60="","",Apontamentos!G60&amp;"")</f>
        <v/>
      </c>
      <c r="F60" s="14"/>
      <c r="G60" s="14"/>
      <c r="H60" s="14"/>
      <c r="I60" s="14"/>
      <c r="J60" s="13"/>
      <c r="K60" s="13"/>
    </row>
    <row r="61" customFormat="false" ht="15" hidden="false" customHeight="false" outlineLevel="0" collapsed="false">
      <c r="A61" s="11" t="str">
        <f aca="false">Apontamentos!C61</f>
        <v/>
      </c>
      <c r="B61" s="11" t="str">
        <f aca="false">IF(Apontamentos!$C61="","",Apontamentos!D61&amp;"")</f>
        <v/>
      </c>
      <c r="C61" s="11" t="str">
        <f aca="false">IF(Apontamentos!$C61="","",Apontamentos!E61&amp;"")</f>
        <v/>
      </c>
      <c r="D61" s="10" t="str">
        <f aca="false">IF(Apontamentos!$C61="","",Apontamentos!F61&amp;"")</f>
        <v/>
      </c>
      <c r="E61" s="10" t="str">
        <f aca="false">IF(Apontamentos!$C61="","",Apontamentos!G61&amp;"")</f>
        <v/>
      </c>
      <c r="F61" s="14"/>
      <c r="G61" s="14"/>
      <c r="H61" s="14"/>
      <c r="I61" s="14"/>
      <c r="J61" s="13"/>
      <c r="K61" s="13"/>
    </row>
    <row r="62" customFormat="false" ht="15" hidden="false" customHeight="false" outlineLevel="0" collapsed="false">
      <c r="A62" s="11" t="str">
        <f aca="false">Apontamentos!C62</f>
        <v/>
      </c>
      <c r="B62" s="11" t="str">
        <f aca="false">IF(Apontamentos!$C62="","",Apontamentos!D62&amp;"")</f>
        <v/>
      </c>
      <c r="C62" s="11" t="str">
        <f aca="false">IF(Apontamentos!$C62="","",Apontamentos!E62&amp;"")</f>
        <v/>
      </c>
      <c r="D62" s="10" t="str">
        <f aca="false">IF(Apontamentos!$C62="","",Apontamentos!F62&amp;"")</f>
        <v/>
      </c>
      <c r="E62" s="10" t="str">
        <f aca="false">IF(Apontamentos!$C62="","",Apontamentos!G62&amp;"")</f>
        <v/>
      </c>
      <c r="F62" s="14"/>
      <c r="G62" s="14"/>
      <c r="H62" s="14"/>
      <c r="I62" s="14"/>
      <c r="J62" s="13"/>
      <c r="K62" s="13"/>
    </row>
    <row r="63" customFormat="false" ht="15" hidden="false" customHeight="false" outlineLevel="0" collapsed="false">
      <c r="A63" s="11" t="str">
        <f aca="false">Apontamentos!C63</f>
        <v/>
      </c>
      <c r="B63" s="11" t="str">
        <f aca="false">IF(Apontamentos!$C63="","",Apontamentos!D63&amp;"")</f>
        <v/>
      </c>
      <c r="C63" s="11" t="str">
        <f aca="false">IF(Apontamentos!$C63="","",Apontamentos!E63&amp;"")</f>
        <v/>
      </c>
      <c r="D63" s="10" t="str">
        <f aca="false">IF(Apontamentos!$C63="","",Apontamentos!F63&amp;"")</f>
        <v/>
      </c>
      <c r="E63" s="10" t="str">
        <f aca="false">IF(Apontamentos!$C63="","",Apontamentos!G63&amp;"")</f>
        <v/>
      </c>
      <c r="F63" s="14"/>
      <c r="G63" s="14"/>
      <c r="H63" s="14"/>
      <c r="I63" s="14"/>
      <c r="J63" s="13"/>
      <c r="K63" s="13"/>
    </row>
    <row r="64" customFormat="false" ht="15" hidden="false" customHeight="false" outlineLevel="0" collapsed="false">
      <c r="A64" s="11" t="str">
        <f aca="false">Apontamentos!C64</f>
        <v/>
      </c>
      <c r="B64" s="11" t="str">
        <f aca="false">IF(Apontamentos!$C64="","",Apontamentos!D64&amp;"")</f>
        <v/>
      </c>
      <c r="C64" s="11" t="str">
        <f aca="false">IF(Apontamentos!$C64="","",Apontamentos!E64&amp;"")</f>
        <v/>
      </c>
      <c r="D64" s="10" t="str">
        <f aca="false">IF(Apontamentos!$C64="","",Apontamentos!F64&amp;"")</f>
        <v/>
      </c>
      <c r="E64" s="10" t="str">
        <f aca="false">IF(Apontamentos!$C64="","",Apontamentos!G64&amp;"")</f>
        <v/>
      </c>
      <c r="F64" s="14"/>
      <c r="G64" s="14"/>
      <c r="H64" s="14"/>
      <c r="I64" s="14"/>
      <c r="J64" s="13"/>
      <c r="K64" s="13"/>
    </row>
    <row r="65" customFormat="false" ht="15" hidden="false" customHeight="false" outlineLevel="0" collapsed="false">
      <c r="A65" s="11" t="str">
        <f aca="false">Apontamentos!C65</f>
        <v/>
      </c>
      <c r="B65" s="11" t="str">
        <f aca="false">IF(Apontamentos!$C65="","",Apontamentos!D65&amp;"")</f>
        <v/>
      </c>
      <c r="C65" s="11" t="str">
        <f aca="false">IF(Apontamentos!$C65="","",Apontamentos!E65&amp;"")</f>
        <v/>
      </c>
      <c r="D65" s="10" t="str">
        <f aca="false">IF(Apontamentos!$C65="","",Apontamentos!F65&amp;"")</f>
        <v/>
      </c>
      <c r="E65" s="10" t="str">
        <f aca="false">IF(Apontamentos!$C65="","",Apontamentos!G65&amp;"")</f>
        <v/>
      </c>
      <c r="F65" s="14"/>
      <c r="G65" s="14"/>
      <c r="H65" s="14"/>
      <c r="I65" s="14"/>
      <c r="J65" s="13"/>
      <c r="K65" s="13"/>
    </row>
    <row r="66" customFormat="false" ht="15" hidden="false" customHeight="false" outlineLevel="0" collapsed="false">
      <c r="A66" s="11" t="str">
        <f aca="false">Apontamentos!C66</f>
        <v/>
      </c>
      <c r="B66" s="11" t="str">
        <f aca="false">IF(Apontamentos!$C66="","",Apontamentos!D66&amp;"")</f>
        <v/>
      </c>
      <c r="C66" s="11" t="str">
        <f aca="false">IF(Apontamentos!$C66="","",Apontamentos!E66&amp;"")</f>
        <v/>
      </c>
      <c r="D66" s="10" t="str">
        <f aca="false">IF(Apontamentos!$C66="","",Apontamentos!F66&amp;"")</f>
        <v/>
      </c>
      <c r="E66" s="10" t="str">
        <f aca="false">IF(Apontamentos!$C66="","",Apontamentos!G66&amp;"")</f>
        <v/>
      </c>
      <c r="F66" s="14"/>
      <c r="G66" s="14"/>
      <c r="H66" s="14"/>
      <c r="I66" s="14"/>
      <c r="J66" s="13"/>
      <c r="K66" s="13"/>
    </row>
    <row r="67" customFormat="false" ht="15" hidden="false" customHeight="false" outlineLevel="0" collapsed="false">
      <c r="A67" s="11" t="str">
        <f aca="false">Apontamentos!C67</f>
        <v/>
      </c>
      <c r="B67" s="11" t="str">
        <f aca="false">IF(Apontamentos!$C67="","",Apontamentos!D67&amp;"")</f>
        <v/>
      </c>
      <c r="C67" s="11" t="str">
        <f aca="false">IF(Apontamentos!$C67="","",Apontamentos!E67&amp;"")</f>
        <v/>
      </c>
      <c r="D67" s="10" t="str">
        <f aca="false">IF(Apontamentos!$C67="","",Apontamentos!F67&amp;"")</f>
        <v/>
      </c>
      <c r="E67" s="10" t="str">
        <f aca="false">IF(Apontamentos!$C67="","",Apontamentos!G67&amp;"")</f>
        <v/>
      </c>
      <c r="F67" s="14"/>
      <c r="G67" s="14"/>
      <c r="H67" s="14"/>
      <c r="I67" s="14"/>
      <c r="J67" s="13"/>
      <c r="K67" s="13"/>
    </row>
    <row r="68" customFormat="false" ht="15" hidden="false" customHeight="false" outlineLevel="0" collapsed="false">
      <c r="A68" s="11" t="str">
        <f aca="false">Apontamentos!C68</f>
        <v/>
      </c>
      <c r="B68" s="11" t="str">
        <f aca="false">IF(Apontamentos!$C68="","",Apontamentos!D68&amp;"")</f>
        <v/>
      </c>
      <c r="C68" s="11" t="str">
        <f aca="false">IF(Apontamentos!$C68="","",Apontamentos!E68&amp;"")</f>
        <v/>
      </c>
      <c r="D68" s="10" t="str">
        <f aca="false">IF(Apontamentos!$C68="","",Apontamentos!F68&amp;"")</f>
        <v/>
      </c>
      <c r="E68" s="10" t="str">
        <f aca="false">IF(Apontamentos!$C68="","",Apontamentos!G68&amp;"")</f>
        <v/>
      </c>
      <c r="F68" s="14"/>
      <c r="G68" s="14"/>
      <c r="H68" s="14"/>
      <c r="I68" s="14"/>
      <c r="J68" s="13"/>
      <c r="K68" s="13"/>
    </row>
    <row r="69" customFormat="false" ht="15" hidden="false" customHeight="false" outlineLevel="0" collapsed="false">
      <c r="A69" s="11" t="str">
        <f aca="false">Apontamentos!C69</f>
        <v/>
      </c>
      <c r="B69" s="11" t="str">
        <f aca="false">IF(Apontamentos!$C69="","",Apontamentos!D69&amp;"")</f>
        <v/>
      </c>
      <c r="C69" s="11" t="str">
        <f aca="false">IF(Apontamentos!$C69="","",Apontamentos!E69&amp;"")</f>
        <v/>
      </c>
      <c r="D69" s="10" t="str">
        <f aca="false">IF(Apontamentos!$C69="","",Apontamentos!F69&amp;"")</f>
        <v/>
      </c>
      <c r="E69" s="10" t="str">
        <f aca="false">IF(Apontamentos!$C69="","",Apontamentos!G69&amp;"")</f>
        <v/>
      </c>
      <c r="F69" s="14"/>
      <c r="G69" s="14"/>
      <c r="H69" s="14"/>
      <c r="I69" s="14"/>
      <c r="J69" s="13"/>
      <c r="K69" s="13"/>
    </row>
    <row r="70" customFormat="false" ht="15" hidden="false" customHeight="false" outlineLevel="0" collapsed="false">
      <c r="A70" s="11" t="str">
        <f aca="false">Apontamentos!C70</f>
        <v/>
      </c>
      <c r="B70" s="11" t="str">
        <f aca="false">IF(Apontamentos!$C70="","",Apontamentos!D70&amp;"")</f>
        <v/>
      </c>
      <c r="C70" s="11" t="str">
        <f aca="false">IF(Apontamentos!$C70="","",Apontamentos!E70&amp;"")</f>
        <v/>
      </c>
      <c r="D70" s="10" t="str">
        <f aca="false">IF(Apontamentos!$C70="","",Apontamentos!F70&amp;"")</f>
        <v/>
      </c>
      <c r="E70" s="10" t="str">
        <f aca="false">IF(Apontamentos!$C70="","",Apontamentos!G70&amp;"")</f>
        <v/>
      </c>
      <c r="F70" s="14"/>
      <c r="G70" s="14"/>
      <c r="H70" s="14"/>
      <c r="I70" s="14"/>
      <c r="J70" s="13"/>
      <c r="K70" s="13"/>
    </row>
    <row r="71" customFormat="false" ht="15" hidden="false" customHeight="false" outlineLevel="0" collapsed="false">
      <c r="A71" s="11" t="str">
        <f aca="false">Apontamentos!C71</f>
        <v/>
      </c>
      <c r="B71" s="11" t="str">
        <f aca="false">IF(Apontamentos!$C71="","",Apontamentos!D71&amp;"")</f>
        <v/>
      </c>
      <c r="C71" s="11" t="str">
        <f aca="false">IF(Apontamentos!$C71="","",Apontamentos!E71&amp;"")</f>
        <v/>
      </c>
      <c r="D71" s="10" t="str">
        <f aca="false">IF(Apontamentos!$C71="","",Apontamentos!F71&amp;"")</f>
        <v/>
      </c>
      <c r="E71" s="10" t="str">
        <f aca="false">IF(Apontamentos!$C71="","",Apontamentos!G71&amp;"")</f>
        <v/>
      </c>
      <c r="F71" s="14"/>
      <c r="G71" s="14"/>
      <c r="H71" s="14"/>
      <c r="I71" s="14"/>
      <c r="J71" s="13"/>
      <c r="K71" s="13"/>
    </row>
    <row r="72" customFormat="false" ht="15" hidden="false" customHeight="false" outlineLevel="0" collapsed="false">
      <c r="A72" s="11" t="str">
        <f aca="false">Apontamentos!C72</f>
        <v/>
      </c>
      <c r="B72" s="11" t="str">
        <f aca="false">IF(Apontamentos!$C72="","",Apontamentos!D72&amp;"")</f>
        <v/>
      </c>
      <c r="C72" s="11" t="str">
        <f aca="false">IF(Apontamentos!$C72="","",Apontamentos!E72&amp;"")</f>
        <v/>
      </c>
      <c r="D72" s="10" t="str">
        <f aca="false">IF(Apontamentos!$C72="","",Apontamentos!F72&amp;"")</f>
        <v/>
      </c>
      <c r="E72" s="10" t="str">
        <f aca="false">IF(Apontamentos!$C72="","",Apontamentos!G72&amp;"")</f>
        <v/>
      </c>
      <c r="F72" s="14"/>
      <c r="G72" s="14"/>
      <c r="H72" s="14"/>
      <c r="I72" s="14"/>
      <c r="J72" s="13"/>
      <c r="K72" s="13"/>
    </row>
    <row r="73" customFormat="false" ht="15" hidden="false" customHeight="false" outlineLevel="0" collapsed="false">
      <c r="A73" s="11" t="str">
        <f aca="false">Apontamentos!C73</f>
        <v/>
      </c>
      <c r="B73" s="11" t="str">
        <f aca="false">IF(Apontamentos!$C73="","",Apontamentos!D73&amp;"")</f>
        <v/>
      </c>
      <c r="C73" s="11" t="str">
        <f aca="false">IF(Apontamentos!$C73="","",Apontamentos!E73&amp;"")</f>
        <v/>
      </c>
      <c r="D73" s="10" t="str">
        <f aca="false">IF(Apontamentos!$C73="","",Apontamentos!F73&amp;"")</f>
        <v/>
      </c>
      <c r="E73" s="10" t="str">
        <f aca="false">IF(Apontamentos!$C73="","",Apontamentos!G73&amp;"")</f>
        <v/>
      </c>
      <c r="F73" s="14"/>
      <c r="G73" s="14"/>
      <c r="H73" s="14"/>
      <c r="I73" s="14"/>
      <c r="J73" s="13"/>
      <c r="K73" s="13"/>
    </row>
    <row r="74" customFormat="false" ht="15" hidden="false" customHeight="false" outlineLevel="0" collapsed="false">
      <c r="A74" s="11" t="str">
        <f aca="false">Apontamentos!C74</f>
        <v/>
      </c>
      <c r="B74" s="11" t="str">
        <f aca="false">IF(Apontamentos!$C74="","",Apontamentos!D74&amp;"")</f>
        <v/>
      </c>
      <c r="C74" s="11" t="str">
        <f aca="false">IF(Apontamentos!$C74="","",Apontamentos!E74&amp;"")</f>
        <v/>
      </c>
      <c r="D74" s="10" t="str">
        <f aca="false">IF(Apontamentos!$C74="","",Apontamentos!F74&amp;"")</f>
        <v/>
      </c>
      <c r="E74" s="10" t="str">
        <f aca="false">IF(Apontamentos!$C74="","",Apontamentos!G74&amp;"")</f>
        <v/>
      </c>
      <c r="F74" s="14"/>
      <c r="G74" s="14"/>
      <c r="H74" s="14"/>
      <c r="I74" s="14"/>
      <c r="J74" s="13"/>
      <c r="K74" s="13"/>
    </row>
    <row r="75" customFormat="false" ht="15" hidden="false" customHeight="false" outlineLevel="0" collapsed="false">
      <c r="A75" s="11" t="str">
        <f aca="false">Apontamentos!C75</f>
        <v/>
      </c>
      <c r="B75" s="11" t="str">
        <f aca="false">IF(Apontamentos!$C75="","",Apontamentos!D75&amp;"")</f>
        <v/>
      </c>
      <c r="C75" s="11" t="str">
        <f aca="false">IF(Apontamentos!$C75="","",Apontamentos!E75&amp;"")</f>
        <v/>
      </c>
      <c r="D75" s="10" t="str">
        <f aca="false">IF(Apontamentos!$C75="","",Apontamentos!F75&amp;"")</f>
        <v/>
      </c>
      <c r="E75" s="10" t="str">
        <f aca="false">IF(Apontamentos!$C75="","",Apontamentos!G75&amp;"")</f>
        <v/>
      </c>
      <c r="F75" s="14"/>
      <c r="G75" s="14"/>
      <c r="H75" s="14"/>
      <c r="I75" s="14"/>
      <c r="J75" s="13"/>
      <c r="K75" s="13"/>
    </row>
    <row r="76" customFormat="false" ht="15" hidden="false" customHeight="false" outlineLevel="0" collapsed="false">
      <c r="A76" s="11" t="str">
        <f aca="false">Apontamentos!C76</f>
        <v/>
      </c>
      <c r="B76" s="11" t="str">
        <f aca="false">IF(Apontamentos!$C76="","",Apontamentos!D76&amp;"")</f>
        <v/>
      </c>
      <c r="C76" s="11" t="str">
        <f aca="false">IF(Apontamentos!$C76="","",Apontamentos!E76&amp;"")</f>
        <v/>
      </c>
      <c r="D76" s="10" t="str">
        <f aca="false">IF(Apontamentos!$C76="","",Apontamentos!F76&amp;"")</f>
        <v/>
      </c>
      <c r="E76" s="10" t="str">
        <f aca="false">IF(Apontamentos!$C76="","",Apontamentos!G76&amp;"")</f>
        <v/>
      </c>
      <c r="F76" s="14"/>
      <c r="G76" s="14"/>
      <c r="H76" s="14"/>
      <c r="I76" s="14"/>
      <c r="J76" s="13"/>
      <c r="K76" s="13"/>
    </row>
    <row r="77" customFormat="false" ht="15" hidden="false" customHeight="false" outlineLevel="0" collapsed="false">
      <c r="A77" s="11" t="str">
        <f aca="false">Apontamentos!C77</f>
        <v/>
      </c>
      <c r="B77" s="11" t="str">
        <f aca="false">IF(Apontamentos!$C77="","",Apontamentos!D77&amp;"")</f>
        <v/>
      </c>
      <c r="C77" s="11" t="str">
        <f aca="false">IF(Apontamentos!$C77="","",Apontamentos!E77&amp;"")</f>
        <v/>
      </c>
      <c r="D77" s="10" t="str">
        <f aca="false">IF(Apontamentos!$C77="","",Apontamentos!F77&amp;"")</f>
        <v/>
      </c>
      <c r="E77" s="10" t="str">
        <f aca="false">IF(Apontamentos!$C77="","",Apontamentos!G77&amp;"")</f>
        <v/>
      </c>
      <c r="F77" s="14"/>
      <c r="G77" s="14"/>
      <c r="H77" s="14"/>
      <c r="I77" s="14"/>
      <c r="J77" s="13"/>
      <c r="K77" s="13"/>
    </row>
    <row r="78" customFormat="false" ht="15" hidden="false" customHeight="false" outlineLevel="0" collapsed="false">
      <c r="A78" s="11" t="str">
        <f aca="false">Apontamentos!C78</f>
        <v/>
      </c>
      <c r="B78" s="11" t="str">
        <f aca="false">IF(Apontamentos!$C78="","",Apontamentos!D78&amp;"")</f>
        <v/>
      </c>
      <c r="C78" s="11" t="str">
        <f aca="false">IF(Apontamentos!$C78="","",Apontamentos!E78&amp;"")</f>
        <v/>
      </c>
      <c r="D78" s="10" t="str">
        <f aca="false">IF(Apontamentos!$C78="","",Apontamentos!F78&amp;"")</f>
        <v/>
      </c>
      <c r="E78" s="10" t="str">
        <f aca="false">IF(Apontamentos!$C78="","",Apontamentos!G78&amp;"")</f>
        <v/>
      </c>
      <c r="F78" s="14"/>
      <c r="G78" s="14"/>
      <c r="H78" s="14"/>
      <c r="I78" s="14"/>
      <c r="J78" s="13"/>
      <c r="K78" s="13"/>
    </row>
    <row r="79" customFormat="false" ht="15" hidden="false" customHeight="false" outlineLevel="0" collapsed="false">
      <c r="A79" s="11" t="str">
        <f aca="false">Apontamentos!C79</f>
        <v/>
      </c>
      <c r="B79" s="11" t="str">
        <f aca="false">IF(Apontamentos!$C79="","",Apontamentos!D79&amp;"")</f>
        <v/>
      </c>
      <c r="C79" s="11" t="str">
        <f aca="false">IF(Apontamentos!$C79="","",Apontamentos!E79&amp;"")</f>
        <v/>
      </c>
      <c r="D79" s="10" t="str">
        <f aca="false">IF(Apontamentos!$C79="","",Apontamentos!F79&amp;"")</f>
        <v/>
      </c>
      <c r="E79" s="10" t="str">
        <f aca="false">IF(Apontamentos!$C79="","",Apontamentos!G79&amp;"")</f>
        <v/>
      </c>
      <c r="F79" s="14"/>
      <c r="G79" s="14"/>
      <c r="H79" s="14"/>
      <c r="I79" s="14"/>
      <c r="J79" s="13"/>
      <c r="K79" s="13"/>
    </row>
    <row r="80" customFormat="false" ht="15" hidden="false" customHeight="false" outlineLevel="0" collapsed="false">
      <c r="A80" s="11" t="str">
        <f aca="false">Apontamentos!C80</f>
        <v/>
      </c>
      <c r="B80" s="11" t="str">
        <f aca="false">IF(Apontamentos!$C80="","",Apontamentos!D80&amp;"")</f>
        <v/>
      </c>
      <c r="C80" s="11" t="str">
        <f aca="false">IF(Apontamentos!$C80="","",Apontamentos!E80&amp;"")</f>
        <v/>
      </c>
      <c r="D80" s="10" t="str">
        <f aca="false">IF(Apontamentos!$C80="","",Apontamentos!F80&amp;"")</f>
        <v/>
      </c>
      <c r="E80" s="10" t="str">
        <f aca="false">IF(Apontamentos!$C80="","",Apontamentos!G80&amp;"")</f>
        <v/>
      </c>
      <c r="F80" s="14"/>
      <c r="G80" s="14"/>
      <c r="H80" s="14"/>
      <c r="I80" s="14"/>
      <c r="J80" s="13"/>
      <c r="K80" s="13"/>
    </row>
    <row r="81" customFormat="false" ht="15" hidden="false" customHeight="false" outlineLevel="0" collapsed="false">
      <c r="A81" s="11" t="str">
        <f aca="false">Apontamentos!C81</f>
        <v/>
      </c>
      <c r="B81" s="11" t="str">
        <f aca="false">IF(Apontamentos!$C81="","",Apontamentos!D81&amp;"")</f>
        <v/>
      </c>
      <c r="C81" s="11" t="str">
        <f aca="false">IF(Apontamentos!$C81="","",Apontamentos!E81&amp;"")</f>
        <v/>
      </c>
      <c r="D81" s="10" t="str">
        <f aca="false">IF(Apontamentos!$C81="","",Apontamentos!F81&amp;"")</f>
        <v/>
      </c>
      <c r="E81" s="10" t="str">
        <f aca="false">IF(Apontamentos!$C81="","",Apontamentos!G81&amp;"")</f>
        <v/>
      </c>
      <c r="F81" s="14"/>
      <c r="G81" s="14"/>
      <c r="H81" s="14"/>
      <c r="I81" s="14"/>
      <c r="J81" s="13"/>
      <c r="K81" s="13"/>
    </row>
    <row r="82" customFormat="false" ht="15" hidden="false" customHeight="false" outlineLevel="0" collapsed="false">
      <c r="A82" s="11" t="str">
        <f aca="false">Apontamentos!C82</f>
        <v/>
      </c>
      <c r="B82" s="11" t="str">
        <f aca="false">IF(Apontamentos!$C82="","",Apontamentos!D82&amp;"")</f>
        <v/>
      </c>
      <c r="C82" s="11" t="str">
        <f aca="false">IF(Apontamentos!$C82="","",Apontamentos!E82&amp;"")</f>
        <v/>
      </c>
      <c r="D82" s="10" t="str">
        <f aca="false">IF(Apontamentos!$C82="","",Apontamentos!F82&amp;"")</f>
        <v/>
      </c>
      <c r="E82" s="10" t="str">
        <f aca="false">IF(Apontamentos!$C82="","",Apontamentos!G82&amp;"")</f>
        <v/>
      </c>
      <c r="F82" s="14"/>
      <c r="G82" s="14"/>
      <c r="H82" s="14"/>
      <c r="I82" s="14"/>
      <c r="J82" s="13"/>
      <c r="K82" s="13"/>
    </row>
    <row r="83" customFormat="false" ht="15" hidden="false" customHeight="false" outlineLevel="0" collapsed="false">
      <c r="A83" s="11" t="str">
        <f aca="false">Apontamentos!C83</f>
        <v/>
      </c>
      <c r="B83" s="11" t="str">
        <f aca="false">IF(Apontamentos!$C83="","",Apontamentos!D83&amp;"")</f>
        <v/>
      </c>
      <c r="C83" s="11" t="str">
        <f aca="false">IF(Apontamentos!$C83="","",Apontamentos!E83&amp;"")</f>
        <v/>
      </c>
      <c r="D83" s="10" t="str">
        <f aca="false">IF(Apontamentos!$C83="","",Apontamentos!F83&amp;"")</f>
        <v/>
      </c>
      <c r="E83" s="10" t="str">
        <f aca="false">IF(Apontamentos!$C83="","",Apontamentos!G83&amp;"")</f>
        <v/>
      </c>
      <c r="F83" s="14"/>
      <c r="G83" s="14"/>
      <c r="H83" s="14"/>
      <c r="I83" s="14"/>
      <c r="J83" s="13"/>
      <c r="K83" s="13"/>
    </row>
    <row r="84" customFormat="false" ht="15" hidden="false" customHeight="false" outlineLevel="0" collapsed="false">
      <c r="A84" s="11" t="str">
        <f aca="false">Apontamentos!C84</f>
        <v/>
      </c>
      <c r="B84" s="11" t="str">
        <f aca="false">IF(Apontamentos!$C84="","",Apontamentos!D84&amp;"")</f>
        <v/>
      </c>
      <c r="C84" s="11" t="str">
        <f aca="false">IF(Apontamentos!$C84="","",Apontamentos!E84&amp;"")</f>
        <v/>
      </c>
      <c r="D84" s="10" t="str">
        <f aca="false">IF(Apontamentos!$C84="","",Apontamentos!F84&amp;"")</f>
        <v/>
      </c>
      <c r="E84" s="10" t="str">
        <f aca="false">IF(Apontamentos!$C84="","",Apontamentos!G84&amp;"")</f>
        <v/>
      </c>
      <c r="F84" s="14"/>
      <c r="G84" s="14"/>
      <c r="H84" s="14"/>
      <c r="I84" s="14"/>
      <c r="J84" s="13"/>
      <c r="K84" s="13"/>
    </row>
    <row r="85" customFormat="false" ht="15" hidden="false" customHeight="false" outlineLevel="0" collapsed="false">
      <c r="A85" s="11" t="str">
        <f aca="false">Apontamentos!C85</f>
        <v/>
      </c>
      <c r="B85" s="11" t="str">
        <f aca="false">IF(Apontamentos!$C85="","",Apontamentos!D85&amp;"")</f>
        <v/>
      </c>
      <c r="C85" s="11" t="str">
        <f aca="false">IF(Apontamentos!$C85="","",Apontamentos!E85&amp;"")</f>
        <v/>
      </c>
      <c r="D85" s="10" t="str">
        <f aca="false">IF(Apontamentos!$C85="","",Apontamentos!F85&amp;"")</f>
        <v/>
      </c>
      <c r="E85" s="10" t="str">
        <f aca="false">IF(Apontamentos!$C85="","",Apontamentos!G85&amp;"")</f>
        <v/>
      </c>
      <c r="F85" s="14"/>
      <c r="G85" s="14"/>
      <c r="H85" s="14"/>
      <c r="I85" s="14"/>
      <c r="J85" s="13"/>
      <c r="K85" s="13"/>
    </row>
    <row r="86" customFormat="false" ht="15" hidden="false" customHeight="false" outlineLevel="0" collapsed="false">
      <c r="A86" s="11" t="str">
        <f aca="false">Apontamentos!C86</f>
        <v/>
      </c>
      <c r="B86" s="11" t="str">
        <f aca="false">IF(Apontamentos!$C86="","",Apontamentos!D86&amp;"")</f>
        <v/>
      </c>
      <c r="C86" s="11" t="str">
        <f aca="false">IF(Apontamentos!$C86="","",Apontamentos!E86&amp;"")</f>
        <v/>
      </c>
      <c r="D86" s="10" t="str">
        <f aca="false">IF(Apontamentos!$C86="","",Apontamentos!F86&amp;"")</f>
        <v/>
      </c>
      <c r="E86" s="10" t="str">
        <f aca="false">IF(Apontamentos!$C86="","",Apontamentos!G86&amp;"")</f>
        <v/>
      </c>
      <c r="F86" s="14"/>
      <c r="G86" s="14"/>
      <c r="H86" s="14"/>
      <c r="I86" s="14"/>
      <c r="J86" s="13"/>
      <c r="K86" s="13"/>
    </row>
    <row r="87" customFormat="false" ht="15" hidden="false" customHeight="false" outlineLevel="0" collapsed="false">
      <c r="A87" s="11" t="str">
        <f aca="false">Apontamentos!C87</f>
        <v/>
      </c>
      <c r="B87" s="11" t="str">
        <f aca="false">IF(Apontamentos!$C87="","",Apontamentos!D87&amp;"")</f>
        <v/>
      </c>
      <c r="C87" s="11" t="str">
        <f aca="false">IF(Apontamentos!$C87="","",Apontamentos!E87&amp;"")</f>
        <v/>
      </c>
      <c r="D87" s="10" t="str">
        <f aca="false">IF(Apontamentos!$C87="","",Apontamentos!F87&amp;"")</f>
        <v/>
      </c>
      <c r="E87" s="10" t="str">
        <f aca="false">IF(Apontamentos!$C87="","",Apontamentos!G87&amp;"")</f>
        <v/>
      </c>
      <c r="F87" s="14"/>
      <c r="G87" s="14"/>
      <c r="H87" s="14"/>
      <c r="I87" s="14"/>
      <c r="J87" s="13"/>
      <c r="K87" s="13"/>
    </row>
    <row r="88" customFormat="false" ht="15" hidden="false" customHeight="false" outlineLevel="0" collapsed="false">
      <c r="A88" s="11" t="str">
        <f aca="false">Apontamentos!C88</f>
        <v/>
      </c>
      <c r="B88" s="11" t="str">
        <f aca="false">IF(Apontamentos!$C88="","",Apontamentos!D88&amp;"")</f>
        <v/>
      </c>
      <c r="C88" s="11" t="str">
        <f aca="false">IF(Apontamentos!$C88="","",Apontamentos!E88&amp;"")</f>
        <v/>
      </c>
      <c r="D88" s="10" t="str">
        <f aca="false">IF(Apontamentos!$C88="","",Apontamentos!F88&amp;"")</f>
        <v/>
      </c>
      <c r="E88" s="10" t="str">
        <f aca="false">IF(Apontamentos!$C88="","",Apontamentos!G88&amp;"")</f>
        <v/>
      </c>
      <c r="F88" s="14"/>
      <c r="G88" s="14"/>
      <c r="H88" s="14"/>
      <c r="I88" s="14"/>
      <c r="J88" s="13"/>
      <c r="K88" s="13"/>
    </row>
    <row r="89" customFormat="false" ht="15" hidden="false" customHeight="false" outlineLevel="0" collapsed="false">
      <c r="A89" s="11" t="str">
        <f aca="false">Apontamentos!C89</f>
        <v/>
      </c>
      <c r="B89" s="11" t="str">
        <f aca="false">IF(Apontamentos!$C89="","",Apontamentos!D89&amp;"")</f>
        <v/>
      </c>
      <c r="C89" s="11" t="str">
        <f aca="false">IF(Apontamentos!$C89="","",Apontamentos!E89&amp;"")</f>
        <v/>
      </c>
      <c r="D89" s="10" t="str">
        <f aca="false">IF(Apontamentos!$C89="","",Apontamentos!F89&amp;"")</f>
        <v/>
      </c>
      <c r="E89" s="10" t="str">
        <f aca="false">IF(Apontamentos!$C89="","",Apontamentos!G89&amp;"")</f>
        <v/>
      </c>
      <c r="F89" s="14"/>
      <c r="G89" s="14"/>
      <c r="H89" s="14"/>
      <c r="I89" s="14"/>
      <c r="J89" s="13"/>
      <c r="K89" s="13"/>
    </row>
    <row r="90" customFormat="false" ht="15" hidden="false" customHeight="false" outlineLevel="0" collapsed="false">
      <c r="A90" s="11" t="str">
        <f aca="false">Apontamentos!C90</f>
        <v/>
      </c>
      <c r="B90" s="11" t="str">
        <f aca="false">IF(Apontamentos!$C90="","",Apontamentos!D90&amp;"")</f>
        <v/>
      </c>
      <c r="C90" s="11" t="str">
        <f aca="false">IF(Apontamentos!$C90="","",Apontamentos!E90&amp;"")</f>
        <v/>
      </c>
      <c r="D90" s="10" t="str">
        <f aca="false">IF(Apontamentos!$C90="","",Apontamentos!F90&amp;"")</f>
        <v/>
      </c>
      <c r="E90" s="10" t="str">
        <f aca="false">IF(Apontamentos!$C90="","",Apontamentos!G90&amp;"")</f>
        <v/>
      </c>
      <c r="F90" s="14"/>
      <c r="G90" s="14"/>
      <c r="H90" s="14"/>
      <c r="I90" s="14"/>
      <c r="J90" s="13"/>
      <c r="K90" s="13"/>
    </row>
    <row r="91" customFormat="false" ht="15" hidden="false" customHeight="false" outlineLevel="0" collapsed="false">
      <c r="A91" s="11" t="str">
        <f aca="false">Apontamentos!C91</f>
        <v/>
      </c>
      <c r="B91" s="11" t="str">
        <f aca="false">IF(Apontamentos!$C91="","",Apontamentos!D91&amp;"")</f>
        <v/>
      </c>
      <c r="C91" s="11" t="str">
        <f aca="false">IF(Apontamentos!$C91="","",Apontamentos!E91&amp;"")</f>
        <v/>
      </c>
      <c r="D91" s="10" t="str">
        <f aca="false">IF(Apontamentos!$C91="","",Apontamentos!F91&amp;"")</f>
        <v/>
      </c>
      <c r="E91" s="10" t="str">
        <f aca="false">IF(Apontamentos!$C91="","",Apontamentos!G91&amp;"")</f>
        <v/>
      </c>
      <c r="F91" s="14"/>
      <c r="G91" s="14"/>
      <c r="H91" s="14"/>
      <c r="I91" s="14"/>
      <c r="J91" s="13"/>
      <c r="K91" s="13"/>
    </row>
    <row r="92" customFormat="false" ht="15" hidden="false" customHeight="false" outlineLevel="0" collapsed="false">
      <c r="A92" s="11" t="str">
        <f aca="false">Apontamentos!C92</f>
        <v/>
      </c>
      <c r="B92" s="11" t="str">
        <f aca="false">IF(Apontamentos!$C92="","",Apontamentos!D92&amp;"")</f>
        <v/>
      </c>
      <c r="C92" s="11" t="str">
        <f aca="false">IF(Apontamentos!$C92="","",Apontamentos!E92&amp;"")</f>
        <v/>
      </c>
      <c r="D92" s="10" t="str">
        <f aca="false">IF(Apontamentos!$C92="","",Apontamentos!F92&amp;"")</f>
        <v/>
      </c>
      <c r="E92" s="10" t="str">
        <f aca="false">IF(Apontamentos!$C92="","",Apontamentos!G92&amp;"")</f>
        <v/>
      </c>
      <c r="F92" s="14"/>
      <c r="G92" s="14"/>
      <c r="H92" s="14"/>
      <c r="I92" s="14"/>
      <c r="J92" s="13"/>
      <c r="K92" s="13"/>
    </row>
    <row r="93" customFormat="false" ht="15" hidden="false" customHeight="false" outlineLevel="0" collapsed="false">
      <c r="A93" s="11" t="str">
        <f aca="false">Apontamentos!C93</f>
        <v/>
      </c>
      <c r="B93" s="11" t="str">
        <f aca="false">IF(Apontamentos!$C93="","",Apontamentos!D93&amp;"")</f>
        <v/>
      </c>
      <c r="C93" s="11" t="str">
        <f aca="false">IF(Apontamentos!$C93="","",Apontamentos!E93&amp;"")</f>
        <v/>
      </c>
      <c r="D93" s="10" t="str">
        <f aca="false">IF(Apontamentos!$C93="","",Apontamentos!F93&amp;"")</f>
        <v/>
      </c>
      <c r="E93" s="10" t="str">
        <f aca="false">IF(Apontamentos!$C93="","",Apontamentos!G93&amp;"")</f>
        <v/>
      </c>
      <c r="F93" s="14"/>
      <c r="G93" s="14"/>
      <c r="H93" s="14"/>
      <c r="I93" s="14"/>
      <c r="J93" s="13"/>
      <c r="K93" s="13"/>
    </row>
    <row r="94" customFormat="false" ht="15" hidden="false" customHeight="false" outlineLevel="0" collapsed="false">
      <c r="A94" s="11" t="str">
        <f aca="false">Apontamentos!C94</f>
        <v/>
      </c>
      <c r="B94" s="11" t="str">
        <f aca="false">IF(Apontamentos!$C94="","",Apontamentos!D94&amp;"")</f>
        <v/>
      </c>
      <c r="C94" s="11" t="str">
        <f aca="false">IF(Apontamentos!$C94="","",Apontamentos!E94&amp;"")</f>
        <v/>
      </c>
      <c r="D94" s="10" t="str">
        <f aca="false">IF(Apontamentos!$C94="","",Apontamentos!F94&amp;"")</f>
        <v/>
      </c>
      <c r="E94" s="10" t="str">
        <f aca="false">IF(Apontamentos!$C94="","",Apontamentos!G94&amp;"")</f>
        <v/>
      </c>
      <c r="F94" s="14"/>
      <c r="G94" s="14"/>
      <c r="H94" s="14"/>
      <c r="I94" s="14"/>
      <c r="J94" s="13"/>
      <c r="K94" s="13"/>
    </row>
    <row r="95" customFormat="false" ht="15" hidden="false" customHeight="false" outlineLevel="0" collapsed="false">
      <c r="A95" s="11" t="str">
        <f aca="false">Apontamentos!C95</f>
        <v/>
      </c>
      <c r="B95" s="11" t="str">
        <f aca="false">IF(Apontamentos!$C95="","",Apontamentos!D95&amp;"")</f>
        <v/>
      </c>
      <c r="C95" s="11" t="str">
        <f aca="false">IF(Apontamentos!$C95="","",Apontamentos!E95&amp;"")</f>
        <v/>
      </c>
      <c r="D95" s="10" t="str">
        <f aca="false">IF(Apontamentos!$C95="","",Apontamentos!F95&amp;"")</f>
        <v/>
      </c>
      <c r="E95" s="10" t="str">
        <f aca="false">IF(Apontamentos!$C95="","",Apontamentos!G95&amp;"")</f>
        <v/>
      </c>
      <c r="F95" s="14"/>
      <c r="G95" s="14"/>
      <c r="H95" s="14"/>
      <c r="I95" s="14"/>
      <c r="J95" s="13"/>
      <c r="K95" s="13"/>
    </row>
    <row r="96" customFormat="false" ht="15" hidden="false" customHeight="false" outlineLevel="0" collapsed="false">
      <c r="A96" s="11" t="str">
        <f aca="false">Apontamentos!C96</f>
        <v/>
      </c>
      <c r="B96" s="11" t="str">
        <f aca="false">IF(Apontamentos!$C96="","",Apontamentos!D96&amp;"")</f>
        <v/>
      </c>
      <c r="C96" s="11" t="str">
        <f aca="false">IF(Apontamentos!$C96="","",Apontamentos!E96&amp;"")</f>
        <v/>
      </c>
      <c r="D96" s="10" t="str">
        <f aca="false">IF(Apontamentos!$C96="","",Apontamentos!F96&amp;"")</f>
        <v/>
      </c>
      <c r="E96" s="10" t="str">
        <f aca="false">IF(Apontamentos!$C96="","",Apontamentos!G96&amp;"")</f>
        <v/>
      </c>
      <c r="F96" s="14"/>
      <c r="G96" s="14"/>
      <c r="H96" s="14"/>
      <c r="I96" s="14"/>
      <c r="J96" s="13"/>
      <c r="K96" s="13"/>
    </row>
    <row r="97" customFormat="false" ht="15" hidden="false" customHeight="false" outlineLevel="0" collapsed="false">
      <c r="A97" s="11" t="str">
        <f aca="false">Apontamentos!C97</f>
        <v/>
      </c>
      <c r="B97" s="11" t="str">
        <f aca="false">IF(Apontamentos!$C97="","",Apontamentos!D97&amp;"")</f>
        <v/>
      </c>
      <c r="C97" s="11" t="str">
        <f aca="false">IF(Apontamentos!$C97="","",Apontamentos!E97&amp;"")</f>
        <v/>
      </c>
      <c r="D97" s="10" t="str">
        <f aca="false">IF(Apontamentos!$C97="","",Apontamentos!F97&amp;"")</f>
        <v/>
      </c>
      <c r="E97" s="10" t="str">
        <f aca="false">IF(Apontamentos!$C97="","",Apontamentos!G97&amp;"")</f>
        <v/>
      </c>
      <c r="F97" s="14"/>
      <c r="G97" s="14"/>
      <c r="H97" s="14"/>
      <c r="I97" s="14"/>
      <c r="J97" s="13"/>
      <c r="K97" s="13"/>
    </row>
    <row r="98" customFormat="false" ht="15" hidden="false" customHeight="false" outlineLevel="0" collapsed="false">
      <c r="A98" s="11" t="str">
        <f aca="false">Apontamentos!C98</f>
        <v/>
      </c>
      <c r="B98" s="11" t="str">
        <f aca="false">IF(Apontamentos!$C98="","",Apontamentos!D98&amp;"")</f>
        <v/>
      </c>
      <c r="C98" s="11" t="str">
        <f aca="false">IF(Apontamentos!$C98="","",Apontamentos!E98&amp;"")</f>
        <v/>
      </c>
      <c r="D98" s="10" t="str">
        <f aca="false">IF(Apontamentos!$C98="","",Apontamentos!F98&amp;"")</f>
        <v/>
      </c>
      <c r="E98" s="10" t="str">
        <f aca="false">IF(Apontamentos!$C98="","",Apontamentos!G98&amp;"")</f>
        <v/>
      </c>
      <c r="F98" s="14"/>
      <c r="G98" s="14"/>
      <c r="H98" s="14"/>
      <c r="I98" s="14"/>
      <c r="J98" s="13"/>
      <c r="K98" s="13"/>
    </row>
    <row r="99" customFormat="false" ht="15" hidden="false" customHeight="false" outlineLevel="0" collapsed="false">
      <c r="A99" s="11" t="str">
        <f aca="false">Apontamentos!C99</f>
        <v/>
      </c>
      <c r="B99" s="11" t="str">
        <f aca="false">IF(Apontamentos!$C99="","",Apontamentos!D99&amp;"")</f>
        <v/>
      </c>
      <c r="C99" s="11" t="str">
        <f aca="false">IF(Apontamentos!$C99="","",Apontamentos!E99&amp;"")</f>
        <v/>
      </c>
      <c r="D99" s="10" t="str">
        <f aca="false">IF(Apontamentos!$C99="","",Apontamentos!F99&amp;"")</f>
        <v/>
      </c>
      <c r="E99" s="10" t="str">
        <f aca="false">IF(Apontamentos!$C99="","",Apontamentos!G99&amp;"")</f>
        <v/>
      </c>
      <c r="F99" s="14"/>
      <c r="G99" s="14"/>
      <c r="H99" s="14"/>
      <c r="I99" s="14"/>
      <c r="J99" s="13"/>
      <c r="K99" s="13"/>
    </row>
    <row r="100" customFormat="false" ht="15" hidden="false" customHeight="false" outlineLevel="0" collapsed="false">
      <c r="A100" s="11" t="str">
        <f aca="false">Apontamentos!C100</f>
        <v/>
      </c>
      <c r="B100" s="11" t="str">
        <f aca="false">IF(Apontamentos!$C100="","",Apontamentos!D100&amp;"")</f>
        <v/>
      </c>
      <c r="C100" s="11" t="str">
        <f aca="false">IF(Apontamentos!$C100="","",Apontamentos!E100&amp;"")</f>
        <v/>
      </c>
      <c r="D100" s="10" t="str">
        <f aca="false">IF(Apontamentos!$C100="","",Apontamentos!F100&amp;"")</f>
        <v/>
      </c>
      <c r="E100" s="10" t="str">
        <f aca="false">IF(Apontamentos!$C100="","",Apontamentos!G100&amp;"")</f>
        <v/>
      </c>
      <c r="F100" s="14"/>
      <c r="G100" s="14"/>
      <c r="H100" s="14"/>
      <c r="I100" s="14"/>
      <c r="J100" s="13"/>
      <c r="K100" s="13"/>
    </row>
    <row r="101" customFormat="false" ht="15" hidden="false" customHeight="false" outlineLevel="0" collapsed="false">
      <c r="A101" s="11" t="str">
        <f aca="false">Apontamentos!C101</f>
        <v/>
      </c>
      <c r="B101" s="11" t="str">
        <f aca="false">IF(Apontamentos!$C101="","",Apontamentos!D101&amp;"")</f>
        <v/>
      </c>
      <c r="C101" s="11" t="str">
        <f aca="false">IF(Apontamentos!$C101="","",Apontamentos!E101&amp;"")</f>
        <v/>
      </c>
      <c r="D101" s="10" t="str">
        <f aca="false">IF(Apontamentos!$C101="","",Apontamentos!F101&amp;"")</f>
        <v/>
      </c>
      <c r="E101" s="10" t="str">
        <f aca="false">IF(Apontamentos!$C101="","",Apontamentos!G101&amp;"")</f>
        <v/>
      </c>
      <c r="F101" s="14"/>
      <c r="G101" s="14"/>
      <c r="H101" s="14"/>
      <c r="I101" s="14"/>
      <c r="J101" s="13"/>
      <c r="K101" s="13"/>
    </row>
    <row r="102" customFormat="false" ht="15" hidden="false" customHeight="false" outlineLevel="0" collapsed="false">
      <c r="A102" s="11" t="str">
        <f aca="false">Apontamentos!C102</f>
        <v/>
      </c>
      <c r="B102" s="11" t="str">
        <f aca="false">IF(Apontamentos!$C102="","",Apontamentos!D102&amp;"")</f>
        <v/>
      </c>
      <c r="C102" s="11" t="str">
        <f aca="false">IF(Apontamentos!$C102="","",Apontamentos!E102&amp;"")</f>
        <v/>
      </c>
      <c r="D102" s="10" t="str">
        <f aca="false">IF(Apontamentos!$C102="","",Apontamentos!F102&amp;"")</f>
        <v/>
      </c>
      <c r="E102" s="10" t="str">
        <f aca="false">IF(Apontamentos!$C102="","",Apontamentos!G102&amp;"")</f>
        <v/>
      </c>
      <c r="F102" s="14"/>
      <c r="G102" s="14"/>
      <c r="H102" s="14"/>
      <c r="I102" s="14"/>
      <c r="J102" s="13"/>
      <c r="K102" s="13"/>
    </row>
    <row r="103" customFormat="false" ht="15" hidden="false" customHeight="false" outlineLevel="0" collapsed="false">
      <c r="A103" s="11" t="str">
        <f aca="false">Apontamentos!C103</f>
        <v/>
      </c>
      <c r="B103" s="11" t="str">
        <f aca="false">IF(Apontamentos!$C103="","",Apontamentos!D103&amp;"")</f>
        <v/>
      </c>
      <c r="C103" s="11" t="str">
        <f aca="false">IF(Apontamentos!$C103="","",Apontamentos!E103&amp;"")</f>
        <v/>
      </c>
      <c r="D103" s="10" t="str">
        <f aca="false">IF(Apontamentos!$C103="","",Apontamentos!F103&amp;"")</f>
        <v/>
      </c>
      <c r="E103" s="10" t="str">
        <f aca="false">IF(Apontamentos!$C103="","",Apontamentos!G103&amp;"")</f>
        <v/>
      </c>
      <c r="F103" s="14"/>
      <c r="G103" s="14"/>
      <c r="H103" s="14"/>
      <c r="I103" s="14"/>
      <c r="J103" s="13"/>
      <c r="K103" s="13"/>
    </row>
    <row r="104" customFormat="false" ht="15" hidden="false" customHeight="false" outlineLevel="0" collapsed="false">
      <c r="A104" s="11" t="str">
        <f aca="false">Apontamentos!C104</f>
        <v/>
      </c>
      <c r="B104" s="11" t="str">
        <f aca="false">IF(Apontamentos!$C104="","",Apontamentos!D104&amp;"")</f>
        <v/>
      </c>
      <c r="C104" s="11" t="str">
        <f aca="false">IF(Apontamentos!$C104="","",Apontamentos!E104&amp;"")</f>
        <v/>
      </c>
      <c r="D104" s="10" t="str">
        <f aca="false">IF(Apontamentos!$C104="","",Apontamentos!F104&amp;"")</f>
        <v/>
      </c>
      <c r="E104" s="10" t="str">
        <f aca="false">IF(Apontamentos!$C104="","",Apontamentos!G104&amp;"")</f>
        <v/>
      </c>
      <c r="F104" s="14"/>
      <c r="G104" s="14"/>
      <c r="H104" s="14"/>
      <c r="I104" s="14"/>
      <c r="J104" s="13"/>
      <c r="K104" s="13"/>
    </row>
    <row r="105" customFormat="false" ht="15" hidden="false" customHeight="false" outlineLevel="0" collapsed="false">
      <c r="A105" s="11" t="str">
        <f aca="false">Apontamentos!C105</f>
        <v/>
      </c>
      <c r="B105" s="11" t="str">
        <f aca="false">IF(Apontamentos!$C105="","",Apontamentos!D105&amp;"")</f>
        <v/>
      </c>
      <c r="C105" s="11" t="str">
        <f aca="false">IF(Apontamentos!$C105="","",Apontamentos!E105&amp;"")</f>
        <v/>
      </c>
      <c r="D105" s="10" t="str">
        <f aca="false">IF(Apontamentos!$C105="","",Apontamentos!F105&amp;"")</f>
        <v/>
      </c>
      <c r="E105" s="10" t="str">
        <f aca="false">IF(Apontamentos!$C105="","",Apontamentos!G105&amp;"")</f>
        <v/>
      </c>
      <c r="F105" s="14"/>
      <c r="G105" s="14"/>
      <c r="H105" s="14"/>
      <c r="I105" s="14"/>
      <c r="J105" s="13"/>
      <c r="K105" s="13"/>
    </row>
    <row r="106" customFormat="false" ht="15" hidden="false" customHeight="false" outlineLevel="0" collapsed="false">
      <c r="A106" s="11" t="str">
        <f aca="false">Apontamentos!C106</f>
        <v/>
      </c>
      <c r="B106" s="11" t="str">
        <f aca="false">IF(Apontamentos!$C106="","",Apontamentos!D106&amp;"")</f>
        <v/>
      </c>
      <c r="C106" s="11" t="str">
        <f aca="false">IF(Apontamentos!$C106="","",Apontamentos!E106&amp;"")</f>
        <v/>
      </c>
      <c r="D106" s="10" t="str">
        <f aca="false">IF(Apontamentos!$C106="","",Apontamentos!F106&amp;"")</f>
        <v/>
      </c>
      <c r="E106" s="10" t="str">
        <f aca="false">IF(Apontamentos!$C106="","",Apontamentos!G106&amp;"")</f>
        <v/>
      </c>
      <c r="F106" s="14"/>
      <c r="G106" s="14"/>
      <c r="H106" s="14"/>
      <c r="I106" s="14"/>
      <c r="J106" s="13"/>
      <c r="K106" s="13"/>
    </row>
    <row r="107" customFormat="false" ht="15" hidden="false" customHeight="false" outlineLevel="0" collapsed="false">
      <c r="A107" s="11" t="str">
        <f aca="false">Apontamentos!C107</f>
        <v/>
      </c>
      <c r="B107" s="11" t="str">
        <f aca="false">IF(Apontamentos!$C107="","",Apontamentos!D107&amp;"")</f>
        <v/>
      </c>
      <c r="C107" s="11" t="str">
        <f aca="false">IF(Apontamentos!$C107="","",Apontamentos!E107&amp;"")</f>
        <v/>
      </c>
      <c r="D107" s="10" t="str">
        <f aca="false">IF(Apontamentos!$C107="","",Apontamentos!F107&amp;"")</f>
        <v/>
      </c>
      <c r="E107" s="10" t="str">
        <f aca="false">IF(Apontamentos!$C107="","",Apontamentos!G107&amp;"")</f>
        <v/>
      </c>
      <c r="F107" s="14"/>
      <c r="G107" s="14"/>
      <c r="H107" s="14"/>
      <c r="I107" s="14"/>
      <c r="J107" s="13"/>
      <c r="K107" s="13"/>
    </row>
    <row r="108" customFormat="false" ht="15" hidden="false" customHeight="false" outlineLevel="0" collapsed="false">
      <c r="A108" s="11" t="str">
        <f aca="false">Apontamentos!C108</f>
        <v/>
      </c>
      <c r="B108" s="11" t="str">
        <f aca="false">IF(Apontamentos!$C108="","",Apontamentos!D108&amp;"")</f>
        <v/>
      </c>
      <c r="C108" s="11" t="str">
        <f aca="false">IF(Apontamentos!$C108="","",Apontamentos!E108&amp;"")</f>
        <v/>
      </c>
      <c r="D108" s="10" t="str">
        <f aca="false">IF(Apontamentos!$C108="","",Apontamentos!F108&amp;"")</f>
        <v/>
      </c>
      <c r="E108" s="10" t="str">
        <f aca="false">IF(Apontamentos!$C108="","",Apontamentos!G108&amp;"")</f>
        <v/>
      </c>
      <c r="F108" s="14"/>
      <c r="G108" s="14"/>
      <c r="H108" s="14"/>
      <c r="I108" s="14"/>
      <c r="J108" s="13"/>
      <c r="K108" s="13"/>
    </row>
    <row r="109" customFormat="false" ht="15" hidden="false" customHeight="false" outlineLevel="0" collapsed="false">
      <c r="A109" s="11" t="str">
        <f aca="false">Apontamentos!C109</f>
        <v/>
      </c>
      <c r="B109" s="11" t="str">
        <f aca="false">IF(Apontamentos!$C109="","",Apontamentos!D109&amp;"")</f>
        <v/>
      </c>
      <c r="C109" s="11" t="str">
        <f aca="false">IF(Apontamentos!$C109="","",Apontamentos!E109&amp;"")</f>
        <v/>
      </c>
      <c r="D109" s="10" t="str">
        <f aca="false">IF(Apontamentos!$C109="","",Apontamentos!F109&amp;"")</f>
        <v/>
      </c>
      <c r="E109" s="10" t="str">
        <f aca="false">IF(Apontamentos!$C109="","",Apontamentos!G109&amp;"")</f>
        <v/>
      </c>
      <c r="F109" s="14"/>
      <c r="G109" s="14"/>
      <c r="H109" s="14"/>
      <c r="I109" s="14"/>
      <c r="J109" s="13"/>
      <c r="K109" s="13"/>
    </row>
    <row r="110" customFormat="false" ht="15" hidden="false" customHeight="false" outlineLevel="0" collapsed="false">
      <c r="A110" s="11" t="str">
        <f aca="false">Apontamentos!C110</f>
        <v/>
      </c>
      <c r="B110" s="11" t="str">
        <f aca="false">IF(Apontamentos!$C110="","",Apontamentos!D110&amp;"")</f>
        <v/>
      </c>
      <c r="C110" s="11" t="str">
        <f aca="false">IF(Apontamentos!$C110="","",Apontamentos!E110&amp;"")</f>
        <v/>
      </c>
      <c r="D110" s="10" t="str">
        <f aca="false">IF(Apontamentos!$C110="","",Apontamentos!F110&amp;"")</f>
        <v/>
      </c>
      <c r="E110" s="10" t="str">
        <f aca="false">IF(Apontamentos!$C110="","",Apontamentos!G110&amp;"")</f>
        <v/>
      </c>
      <c r="F110" s="14"/>
      <c r="G110" s="14"/>
      <c r="H110" s="14"/>
      <c r="I110" s="14"/>
      <c r="J110" s="13"/>
      <c r="K110" s="13"/>
    </row>
    <row r="111" customFormat="false" ht="15" hidden="false" customHeight="false" outlineLevel="0" collapsed="false">
      <c r="A111" s="11" t="str">
        <f aca="false">Apontamentos!C111</f>
        <v/>
      </c>
      <c r="B111" s="11" t="str">
        <f aca="false">IF(Apontamentos!$C111="","",Apontamentos!D111&amp;"")</f>
        <v/>
      </c>
      <c r="C111" s="11" t="str">
        <f aca="false">IF(Apontamentos!$C111="","",Apontamentos!E111&amp;"")</f>
        <v/>
      </c>
      <c r="D111" s="10" t="str">
        <f aca="false">IF(Apontamentos!$C111="","",Apontamentos!F111&amp;"")</f>
        <v/>
      </c>
      <c r="E111" s="10" t="str">
        <f aca="false">IF(Apontamentos!$C111="","",Apontamentos!G111&amp;"")</f>
        <v/>
      </c>
      <c r="F111" s="14"/>
      <c r="G111" s="14"/>
      <c r="H111" s="14"/>
      <c r="I111" s="14"/>
      <c r="J111" s="13"/>
      <c r="K111" s="13"/>
    </row>
    <row r="112" customFormat="false" ht="15" hidden="false" customHeight="false" outlineLevel="0" collapsed="false">
      <c r="A112" s="11" t="str">
        <f aca="false">Apontamentos!C112</f>
        <v/>
      </c>
      <c r="B112" s="11" t="str">
        <f aca="false">IF(Apontamentos!$C112="","",Apontamentos!D112&amp;"")</f>
        <v/>
      </c>
      <c r="C112" s="11" t="str">
        <f aca="false">IF(Apontamentos!$C112="","",Apontamentos!E112&amp;"")</f>
        <v/>
      </c>
      <c r="D112" s="10" t="str">
        <f aca="false">IF(Apontamentos!$C112="","",Apontamentos!F112&amp;"")</f>
        <v/>
      </c>
      <c r="E112" s="10" t="str">
        <f aca="false">IF(Apontamentos!$C112="","",Apontamentos!G112&amp;"")</f>
        <v/>
      </c>
      <c r="F112" s="14"/>
      <c r="G112" s="14"/>
      <c r="H112" s="14"/>
      <c r="I112" s="14"/>
      <c r="J112" s="13"/>
      <c r="K112" s="13"/>
    </row>
    <row r="113" customFormat="false" ht="15" hidden="false" customHeight="false" outlineLevel="0" collapsed="false">
      <c r="A113" s="11" t="str">
        <f aca="false">Apontamentos!C113</f>
        <v/>
      </c>
      <c r="B113" s="11" t="str">
        <f aca="false">IF(Apontamentos!$C113="","",Apontamentos!D113&amp;"")</f>
        <v/>
      </c>
      <c r="C113" s="11" t="str">
        <f aca="false">IF(Apontamentos!$C113="","",Apontamentos!E113&amp;"")</f>
        <v/>
      </c>
      <c r="D113" s="10" t="str">
        <f aca="false">IF(Apontamentos!$C113="","",Apontamentos!F113&amp;"")</f>
        <v/>
      </c>
      <c r="E113" s="10" t="str">
        <f aca="false">IF(Apontamentos!$C113="","",Apontamentos!G113&amp;"")</f>
        <v/>
      </c>
      <c r="F113" s="14"/>
      <c r="G113" s="14"/>
      <c r="H113" s="14"/>
      <c r="I113" s="14"/>
      <c r="J113" s="13"/>
      <c r="K113" s="13"/>
    </row>
    <row r="114" customFormat="false" ht="15" hidden="false" customHeight="false" outlineLevel="0" collapsed="false">
      <c r="A114" s="11" t="str">
        <f aca="false">Apontamentos!C114</f>
        <v/>
      </c>
      <c r="B114" s="11" t="str">
        <f aca="false">IF(Apontamentos!$C114="","",Apontamentos!D114&amp;"")</f>
        <v/>
      </c>
      <c r="C114" s="11" t="str">
        <f aca="false">IF(Apontamentos!$C114="","",Apontamentos!E114&amp;"")</f>
        <v/>
      </c>
      <c r="D114" s="10" t="str">
        <f aca="false">IF(Apontamentos!$C114="","",Apontamentos!F114&amp;"")</f>
        <v/>
      </c>
      <c r="E114" s="10" t="str">
        <f aca="false">IF(Apontamentos!$C114="","",Apontamentos!G114&amp;"")</f>
        <v/>
      </c>
      <c r="F114" s="14"/>
      <c r="G114" s="14"/>
      <c r="H114" s="14"/>
      <c r="I114" s="14"/>
      <c r="J114" s="13"/>
      <c r="K114" s="13"/>
    </row>
    <row r="115" customFormat="false" ht="15" hidden="false" customHeight="false" outlineLevel="0" collapsed="false">
      <c r="A115" s="11" t="str">
        <f aca="false">Apontamentos!C115</f>
        <v/>
      </c>
      <c r="B115" s="11" t="str">
        <f aca="false">IF(Apontamentos!$C115="","",Apontamentos!D115&amp;"")</f>
        <v/>
      </c>
      <c r="C115" s="11" t="str">
        <f aca="false">IF(Apontamentos!$C115="","",Apontamentos!E115&amp;"")</f>
        <v/>
      </c>
      <c r="D115" s="10" t="str">
        <f aca="false">IF(Apontamentos!$C115="","",Apontamentos!F115&amp;"")</f>
        <v/>
      </c>
      <c r="E115" s="10" t="str">
        <f aca="false">IF(Apontamentos!$C115="","",Apontamentos!G115&amp;"")</f>
        <v/>
      </c>
      <c r="F115" s="14"/>
      <c r="G115" s="14"/>
      <c r="H115" s="14"/>
      <c r="I115" s="14"/>
      <c r="J115" s="13"/>
      <c r="K115" s="13"/>
    </row>
    <row r="116" customFormat="false" ht="15" hidden="false" customHeight="false" outlineLevel="0" collapsed="false">
      <c r="A116" s="11" t="str">
        <f aca="false">Apontamentos!C116</f>
        <v/>
      </c>
      <c r="B116" s="11" t="str">
        <f aca="false">IF(Apontamentos!$C116="","",Apontamentos!D116&amp;"")</f>
        <v/>
      </c>
      <c r="C116" s="11" t="str">
        <f aca="false">IF(Apontamentos!$C116="","",Apontamentos!E116&amp;"")</f>
        <v/>
      </c>
      <c r="D116" s="10" t="str">
        <f aca="false">IF(Apontamentos!$C116="","",Apontamentos!F116&amp;"")</f>
        <v/>
      </c>
      <c r="E116" s="10" t="str">
        <f aca="false">IF(Apontamentos!$C116="","",Apontamentos!G116&amp;"")</f>
        <v/>
      </c>
      <c r="F116" s="14"/>
      <c r="G116" s="14"/>
      <c r="H116" s="14"/>
      <c r="I116" s="14"/>
      <c r="J116" s="13"/>
      <c r="K116" s="13"/>
    </row>
    <row r="117" customFormat="false" ht="15" hidden="false" customHeight="false" outlineLevel="0" collapsed="false">
      <c r="A117" s="11" t="str">
        <f aca="false">Apontamentos!C117</f>
        <v/>
      </c>
      <c r="B117" s="11" t="str">
        <f aca="false">IF(Apontamentos!$C117="","",Apontamentos!D117&amp;"")</f>
        <v/>
      </c>
      <c r="C117" s="11" t="str">
        <f aca="false">IF(Apontamentos!$C117="","",Apontamentos!E117&amp;"")</f>
        <v/>
      </c>
      <c r="D117" s="10" t="str">
        <f aca="false">IF(Apontamentos!$C117="","",Apontamentos!F117&amp;"")</f>
        <v/>
      </c>
      <c r="E117" s="10" t="str">
        <f aca="false">IF(Apontamentos!$C117="","",Apontamentos!G117&amp;"")</f>
        <v/>
      </c>
      <c r="F117" s="14"/>
      <c r="G117" s="14"/>
      <c r="H117" s="14"/>
      <c r="I117" s="14"/>
      <c r="J117" s="13"/>
      <c r="K117" s="13"/>
    </row>
    <row r="118" customFormat="false" ht="15" hidden="false" customHeight="false" outlineLevel="0" collapsed="false">
      <c r="A118" s="11" t="str">
        <f aca="false">Apontamentos!C118</f>
        <v/>
      </c>
      <c r="B118" s="11" t="str">
        <f aca="false">IF(Apontamentos!$C118="","",Apontamentos!D118&amp;"")</f>
        <v/>
      </c>
      <c r="C118" s="11" t="str">
        <f aca="false">IF(Apontamentos!$C118="","",Apontamentos!E118&amp;"")</f>
        <v/>
      </c>
      <c r="D118" s="10" t="str">
        <f aca="false">IF(Apontamentos!$C118="","",Apontamentos!F118&amp;"")</f>
        <v/>
      </c>
      <c r="E118" s="10" t="str">
        <f aca="false">IF(Apontamentos!$C118="","",Apontamentos!G118&amp;"")</f>
        <v/>
      </c>
      <c r="F118" s="14"/>
      <c r="G118" s="14"/>
      <c r="H118" s="14"/>
      <c r="I118" s="14"/>
      <c r="J118" s="13"/>
      <c r="K118" s="13"/>
    </row>
    <row r="119" customFormat="false" ht="15" hidden="false" customHeight="false" outlineLevel="0" collapsed="false">
      <c r="A119" s="11" t="str">
        <f aca="false">Apontamentos!C119</f>
        <v/>
      </c>
      <c r="B119" s="11" t="str">
        <f aca="false">IF(Apontamentos!$C119="","",Apontamentos!D119&amp;"")</f>
        <v/>
      </c>
      <c r="C119" s="11" t="str">
        <f aca="false">IF(Apontamentos!$C119="","",Apontamentos!E119&amp;"")</f>
        <v/>
      </c>
      <c r="D119" s="10" t="str">
        <f aca="false">IF(Apontamentos!$C119="","",Apontamentos!F119&amp;"")</f>
        <v/>
      </c>
      <c r="E119" s="10" t="str">
        <f aca="false">IF(Apontamentos!$C119="","",Apontamentos!G119&amp;"")</f>
        <v/>
      </c>
      <c r="F119" s="14"/>
      <c r="G119" s="14"/>
      <c r="H119" s="14"/>
      <c r="I119" s="14"/>
      <c r="J119" s="13"/>
      <c r="K119" s="13"/>
    </row>
    <row r="120" customFormat="false" ht="15" hidden="false" customHeight="false" outlineLevel="0" collapsed="false">
      <c r="A120" s="11" t="str">
        <f aca="false">Apontamentos!C120</f>
        <v/>
      </c>
      <c r="B120" s="11" t="str">
        <f aca="false">IF(Apontamentos!$C120="","",Apontamentos!D120&amp;"")</f>
        <v/>
      </c>
      <c r="C120" s="11" t="str">
        <f aca="false">IF(Apontamentos!$C120="","",Apontamentos!E120&amp;"")</f>
        <v/>
      </c>
      <c r="D120" s="10" t="str">
        <f aca="false">IF(Apontamentos!$C120="","",Apontamentos!F120&amp;"")</f>
        <v/>
      </c>
      <c r="E120" s="10" t="str">
        <f aca="false">IF(Apontamentos!$C120="","",Apontamentos!G120&amp;"")</f>
        <v/>
      </c>
      <c r="F120" s="14"/>
      <c r="G120" s="14"/>
      <c r="H120" s="14"/>
      <c r="I120" s="14"/>
      <c r="J120" s="13"/>
      <c r="K120" s="13"/>
    </row>
    <row r="121" customFormat="false" ht="15" hidden="false" customHeight="false" outlineLevel="0" collapsed="false">
      <c r="A121" s="11" t="str">
        <f aca="false">Apontamentos!C121</f>
        <v/>
      </c>
      <c r="B121" s="11" t="str">
        <f aca="false">IF(Apontamentos!$C121="","",Apontamentos!D121&amp;"")</f>
        <v/>
      </c>
      <c r="C121" s="11" t="str">
        <f aca="false">IF(Apontamentos!$C121="","",Apontamentos!E121&amp;"")</f>
        <v/>
      </c>
      <c r="D121" s="10" t="str">
        <f aca="false">IF(Apontamentos!$C121="","",Apontamentos!F121&amp;"")</f>
        <v/>
      </c>
      <c r="E121" s="10" t="str">
        <f aca="false">IF(Apontamentos!$C121="","",Apontamentos!G121&amp;"")</f>
        <v/>
      </c>
      <c r="F121" s="14"/>
      <c r="G121" s="14"/>
      <c r="H121" s="14"/>
      <c r="I121" s="14"/>
      <c r="J121" s="13"/>
      <c r="K121" s="13"/>
    </row>
    <row r="122" customFormat="false" ht="15" hidden="false" customHeight="false" outlineLevel="0" collapsed="false">
      <c r="A122" s="11" t="str">
        <f aca="false">Apontamentos!C122</f>
        <v/>
      </c>
      <c r="B122" s="11" t="str">
        <f aca="false">IF(Apontamentos!$C122="","",Apontamentos!D122&amp;"")</f>
        <v/>
      </c>
      <c r="C122" s="11" t="str">
        <f aca="false">IF(Apontamentos!$C122="","",Apontamentos!E122&amp;"")</f>
        <v/>
      </c>
      <c r="D122" s="10" t="str">
        <f aca="false">IF(Apontamentos!$C122="","",Apontamentos!F122&amp;"")</f>
        <v/>
      </c>
      <c r="E122" s="10" t="str">
        <f aca="false">IF(Apontamentos!$C122="","",Apontamentos!G122&amp;"")</f>
        <v/>
      </c>
      <c r="F122" s="14"/>
      <c r="G122" s="14"/>
      <c r="H122" s="14"/>
      <c r="I122" s="14"/>
      <c r="J122" s="13"/>
      <c r="K122" s="13"/>
    </row>
    <row r="123" customFormat="false" ht="15" hidden="false" customHeight="false" outlineLevel="0" collapsed="false">
      <c r="A123" s="11" t="str">
        <f aca="false">Apontamentos!C123</f>
        <v/>
      </c>
      <c r="B123" s="11" t="str">
        <f aca="false">IF(Apontamentos!$C123="","",Apontamentos!D123&amp;"")</f>
        <v/>
      </c>
      <c r="C123" s="11" t="str">
        <f aca="false">IF(Apontamentos!$C123="","",Apontamentos!E123&amp;"")</f>
        <v/>
      </c>
      <c r="D123" s="10" t="str">
        <f aca="false">IF(Apontamentos!$C123="","",Apontamentos!F123&amp;"")</f>
        <v/>
      </c>
      <c r="E123" s="10" t="str">
        <f aca="false">IF(Apontamentos!$C123="","",Apontamentos!G123&amp;"")</f>
        <v/>
      </c>
      <c r="F123" s="14"/>
      <c r="G123" s="14"/>
      <c r="H123" s="14"/>
      <c r="I123" s="14"/>
      <c r="J123" s="13"/>
      <c r="K123" s="13"/>
    </row>
    <row r="124" customFormat="false" ht="15" hidden="false" customHeight="false" outlineLevel="0" collapsed="false">
      <c r="A124" s="11" t="str">
        <f aca="false">Apontamentos!C124</f>
        <v/>
      </c>
      <c r="B124" s="11" t="str">
        <f aca="false">IF(Apontamentos!$C124="","",Apontamentos!D124&amp;"")</f>
        <v/>
      </c>
      <c r="C124" s="11" t="str">
        <f aca="false">IF(Apontamentos!$C124="","",Apontamentos!E124&amp;"")</f>
        <v/>
      </c>
      <c r="D124" s="10" t="str">
        <f aca="false">IF(Apontamentos!$C124="","",Apontamentos!F124&amp;"")</f>
        <v/>
      </c>
      <c r="E124" s="10" t="str">
        <f aca="false">IF(Apontamentos!$C124="","",Apontamentos!G124&amp;"")</f>
        <v/>
      </c>
      <c r="F124" s="14"/>
      <c r="G124" s="14"/>
      <c r="H124" s="14"/>
      <c r="I124" s="14"/>
      <c r="J124" s="13"/>
      <c r="K124" s="13"/>
    </row>
    <row r="125" customFormat="false" ht="15" hidden="false" customHeight="false" outlineLevel="0" collapsed="false">
      <c r="A125" s="11" t="str">
        <f aca="false">Apontamentos!C125</f>
        <v/>
      </c>
      <c r="B125" s="11" t="str">
        <f aca="false">IF(Apontamentos!$C125="","",Apontamentos!D125&amp;"")</f>
        <v/>
      </c>
      <c r="C125" s="11" t="str">
        <f aca="false">IF(Apontamentos!$C125="","",Apontamentos!E125&amp;"")</f>
        <v/>
      </c>
      <c r="D125" s="10" t="str">
        <f aca="false">IF(Apontamentos!$C125="","",Apontamentos!F125&amp;"")</f>
        <v/>
      </c>
      <c r="E125" s="10" t="str">
        <f aca="false">IF(Apontamentos!$C125="","",Apontamentos!G125&amp;"")</f>
        <v/>
      </c>
      <c r="F125" s="14"/>
      <c r="G125" s="14"/>
      <c r="H125" s="14"/>
      <c r="I125" s="14"/>
      <c r="J125" s="13"/>
      <c r="K125" s="13"/>
    </row>
    <row r="126" customFormat="false" ht="15" hidden="false" customHeight="false" outlineLevel="0" collapsed="false">
      <c r="A126" s="11" t="str">
        <f aca="false">Apontamentos!C126</f>
        <v/>
      </c>
      <c r="B126" s="11" t="str">
        <f aca="false">IF(Apontamentos!$C126="","",Apontamentos!D126&amp;"")</f>
        <v/>
      </c>
      <c r="C126" s="11" t="str">
        <f aca="false">IF(Apontamentos!$C126="","",Apontamentos!E126&amp;"")</f>
        <v/>
      </c>
      <c r="D126" s="10" t="str">
        <f aca="false">IF(Apontamentos!$C126="","",Apontamentos!F126&amp;"")</f>
        <v/>
      </c>
      <c r="E126" s="10" t="str">
        <f aca="false">IF(Apontamentos!$C126="","",Apontamentos!G126&amp;"")</f>
        <v/>
      </c>
      <c r="F126" s="14"/>
      <c r="G126" s="14"/>
      <c r="H126" s="14"/>
      <c r="I126" s="14"/>
      <c r="J126" s="13"/>
      <c r="K126" s="13"/>
    </row>
    <row r="127" customFormat="false" ht="15" hidden="false" customHeight="false" outlineLevel="0" collapsed="false">
      <c r="A127" s="11" t="str">
        <f aca="false">Apontamentos!C127</f>
        <v/>
      </c>
      <c r="B127" s="11" t="str">
        <f aca="false">IF(Apontamentos!$C127="","",Apontamentos!D127&amp;"")</f>
        <v/>
      </c>
      <c r="C127" s="11" t="str">
        <f aca="false">IF(Apontamentos!$C127="","",Apontamentos!E127&amp;"")</f>
        <v/>
      </c>
      <c r="D127" s="10" t="str">
        <f aca="false">IF(Apontamentos!$C127="","",Apontamentos!F127&amp;"")</f>
        <v/>
      </c>
      <c r="E127" s="10" t="str">
        <f aca="false">IF(Apontamentos!$C127="","",Apontamentos!G127&amp;"")</f>
        <v/>
      </c>
      <c r="F127" s="14"/>
      <c r="G127" s="14"/>
      <c r="H127" s="14"/>
      <c r="I127" s="14"/>
      <c r="J127" s="13"/>
      <c r="K127" s="13"/>
    </row>
    <row r="128" customFormat="false" ht="15" hidden="false" customHeight="false" outlineLevel="0" collapsed="false">
      <c r="A128" s="11" t="str">
        <f aca="false">Apontamentos!C128</f>
        <v/>
      </c>
      <c r="B128" s="11" t="str">
        <f aca="false">IF(Apontamentos!$C128="","",Apontamentos!D128&amp;"")</f>
        <v/>
      </c>
      <c r="C128" s="11" t="str">
        <f aca="false">IF(Apontamentos!$C128="","",Apontamentos!E128&amp;"")</f>
        <v/>
      </c>
      <c r="D128" s="10" t="str">
        <f aca="false">IF(Apontamentos!$C128="","",Apontamentos!F128&amp;"")</f>
        <v/>
      </c>
      <c r="E128" s="10" t="str">
        <f aca="false">IF(Apontamentos!$C128="","",Apontamentos!G128&amp;"")</f>
        <v/>
      </c>
      <c r="F128" s="14"/>
      <c r="G128" s="14"/>
      <c r="H128" s="14"/>
      <c r="I128" s="14"/>
      <c r="J128" s="13"/>
      <c r="K128" s="13"/>
    </row>
    <row r="129" customFormat="false" ht="15" hidden="false" customHeight="false" outlineLevel="0" collapsed="false">
      <c r="A129" s="11" t="str">
        <f aca="false">Apontamentos!C129</f>
        <v/>
      </c>
      <c r="B129" s="11" t="str">
        <f aca="false">IF(Apontamentos!$C129="","",Apontamentos!D129&amp;"")</f>
        <v/>
      </c>
      <c r="C129" s="11" t="str">
        <f aca="false">IF(Apontamentos!$C129="","",Apontamentos!E129&amp;"")</f>
        <v/>
      </c>
      <c r="D129" s="10" t="str">
        <f aca="false">IF(Apontamentos!$C129="","",Apontamentos!F129&amp;"")</f>
        <v/>
      </c>
      <c r="E129" s="10" t="str">
        <f aca="false">IF(Apontamentos!$C129="","",Apontamentos!G129&amp;"")</f>
        <v/>
      </c>
      <c r="F129" s="14"/>
      <c r="G129" s="14"/>
      <c r="H129" s="14"/>
      <c r="I129" s="14"/>
      <c r="J129" s="13"/>
      <c r="K129" s="13"/>
    </row>
    <row r="130" customFormat="false" ht="15" hidden="false" customHeight="false" outlineLevel="0" collapsed="false">
      <c r="A130" s="11" t="str">
        <f aca="false">Apontamentos!C130</f>
        <v/>
      </c>
      <c r="B130" s="11" t="str">
        <f aca="false">IF(Apontamentos!$C130="","",Apontamentos!D130&amp;"")</f>
        <v/>
      </c>
      <c r="C130" s="11" t="str">
        <f aca="false">IF(Apontamentos!$C130="","",Apontamentos!E130&amp;"")</f>
        <v/>
      </c>
      <c r="D130" s="10" t="str">
        <f aca="false">IF(Apontamentos!$C130="","",Apontamentos!F130&amp;"")</f>
        <v/>
      </c>
      <c r="E130" s="10" t="str">
        <f aca="false">IF(Apontamentos!$C130="","",Apontamentos!G130&amp;"")</f>
        <v/>
      </c>
      <c r="F130" s="14"/>
      <c r="G130" s="14"/>
      <c r="H130" s="14"/>
      <c r="I130" s="14"/>
      <c r="J130" s="13"/>
      <c r="K130" s="13"/>
    </row>
    <row r="131" customFormat="false" ht="15" hidden="false" customHeight="false" outlineLevel="0" collapsed="false">
      <c r="A131" s="11" t="str">
        <f aca="false">Apontamentos!C131</f>
        <v/>
      </c>
      <c r="B131" s="11" t="str">
        <f aca="false">IF(Apontamentos!$C131="","",Apontamentos!D131&amp;"")</f>
        <v/>
      </c>
      <c r="C131" s="11" t="str">
        <f aca="false">IF(Apontamentos!$C131="","",Apontamentos!E131&amp;"")</f>
        <v/>
      </c>
      <c r="D131" s="10" t="str">
        <f aca="false">IF(Apontamentos!$C131="","",Apontamentos!F131&amp;"")</f>
        <v/>
      </c>
      <c r="E131" s="10" t="str">
        <f aca="false">IF(Apontamentos!$C131="","",Apontamentos!G131&amp;"")</f>
        <v/>
      </c>
      <c r="F131" s="14"/>
      <c r="G131" s="14"/>
      <c r="H131" s="14"/>
      <c r="I131" s="14"/>
      <c r="J131" s="13"/>
      <c r="K131" s="13"/>
    </row>
    <row r="132" customFormat="false" ht="15" hidden="false" customHeight="false" outlineLevel="0" collapsed="false">
      <c r="A132" s="11" t="str">
        <f aca="false">Apontamentos!C132</f>
        <v/>
      </c>
      <c r="B132" s="11" t="str">
        <f aca="false">IF(Apontamentos!$C132="","",Apontamentos!D132&amp;"")</f>
        <v/>
      </c>
      <c r="C132" s="11" t="str">
        <f aca="false">IF(Apontamentos!$C132="","",Apontamentos!E132&amp;"")</f>
        <v/>
      </c>
      <c r="D132" s="10" t="str">
        <f aca="false">IF(Apontamentos!$C132="","",Apontamentos!F132&amp;"")</f>
        <v/>
      </c>
      <c r="E132" s="10" t="str">
        <f aca="false">IF(Apontamentos!$C132="","",Apontamentos!G132&amp;"")</f>
        <v/>
      </c>
      <c r="F132" s="14"/>
      <c r="G132" s="14"/>
      <c r="H132" s="14"/>
      <c r="I132" s="14"/>
      <c r="J132" s="13"/>
      <c r="K132" s="13"/>
    </row>
    <row r="133" customFormat="false" ht="15" hidden="false" customHeight="false" outlineLevel="0" collapsed="false">
      <c r="A133" s="11" t="str">
        <f aca="false">Apontamentos!C133</f>
        <v/>
      </c>
      <c r="B133" s="11" t="str">
        <f aca="false">IF(Apontamentos!$C133="","",Apontamentos!D133&amp;"")</f>
        <v/>
      </c>
      <c r="C133" s="11" t="str">
        <f aca="false">IF(Apontamentos!$C133="","",Apontamentos!E133&amp;"")</f>
        <v/>
      </c>
      <c r="D133" s="10" t="str">
        <f aca="false">IF(Apontamentos!$C133="","",Apontamentos!F133&amp;"")</f>
        <v/>
      </c>
      <c r="E133" s="10" t="str">
        <f aca="false">IF(Apontamentos!$C133="","",Apontamentos!G133&amp;"")</f>
        <v/>
      </c>
      <c r="F133" s="14"/>
      <c r="G133" s="14"/>
      <c r="H133" s="14"/>
      <c r="I133" s="14"/>
      <c r="J133" s="13"/>
      <c r="K133" s="13"/>
    </row>
    <row r="134" customFormat="false" ht="15" hidden="false" customHeight="false" outlineLevel="0" collapsed="false">
      <c r="A134" s="11" t="str">
        <f aca="false">Apontamentos!C134</f>
        <v/>
      </c>
      <c r="B134" s="11" t="str">
        <f aca="false">IF(Apontamentos!$C134="","",Apontamentos!D134&amp;"")</f>
        <v/>
      </c>
      <c r="C134" s="11" t="str">
        <f aca="false">IF(Apontamentos!$C134="","",Apontamentos!E134&amp;"")</f>
        <v/>
      </c>
      <c r="D134" s="10" t="str">
        <f aca="false">IF(Apontamentos!$C134="","",Apontamentos!F134&amp;"")</f>
        <v/>
      </c>
      <c r="E134" s="10" t="str">
        <f aca="false">IF(Apontamentos!$C134="","",Apontamentos!G134&amp;"")</f>
        <v/>
      </c>
      <c r="F134" s="14"/>
      <c r="G134" s="14"/>
      <c r="H134" s="14"/>
      <c r="I134" s="14"/>
      <c r="J134" s="13"/>
      <c r="K134" s="13"/>
    </row>
    <row r="135" customFormat="false" ht="15" hidden="false" customHeight="false" outlineLevel="0" collapsed="false">
      <c r="A135" s="11" t="str">
        <f aca="false">Apontamentos!C135</f>
        <v/>
      </c>
      <c r="B135" s="11" t="str">
        <f aca="false">IF(Apontamentos!$C135="","",Apontamentos!D135&amp;"")</f>
        <v/>
      </c>
      <c r="C135" s="11" t="str">
        <f aca="false">IF(Apontamentos!$C135="","",Apontamentos!E135&amp;"")</f>
        <v/>
      </c>
      <c r="D135" s="10" t="str">
        <f aca="false">IF(Apontamentos!$C135="","",Apontamentos!F135&amp;"")</f>
        <v/>
      </c>
      <c r="E135" s="10" t="str">
        <f aca="false">IF(Apontamentos!$C135="","",Apontamentos!G135&amp;"")</f>
        <v/>
      </c>
      <c r="F135" s="14"/>
      <c r="G135" s="14"/>
      <c r="H135" s="14"/>
      <c r="I135" s="14"/>
      <c r="J135" s="13"/>
      <c r="K135" s="13"/>
    </row>
    <row r="136" customFormat="false" ht="15" hidden="false" customHeight="false" outlineLevel="0" collapsed="false">
      <c r="A136" s="11" t="str">
        <f aca="false">Apontamentos!C136</f>
        <v/>
      </c>
      <c r="B136" s="11" t="str">
        <f aca="false">IF(Apontamentos!$C136="","",Apontamentos!D136&amp;"")</f>
        <v/>
      </c>
      <c r="C136" s="11" t="str">
        <f aca="false">IF(Apontamentos!$C136="","",Apontamentos!E136&amp;"")</f>
        <v/>
      </c>
      <c r="D136" s="10" t="str">
        <f aca="false">IF(Apontamentos!$C136="","",Apontamentos!F136&amp;"")</f>
        <v/>
      </c>
      <c r="E136" s="10" t="str">
        <f aca="false">IF(Apontamentos!$C136="","",Apontamentos!G136&amp;"")</f>
        <v/>
      </c>
      <c r="F136" s="14"/>
      <c r="G136" s="14"/>
      <c r="H136" s="14"/>
      <c r="I136" s="14"/>
      <c r="J136" s="13"/>
      <c r="K136" s="13"/>
    </row>
    <row r="137" customFormat="false" ht="15" hidden="false" customHeight="false" outlineLevel="0" collapsed="false">
      <c r="A137" s="11" t="str">
        <f aca="false">Apontamentos!C137</f>
        <v/>
      </c>
      <c r="B137" s="11" t="str">
        <f aca="false">IF(Apontamentos!$C137="","",Apontamentos!D137&amp;"")</f>
        <v/>
      </c>
      <c r="C137" s="11" t="str">
        <f aca="false">IF(Apontamentos!$C137="","",Apontamentos!E137&amp;"")</f>
        <v/>
      </c>
      <c r="D137" s="10" t="str">
        <f aca="false">IF(Apontamentos!$C137="","",Apontamentos!F137&amp;"")</f>
        <v/>
      </c>
      <c r="E137" s="10" t="str">
        <f aca="false">IF(Apontamentos!$C137="","",Apontamentos!G137&amp;"")</f>
        <v/>
      </c>
      <c r="F137" s="14"/>
      <c r="G137" s="14"/>
      <c r="H137" s="14"/>
      <c r="I137" s="14"/>
      <c r="J137" s="13"/>
      <c r="K137" s="13"/>
    </row>
    <row r="138" customFormat="false" ht="15" hidden="false" customHeight="false" outlineLevel="0" collapsed="false">
      <c r="A138" s="11" t="str">
        <f aca="false">Apontamentos!C138</f>
        <v/>
      </c>
      <c r="B138" s="11" t="str">
        <f aca="false">IF(Apontamentos!$C138="","",Apontamentos!D138&amp;"")</f>
        <v/>
      </c>
      <c r="C138" s="11" t="str">
        <f aca="false">IF(Apontamentos!$C138="","",Apontamentos!E138&amp;"")</f>
        <v/>
      </c>
      <c r="D138" s="10" t="str">
        <f aca="false">IF(Apontamentos!$C138="","",Apontamentos!F138&amp;"")</f>
        <v/>
      </c>
      <c r="E138" s="10" t="str">
        <f aca="false">IF(Apontamentos!$C138="","",Apontamentos!G138&amp;"")</f>
        <v/>
      </c>
      <c r="F138" s="14"/>
      <c r="G138" s="14"/>
      <c r="H138" s="14"/>
      <c r="I138" s="14"/>
      <c r="J138" s="13"/>
      <c r="K138" s="13"/>
    </row>
    <row r="139" customFormat="false" ht="15" hidden="false" customHeight="false" outlineLevel="0" collapsed="false">
      <c r="A139" s="11" t="str">
        <f aca="false">Apontamentos!C139</f>
        <v/>
      </c>
      <c r="B139" s="11" t="str">
        <f aca="false">IF(Apontamentos!$C139="","",Apontamentos!D139&amp;"")</f>
        <v/>
      </c>
      <c r="C139" s="11" t="str">
        <f aca="false">IF(Apontamentos!$C139="","",Apontamentos!E139&amp;"")</f>
        <v/>
      </c>
      <c r="D139" s="10" t="str">
        <f aca="false">IF(Apontamentos!$C139="","",Apontamentos!F139&amp;"")</f>
        <v/>
      </c>
      <c r="E139" s="10" t="str">
        <f aca="false">IF(Apontamentos!$C139="","",Apontamentos!G139&amp;"")</f>
        <v/>
      </c>
      <c r="F139" s="14"/>
      <c r="G139" s="14"/>
      <c r="H139" s="14"/>
      <c r="I139" s="14"/>
      <c r="J139" s="13"/>
      <c r="K139" s="13"/>
    </row>
    <row r="140" customFormat="false" ht="15" hidden="false" customHeight="false" outlineLevel="0" collapsed="false">
      <c r="A140" s="11" t="str">
        <f aca="false">Apontamentos!C140</f>
        <v/>
      </c>
      <c r="B140" s="11" t="str">
        <f aca="false">IF(Apontamentos!$C140="","",Apontamentos!D140&amp;"")</f>
        <v/>
      </c>
      <c r="C140" s="11" t="str">
        <f aca="false">IF(Apontamentos!$C140="","",Apontamentos!E140&amp;"")</f>
        <v/>
      </c>
      <c r="D140" s="10" t="str">
        <f aca="false">IF(Apontamentos!$C140="","",Apontamentos!F140&amp;"")</f>
        <v/>
      </c>
      <c r="E140" s="10" t="str">
        <f aca="false">IF(Apontamentos!$C140="","",Apontamentos!G140&amp;"")</f>
        <v/>
      </c>
      <c r="F140" s="14"/>
      <c r="G140" s="14"/>
      <c r="H140" s="14"/>
      <c r="I140" s="14"/>
      <c r="J140" s="13"/>
      <c r="K140" s="13"/>
    </row>
    <row r="141" customFormat="false" ht="15" hidden="false" customHeight="false" outlineLevel="0" collapsed="false">
      <c r="A141" s="11" t="str">
        <f aca="false">Apontamentos!C141</f>
        <v/>
      </c>
      <c r="B141" s="11" t="str">
        <f aca="false">IF(Apontamentos!$C141="","",Apontamentos!D141&amp;"")</f>
        <v/>
      </c>
      <c r="C141" s="11" t="str">
        <f aca="false">IF(Apontamentos!$C141="","",Apontamentos!E141&amp;"")</f>
        <v/>
      </c>
      <c r="D141" s="10" t="str">
        <f aca="false">IF(Apontamentos!$C141="","",Apontamentos!F141&amp;"")</f>
        <v/>
      </c>
      <c r="E141" s="10" t="str">
        <f aca="false">IF(Apontamentos!$C141="","",Apontamentos!G141&amp;"")</f>
        <v/>
      </c>
      <c r="F141" s="14"/>
      <c r="G141" s="14"/>
      <c r="H141" s="14"/>
      <c r="I141" s="14"/>
      <c r="J141" s="13"/>
      <c r="K141" s="13"/>
    </row>
    <row r="142" customFormat="false" ht="15" hidden="false" customHeight="false" outlineLevel="0" collapsed="false">
      <c r="A142" s="11" t="str">
        <f aca="false">Apontamentos!C142</f>
        <v/>
      </c>
      <c r="B142" s="11" t="str">
        <f aca="false">IF(Apontamentos!$C142="","",Apontamentos!D142&amp;"")</f>
        <v/>
      </c>
      <c r="C142" s="11" t="str">
        <f aca="false">IF(Apontamentos!$C142="","",Apontamentos!E142&amp;"")</f>
        <v/>
      </c>
      <c r="D142" s="10" t="str">
        <f aca="false">IF(Apontamentos!$C142="","",Apontamentos!F142&amp;"")</f>
        <v/>
      </c>
      <c r="E142" s="10" t="str">
        <f aca="false">IF(Apontamentos!$C142="","",Apontamentos!G142&amp;"")</f>
        <v/>
      </c>
      <c r="F142" s="14"/>
      <c r="G142" s="14"/>
      <c r="H142" s="14"/>
      <c r="I142" s="14"/>
      <c r="J142" s="13"/>
      <c r="K142" s="13"/>
    </row>
    <row r="143" customFormat="false" ht="15" hidden="false" customHeight="false" outlineLevel="0" collapsed="false">
      <c r="A143" s="11" t="str">
        <f aca="false">Apontamentos!C143</f>
        <v/>
      </c>
      <c r="B143" s="11" t="str">
        <f aca="false">IF(Apontamentos!$C143="","",Apontamentos!D143&amp;"")</f>
        <v/>
      </c>
      <c r="C143" s="11" t="str">
        <f aca="false">IF(Apontamentos!$C143="","",Apontamentos!E143&amp;"")</f>
        <v/>
      </c>
      <c r="D143" s="10" t="str">
        <f aca="false">IF(Apontamentos!$C143="","",Apontamentos!F143&amp;"")</f>
        <v/>
      </c>
      <c r="E143" s="10" t="str">
        <f aca="false">IF(Apontamentos!$C143="","",Apontamentos!G143&amp;"")</f>
        <v/>
      </c>
      <c r="F143" s="14"/>
      <c r="G143" s="14"/>
      <c r="H143" s="14"/>
      <c r="I143" s="14"/>
      <c r="J143" s="13"/>
      <c r="K143" s="13"/>
    </row>
    <row r="144" customFormat="false" ht="15" hidden="false" customHeight="false" outlineLevel="0" collapsed="false">
      <c r="A144" s="11" t="str">
        <f aca="false">Apontamentos!C144</f>
        <v/>
      </c>
      <c r="B144" s="11" t="str">
        <f aca="false">IF(Apontamentos!$C144="","",Apontamentos!D144&amp;"")</f>
        <v/>
      </c>
      <c r="C144" s="11" t="str">
        <f aca="false">IF(Apontamentos!$C144="","",Apontamentos!E144&amp;"")</f>
        <v/>
      </c>
      <c r="D144" s="10" t="str">
        <f aca="false">IF(Apontamentos!$C144="","",Apontamentos!F144&amp;"")</f>
        <v/>
      </c>
      <c r="E144" s="10" t="str">
        <f aca="false">IF(Apontamentos!$C144="","",Apontamentos!G144&amp;"")</f>
        <v/>
      </c>
      <c r="F144" s="14"/>
      <c r="G144" s="14"/>
      <c r="H144" s="14"/>
      <c r="I144" s="14"/>
      <c r="J144" s="13"/>
      <c r="K144" s="13"/>
    </row>
    <row r="145" customFormat="false" ht="15" hidden="false" customHeight="false" outlineLevel="0" collapsed="false">
      <c r="A145" s="11" t="str">
        <f aca="false">Apontamentos!C145</f>
        <v/>
      </c>
      <c r="B145" s="11" t="str">
        <f aca="false">IF(Apontamentos!$C145="","",Apontamentos!D145&amp;"")</f>
        <v/>
      </c>
      <c r="C145" s="11" t="str">
        <f aca="false">IF(Apontamentos!$C145="","",Apontamentos!E145&amp;"")</f>
        <v/>
      </c>
      <c r="D145" s="10" t="str">
        <f aca="false">IF(Apontamentos!$C145="","",Apontamentos!F145&amp;"")</f>
        <v/>
      </c>
      <c r="E145" s="10" t="str">
        <f aca="false">IF(Apontamentos!$C145="","",Apontamentos!G145&amp;"")</f>
        <v/>
      </c>
      <c r="F145" s="14"/>
      <c r="G145" s="14"/>
      <c r="H145" s="14"/>
      <c r="I145" s="14"/>
      <c r="J145" s="13"/>
      <c r="K145" s="13"/>
    </row>
    <row r="146" customFormat="false" ht="15" hidden="false" customHeight="false" outlineLevel="0" collapsed="false">
      <c r="A146" s="11" t="str">
        <f aca="false">Apontamentos!C146</f>
        <v/>
      </c>
      <c r="B146" s="11" t="str">
        <f aca="false">IF(Apontamentos!$C146="","",Apontamentos!D146&amp;"")</f>
        <v/>
      </c>
      <c r="C146" s="11" t="str">
        <f aca="false">IF(Apontamentos!$C146="","",Apontamentos!E146&amp;"")</f>
        <v/>
      </c>
      <c r="D146" s="10" t="str">
        <f aca="false">IF(Apontamentos!$C146="","",Apontamentos!F146&amp;"")</f>
        <v/>
      </c>
      <c r="E146" s="10" t="str">
        <f aca="false">IF(Apontamentos!$C146="","",Apontamentos!G146&amp;"")</f>
        <v/>
      </c>
      <c r="F146" s="14"/>
      <c r="G146" s="14"/>
      <c r="H146" s="14"/>
      <c r="I146" s="14"/>
      <c r="J146" s="13"/>
      <c r="K146" s="13"/>
    </row>
    <row r="147" customFormat="false" ht="15" hidden="false" customHeight="false" outlineLevel="0" collapsed="false">
      <c r="A147" s="11" t="str">
        <f aca="false">Apontamentos!C147</f>
        <v/>
      </c>
      <c r="B147" s="11" t="str">
        <f aca="false">IF(Apontamentos!$C147="","",Apontamentos!D147&amp;"")</f>
        <v/>
      </c>
      <c r="C147" s="11" t="str">
        <f aca="false">IF(Apontamentos!$C147="","",Apontamentos!E147&amp;"")</f>
        <v/>
      </c>
      <c r="D147" s="10" t="str">
        <f aca="false">IF(Apontamentos!$C147="","",Apontamentos!F147&amp;"")</f>
        <v/>
      </c>
      <c r="E147" s="10" t="str">
        <f aca="false">IF(Apontamentos!$C147="","",Apontamentos!G147&amp;"")</f>
        <v/>
      </c>
      <c r="F147" s="14"/>
      <c r="G147" s="14"/>
      <c r="H147" s="14"/>
      <c r="I147" s="14"/>
      <c r="J147" s="13"/>
      <c r="K147" s="13"/>
    </row>
    <row r="148" customFormat="false" ht="15" hidden="false" customHeight="false" outlineLevel="0" collapsed="false">
      <c r="A148" s="11" t="str">
        <f aca="false">Apontamentos!C148</f>
        <v/>
      </c>
      <c r="B148" s="11" t="str">
        <f aca="false">IF(Apontamentos!$C148="","",Apontamentos!D148&amp;"")</f>
        <v/>
      </c>
      <c r="C148" s="11" t="str">
        <f aca="false">IF(Apontamentos!$C148="","",Apontamentos!E148&amp;"")</f>
        <v/>
      </c>
      <c r="D148" s="10" t="str">
        <f aca="false">IF(Apontamentos!$C148="","",Apontamentos!F148&amp;"")</f>
        <v/>
      </c>
      <c r="E148" s="10" t="str">
        <f aca="false">IF(Apontamentos!$C148="","",Apontamentos!G148&amp;"")</f>
        <v/>
      </c>
      <c r="F148" s="14"/>
      <c r="G148" s="14"/>
      <c r="H148" s="14"/>
      <c r="I148" s="14"/>
      <c r="J148" s="13"/>
      <c r="K148" s="13"/>
    </row>
    <row r="149" customFormat="false" ht="15" hidden="false" customHeight="false" outlineLevel="0" collapsed="false">
      <c r="A149" s="11" t="str">
        <f aca="false">Apontamentos!C149</f>
        <v/>
      </c>
      <c r="B149" s="11" t="str">
        <f aca="false">IF(Apontamentos!$C149="","",Apontamentos!D149&amp;"")</f>
        <v/>
      </c>
      <c r="C149" s="11" t="str">
        <f aca="false">IF(Apontamentos!$C149="","",Apontamentos!E149&amp;"")</f>
        <v/>
      </c>
      <c r="D149" s="10" t="str">
        <f aca="false">IF(Apontamentos!$C149="","",Apontamentos!F149&amp;"")</f>
        <v/>
      </c>
      <c r="E149" s="10" t="str">
        <f aca="false">IF(Apontamentos!$C149="","",Apontamentos!G149&amp;"")</f>
        <v/>
      </c>
      <c r="F149" s="14"/>
      <c r="G149" s="14"/>
      <c r="H149" s="14"/>
      <c r="I149" s="14"/>
      <c r="J149" s="13"/>
      <c r="K149" s="13"/>
    </row>
    <row r="150" customFormat="false" ht="15" hidden="false" customHeight="false" outlineLevel="0" collapsed="false">
      <c r="A150" s="11" t="str">
        <f aca="false">Apontamentos!C150</f>
        <v/>
      </c>
      <c r="B150" s="11" t="str">
        <f aca="false">IF(Apontamentos!$C150="","",Apontamentos!D150&amp;"")</f>
        <v/>
      </c>
      <c r="C150" s="11" t="str">
        <f aca="false">IF(Apontamentos!$C150="","",Apontamentos!E150&amp;"")</f>
        <v/>
      </c>
      <c r="D150" s="10" t="str">
        <f aca="false">IF(Apontamentos!$C150="","",Apontamentos!F150&amp;"")</f>
        <v/>
      </c>
      <c r="E150" s="10" t="str">
        <f aca="false">IF(Apontamentos!$C150="","",Apontamentos!G150&amp;"")</f>
        <v/>
      </c>
      <c r="F150" s="14"/>
      <c r="G150" s="14"/>
      <c r="H150" s="14"/>
      <c r="I150" s="14"/>
      <c r="J150" s="13"/>
      <c r="K150" s="13"/>
    </row>
    <row r="151" customFormat="false" ht="15" hidden="false" customHeight="false" outlineLevel="0" collapsed="false">
      <c r="A151" s="11" t="str">
        <f aca="false">Apontamentos!C151</f>
        <v/>
      </c>
      <c r="B151" s="11" t="str">
        <f aca="false">IF(Apontamentos!$C151="","",Apontamentos!D151&amp;"")</f>
        <v/>
      </c>
      <c r="C151" s="11" t="str">
        <f aca="false">IF(Apontamentos!$C151="","",Apontamentos!E151&amp;"")</f>
        <v/>
      </c>
      <c r="D151" s="10" t="str">
        <f aca="false">IF(Apontamentos!$C151="","",Apontamentos!F151&amp;"")</f>
        <v/>
      </c>
      <c r="E151" s="10" t="str">
        <f aca="false">IF(Apontamentos!$C151="","",Apontamentos!G151&amp;"")</f>
        <v/>
      </c>
      <c r="F151" s="14"/>
      <c r="G151" s="14"/>
      <c r="H151" s="14"/>
      <c r="I151" s="14"/>
      <c r="J151" s="13"/>
      <c r="K151" s="13"/>
    </row>
    <row r="152" customFormat="false" ht="15" hidden="false" customHeight="false" outlineLevel="0" collapsed="false">
      <c r="A152" s="11" t="str">
        <f aca="false">Apontamentos!C152</f>
        <v/>
      </c>
      <c r="B152" s="11" t="str">
        <f aca="false">IF(Apontamentos!$C152="","",Apontamentos!D152&amp;"")</f>
        <v/>
      </c>
      <c r="C152" s="11" t="str">
        <f aca="false">IF(Apontamentos!$C152="","",Apontamentos!E152&amp;"")</f>
        <v/>
      </c>
      <c r="D152" s="10" t="str">
        <f aca="false">IF(Apontamentos!$C152="","",Apontamentos!F152&amp;"")</f>
        <v/>
      </c>
      <c r="E152" s="10" t="str">
        <f aca="false">IF(Apontamentos!$C152="","",Apontamentos!G152&amp;"")</f>
        <v/>
      </c>
      <c r="F152" s="14"/>
      <c r="G152" s="14"/>
      <c r="H152" s="14"/>
      <c r="I152" s="14"/>
      <c r="J152" s="13"/>
      <c r="K152" s="13"/>
    </row>
    <row r="153" customFormat="false" ht="15" hidden="false" customHeight="false" outlineLevel="0" collapsed="false">
      <c r="A153" s="11" t="str">
        <f aca="false">Apontamentos!C153</f>
        <v/>
      </c>
      <c r="B153" s="11" t="str">
        <f aca="false">IF(Apontamentos!$C153="","",Apontamentos!D153&amp;"")</f>
        <v/>
      </c>
      <c r="C153" s="11" t="str">
        <f aca="false">IF(Apontamentos!$C153="","",Apontamentos!E153&amp;"")</f>
        <v/>
      </c>
      <c r="D153" s="10" t="str">
        <f aca="false">IF(Apontamentos!$C153="","",Apontamentos!F153&amp;"")</f>
        <v/>
      </c>
      <c r="E153" s="10" t="str">
        <f aca="false">IF(Apontamentos!$C153="","",Apontamentos!G153&amp;"")</f>
        <v/>
      </c>
      <c r="F153" s="14"/>
      <c r="G153" s="14"/>
      <c r="H153" s="14"/>
      <c r="I153" s="14"/>
      <c r="J153" s="13"/>
      <c r="K153" s="13"/>
    </row>
    <row r="154" customFormat="false" ht="15" hidden="false" customHeight="false" outlineLevel="0" collapsed="false">
      <c r="A154" s="11" t="str">
        <f aca="false">Apontamentos!C154</f>
        <v/>
      </c>
      <c r="B154" s="11" t="str">
        <f aca="false">IF(Apontamentos!$C154="","",Apontamentos!D154&amp;"")</f>
        <v/>
      </c>
      <c r="C154" s="11" t="str">
        <f aca="false">IF(Apontamentos!$C154="","",Apontamentos!E154&amp;"")</f>
        <v/>
      </c>
      <c r="D154" s="10" t="str">
        <f aca="false">IF(Apontamentos!$C154="","",Apontamentos!F154&amp;"")</f>
        <v/>
      </c>
      <c r="E154" s="10" t="str">
        <f aca="false">IF(Apontamentos!$C154="","",Apontamentos!G154&amp;"")</f>
        <v/>
      </c>
      <c r="F154" s="14"/>
      <c r="G154" s="14"/>
      <c r="H154" s="14"/>
      <c r="I154" s="14"/>
      <c r="J154" s="13"/>
      <c r="K154" s="13"/>
    </row>
    <row r="155" customFormat="false" ht="15" hidden="false" customHeight="false" outlineLevel="0" collapsed="false">
      <c r="A155" s="11" t="str">
        <f aca="false">Apontamentos!C155</f>
        <v/>
      </c>
      <c r="B155" s="11" t="str">
        <f aca="false">IF(Apontamentos!$C155="","",Apontamentos!D155&amp;"")</f>
        <v/>
      </c>
      <c r="C155" s="11" t="str">
        <f aca="false">IF(Apontamentos!$C155="","",Apontamentos!E155&amp;"")</f>
        <v/>
      </c>
      <c r="D155" s="10" t="str">
        <f aca="false">IF(Apontamentos!$C155="","",Apontamentos!F155&amp;"")</f>
        <v/>
      </c>
      <c r="E155" s="10" t="str">
        <f aca="false">IF(Apontamentos!$C155="","",Apontamentos!G155&amp;"")</f>
        <v/>
      </c>
      <c r="F155" s="14"/>
      <c r="G155" s="14"/>
      <c r="H155" s="14"/>
      <c r="I155" s="14"/>
      <c r="J155" s="13"/>
      <c r="K155" s="13"/>
    </row>
    <row r="156" customFormat="false" ht="15" hidden="false" customHeight="false" outlineLevel="0" collapsed="false">
      <c r="A156" s="11" t="str">
        <f aca="false">Apontamentos!C156</f>
        <v/>
      </c>
      <c r="B156" s="11" t="str">
        <f aca="false">IF(Apontamentos!$C156="","",Apontamentos!D156&amp;"")</f>
        <v/>
      </c>
      <c r="C156" s="11" t="str">
        <f aca="false">IF(Apontamentos!$C156="","",Apontamentos!E156&amp;"")</f>
        <v/>
      </c>
      <c r="D156" s="10" t="str">
        <f aca="false">IF(Apontamentos!$C156="","",Apontamentos!F156&amp;"")</f>
        <v/>
      </c>
      <c r="E156" s="10" t="str">
        <f aca="false">IF(Apontamentos!$C156="","",Apontamentos!G156&amp;"")</f>
        <v/>
      </c>
      <c r="F156" s="14"/>
      <c r="G156" s="14"/>
      <c r="H156" s="14"/>
      <c r="I156" s="14"/>
      <c r="J156" s="13"/>
      <c r="K156" s="13"/>
    </row>
    <row r="157" customFormat="false" ht="15" hidden="false" customHeight="false" outlineLevel="0" collapsed="false">
      <c r="A157" s="11" t="str">
        <f aca="false">Apontamentos!C157</f>
        <v/>
      </c>
      <c r="B157" s="11" t="str">
        <f aca="false">IF(Apontamentos!$C157="","",Apontamentos!D157&amp;"")</f>
        <v/>
      </c>
      <c r="C157" s="11" t="str">
        <f aca="false">IF(Apontamentos!$C157="","",Apontamentos!E157&amp;"")</f>
        <v/>
      </c>
      <c r="D157" s="10" t="str">
        <f aca="false">IF(Apontamentos!$C157="","",Apontamentos!F157&amp;"")</f>
        <v/>
      </c>
      <c r="E157" s="10" t="str">
        <f aca="false">IF(Apontamentos!$C157="","",Apontamentos!G157&amp;"")</f>
        <v/>
      </c>
      <c r="F157" s="14"/>
      <c r="G157" s="14"/>
      <c r="H157" s="14"/>
      <c r="I157" s="14"/>
      <c r="J157" s="13"/>
      <c r="K157" s="13"/>
    </row>
    <row r="158" customFormat="false" ht="15" hidden="false" customHeight="false" outlineLevel="0" collapsed="false">
      <c r="A158" s="11" t="str">
        <f aca="false">Apontamentos!C158</f>
        <v/>
      </c>
      <c r="B158" s="11" t="str">
        <f aca="false">IF(Apontamentos!$C158="","",Apontamentos!D158&amp;"")</f>
        <v/>
      </c>
      <c r="C158" s="11" t="str">
        <f aca="false">IF(Apontamentos!$C158="","",Apontamentos!E158&amp;"")</f>
        <v/>
      </c>
      <c r="D158" s="10" t="str">
        <f aca="false">IF(Apontamentos!$C158="","",Apontamentos!F158&amp;"")</f>
        <v/>
      </c>
      <c r="E158" s="10" t="str">
        <f aca="false">IF(Apontamentos!$C158="","",Apontamentos!G158&amp;"")</f>
        <v/>
      </c>
      <c r="F158" s="14"/>
      <c r="G158" s="14"/>
      <c r="H158" s="14"/>
      <c r="I158" s="14"/>
      <c r="J158" s="13"/>
      <c r="K158" s="13"/>
    </row>
    <row r="159" customFormat="false" ht="15" hidden="false" customHeight="false" outlineLevel="0" collapsed="false">
      <c r="A159" s="11" t="str">
        <f aca="false">Apontamentos!C159</f>
        <v/>
      </c>
      <c r="B159" s="11" t="str">
        <f aca="false">IF(Apontamentos!$C159="","",Apontamentos!D159&amp;"")</f>
        <v/>
      </c>
      <c r="C159" s="11" t="str">
        <f aca="false">IF(Apontamentos!$C159="","",Apontamentos!E159&amp;"")</f>
        <v/>
      </c>
      <c r="D159" s="10" t="str">
        <f aca="false">IF(Apontamentos!$C159="","",Apontamentos!F159&amp;"")</f>
        <v/>
      </c>
      <c r="E159" s="10" t="str">
        <f aca="false">IF(Apontamentos!$C159="","",Apontamentos!G159&amp;"")</f>
        <v/>
      </c>
      <c r="F159" s="14"/>
      <c r="G159" s="14"/>
      <c r="H159" s="14"/>
      <c r="I159" s="14"/>
      <c r="J159" s="13"/>
      <c r="K159" s="13"/>
    </row>
    <row r="160" customFormat="false" ht="15" hidden="false" customHeight="false" outlineLevel="0" collapsed="false">
      <c r="A160" s="11" t="str">
        <f aca="false">Apontamentos!C160</f>
        <v/>
      </c>
      <c r="B160" s="11" t="str">
        <f aca="false">IF(Apontamentos!$C160="","",Apontamentos!D160&amp;"")</f>
        <v/>
      </c>
      <c r="C160" s="11" t="str">
        <f aca="false">IF(Apontamentos!$C160="","",Apontamentos!E160&amp;"")</f>
        <v/>
      </c>
      <c r="D160" s="10" t="str">
        <f aca="false">IF(Apontamentos!$C160="","",Apontamentos!F160&amp;"")</f>
        <v/>
      </c>
      <c r="E160" s="10" t="str">
        <f aca="false">IF(Apontamentos!$C160="","",Apontamentos!G160&amp;"")</f>
        <v/>
      </c>
      <c r="F160" s="14"/>
      <c r="G160" s="14"/>
      <c r="H160" s="14"/>
      <c r="I160" s="14"/>
      <c r="J160" s="13"/>
      <c r="K160" s="13"/>
    </row>
    <row r="161" customFormat="false" ht="15" hidden="false" customHeight="false" outlineLevel="0" collapsed="false">
      <c r="A161" s="11" t="str">
        <f aca="false">Apontamentos!C161</f>
        <v/>
      </c>
      <c r="B161" s="11" t="str">
        <f aca="false">IF(Apontamentos!$C161="","",Apontamentos!D161&amp;"")</f>
        <v/>
      </c>
      <c r="C161" s="11" t="str">
        <f aca="false">IF(Apontamentos!$C161="","",Apontamentos!E161&amp;"")</f>
        <v/>
      </c>
      <c r="D161" s="10" t="str">
        <f aca="false">IF(Apontamentos!$C161="","",Apontamentos!F161&amp;"")</f>
        <v/>
      </c>
      <c r="E161" s="10" t="str">
        <f aca="false">IF(Apontamentos!$C161="","",Apontamentos!G161&amp;"")</f>
        <v/>
      </c>
      <c r="F161" s="14"/>
      <c r="G161" s="14"/>
      <c r="H161" s="14"/>
      <c r="I161" s="14"/>
      <c r="J161" s="13"/>
      <c r="K161" s="13"/>
    </row>
    <row r="162" customFormat="false" ht="15" hidden="false" customHeight="false" outlineLevel="0" collapsed="false">
      <c r="A162" s="11" t="str">
        <f aca="false">Apontamentos!C162</f>
        <v/>
      </c>
      <c r="B162" s="11" t="str">
        <f aca="false">IF(Apontamentos!$C162="","",Apontamentos!D162&amp;"")</f>
        <v/>
      </c>
      <c r="C162" s="11" t="str">
        <f aca="false">IF(Apontamentos!$C162="","",Apontamentos!E162&amp;"")</f>
        <v/>
      </c>
      <c r="D162" s="10" t="str">
        <f aca="false">IF(Apontamentos!$C162="","",Apontamentos!F162&amp;"")</f>
        <v/>
      </c>
      <c r="E162" s="10" t="str">
        <f aca="false">IF(Apontamentos!$C162="","",Apontamentos!G162&amp;"")</f>
        <v/>
      </c>
      <c r="F162" s="14"/>
      <c r="G162" s="14"/>
      <c r="H162" s="14"/>
      <c r="I162" s="14"/>
      <c r="J162" s="13"/>
      <c r="K162" s="13"/>
    </row>
    <row r="163" customFormat="false" ht="15" hidden="false" customHeight="false" outlineLevel="0" collapsed="false">
      <c r="A163" s="11" t="str">
        <f aca="false">Apontamentos!C163</f>
        <v/>
      </c>
      <c r="B163" s="11" t="str">
        <f aca="false">IF(Apontamentos!$C163="","",Apontamentos!D163&amp;"")</f>
        <v/>
      </c>
      <c r="C163" s="11" t="str">
        <f aca="false">IF(Apontamentos!$C163="","",Apontamentos!E163&amp;"")</f>
        <v/>
      </c>
      <c r="D163" s="10" t="str">
        <f aca="false">IF(Apontamentos!$C163="","",Apontamentos!F163&amp;"")</f>
        <v/>
      </c>
      <c r="E163" s="10" t="str">
        <f aca="false">IF(Apontamentos!$C163="","",Apontamentos!G163&amp;"")</f>
        <v/>
      </c>
      <c r="F163" s="14"/>
      <c r="G163" s="14"/>
      <c r="H163" s="14"/>
      <c r="I163" s="14"/>
      <c r="J163" s="13"/>
      <c r="K163" s="13"/>
    </row>
    <row r="164" customFormat="false" ht="15" hidden="false" customHeight="false" outlineLevel="0" collapsed="false">
      <c r="A164" s="11" t="str">
        <f aca="false">Apontamentos!C164</f>
        <v/>
      </c>
      <c r="B164" s="11" t="str">
        <f aca="false">IF(Apontamentos!$C164="","",Apontamentos!D164&amp;"")</f>
        <v/>
      </c>
      <c r="C164" s="11" t="str">
        <f aca="false">IF(Apontamentos!$C164="","",Apontamentos!E164&amp;"")</f>
        <v/>
      </c>
      <c r="D164" s="10" t="str">
        <f aca="false">IF(Apontamentos!$C164="","",Apontamentos!F164&amp;"")</f>
        <v/>
      </c>
      <c r="E164" s="10" t="str">
        <f aca="false">IF(Apontamentos!$C164="","",Apontamentos!G164&amp;"")</f>
        <v/>
      </c>
      <c r="F164" s="14"/>
      <c r="G164" s="14"/>
      <c r="H164" s="14"/>
      <c r="I164" s="14"/>
      <c r="J164" s="13"/>
      <c r="K164" s="13"/>
    </row>
    <row r="165" customFormat="false" ht="15" hidden="false" customHeight="false" outlineLevel="0" collapsed="false">
      <c r="A165" s="11" t="str">
        <f aca="false">Apontamentos!C165</f>
        <v/>
      </c>
      <c r="B165" s="11" t="str">
        <f aca="false">IF(Apontamentos!$C165="","",Apontamentos!D165&amp;"")</f>
        <v/>
      </c>
      <c r="C165" s="11" t="str">
        <f aca="false">IF(Apontamentos!$C165="","",Apontamentos!E165&amp;"")</f>
        <v/>
      </c>
      <c r="D165" s="10" t="str">
        <f aca="false">IF(Apontamentos!$C165="","",Apontamentos!F165&amp;"")</f>
        <v/>
      </c>
      <c r="E165" s="10" t="str">
        <f aca="false">IF(Apontamentos!$C165="","",Apontamentos!G165&amp;"")</f>
        <v/>
      </c>
      <c r="F165" s="14"/>
      <c r="G165" s="14"/>
      <c r="H165" s="14"/>
      <c r="I165" s="14"/>
      <c r="J165" s="13"/>
      <c r="K165" s="13"/>
    </row>
    <row r="166" customFormat="false" ht="15" hidden="false" customHeight="false" outlineLevel="0" collapsed="false">
      <c r="A166" s="11" t="str">
        <f aca="false">Apontamentos!C166</f>
        <v/>
      </c>
      <c r="B166" s="11" t="str">
        <f aca="false">IF(Apontamentos!$C166="","",Apontamentos!D166&amp;"")</f>
        <v/>
      </c>
      <c r="C166" s="11" t="str">
        <f aca="false">IF(Apontamentos!$C166="","",Apontamentos!E166&amp;"")</f>
        <v/>
      </c>
      <c r="D166" s="10" t="str">
        <f aca="false">IF(Apontamentos!$C166="","",Apontamentos!F166&amp;"")</f>
        <v/>
      </c>
      <c r="E166" s="10" t="str">
        <f aca="false">IF(Apontamentos!$C166="","",Apontamentos!G166&amp;"")</f>
        <v/>
      </c>
      <c r="F166" s="14"/>
      <c r="G166" s="14"/>
      <c r="H166" s="14"/>
      <c r="I166" s="14"/>
      <c r="J166" s="13"/>
      <c r="K166" s="13"/>
    </row>
    <row r="167" customFormat="false" ht="15" hidden="false" customHeight="false" outlineLevel="0" collapsed="false">
      <c r="A167" s="11" t="str">
        <f aca="false">Apontamentos!C167</f>
        <v/>
      </c>
      <c r="B167" s="11" t="str">
        <f aca="false">IF(Apontamentos!$C167="","",Apontamentos!D167&amp;"")</f>
        <v/>
      </c>
      <c r="C167" s="11" t="str">
        <f aca="false">IF(Apontamentos!$C167="","",Apontamentos!E167&amp;"")</f>
        <v/>
      </c>
      <c r="D167" s="10" t="str">
        <f aca="false">IF(Apontamentos!$C167="","",Apontamentos!F167&amp;"")</f>
        <v/>
      </c>
      <c r="E167" s="10" t="str">
        <f aca="false">IF(Apontamentos!$C167="","",Apontamentos!G167&amp;"")</f>
        <v/>
      </c>
      <c r="F167" s="14"/>
      <c r="G167" s="14"/>
      <c r="H167" s="14"/>
      <c r="I167" s="14"/>
      <c r="J167" s="13"/>
      <c r="K167" s="13"/>
    </row>
    <row r="168" customFormat="false" ht="15" hidden="false" customHeight="false" outlineLevel="0" collapsed="false">
      <c r="A168" s="11" t="str">
        <f aca="false">Apontamentos!C168</f>
        <v/>
      </c>
      <c r="B168" s="11" t="str">
        <f aca="false">IF(Apontamentos!$C168="","",Apontamentos!D168&amp;"")</f>
        <v/>
      </c>
      <c r="C168" s="11" t="str">
        <f aca="false">IF(Apontamentos!$C168="","",Apontamentos!E168&amp;"")</f>
        <v/>
      </c>
      <c r="D168" s="10" t="str">
        <f aca="false">IF(Apontamentos!$C168="","",Apontamentos!F168&amp;"")</f>
        <v/>
      </c>
      <c r="E168" s="10" t="str">
        <f aca="false">IF(Apontamentos!$C168="","",Apontamentos!G168&amp;"")</f>
        <v/>
      </c>
      <c r="F168" s="14"/>
      <c r="G168" s="14"/>
      <c r="H168" s="14"/>
      <c r="I168" s="14"/>
      <c r="J168" s="13"/>
      <c r="K168" s="13"/>
    </row>
    <row r="169" customFormat="false" ht="15" hidden="false" customHeight="false" outlineLevel="0" collapsed="false">
      <c r="A169" s="11" t="str">
        <f aca="false">Apontamentos!C169</f>
        <v/>
      </c>
      <c r="B169" s="11" t="str">
        <f aca="false">IF(Apontamentos!$C169="","",Apontamentos!D169&amp;"")</f>
        <v/>
      </c>
      <c r="C169" s="11" t="str">
        <f aca="false">IF(Apontamentos!$C169="","",Apontamentos!E169&amp;"")</f>
        <v/>
      </c>
      <c r="D169" s="10" t="str">
        <f aca="false">IF(Apontamentos!$C169="","",Apontamentos!F169&amp;"")</f>
        <v/>
      </c>
      <c r="E169" s="10" t="str">
        <f aca="false">IF(Apontamentos!$C169="","",Apontamentos!G169&amp;"")</f>
        <v/>
      </c>
      <c r="F169" s="14"/>
      <c r="G169" s="14"/>
      <c r="H169" s="14"/>
      <c r="I169" s="14"/>
      <c r="J169" s="13"/>
      <c r="K169" s="13"/>
    </row>
    <row r="170" customFormat="false" ht="15" hidden="false" customHeight="false" outlineLevel="0" collapsed="false">
      <c r="A170" s="11" t="str">
        <f aca="false">Apontamentos!C170</f>
        <v/>
      </c>
      <c r="B170" s="11" t="str">
        <f aca="false">IF(Apontamentos!$C170="","",Apontamentos!D170&amp;"")</f>
        <v/>
      </c>
      <c r="C170" s="11" t="str">
        <f aca="false">IF(Apontamentos!$C170="","",Apontamentos!E170&amp;"")</f>
        <v/>
      </c>
      <c r="D170" s="10" t="str">
        <f aca="false">IF(Apontamentos!$C170="","",Apontamentos!F170&amp;"")</f>
        <v/>
      </c>
      <c r="E170" s="10" t="str">
        <f aca="false">IF(Apontamentos!$C170="","",Apontamentos!G170&amp;"")</f>
        <v/>
      </c>
      <c r="F170" s="14"/>
      <c r="G170" s="14"/>
      <c r="H170" s="14"/>
      <c r="I170" s="14"/>
      <c r="J170" s="13"/>
      <c r="K170" s="13"/>
    </row>
    <row r="171" customFormat="false" ht="15" hidden="false" customHeight="false" outlineLevel="0" collapsed="false">
      <c r="A171" s="11" t="str">
        <f aca="false">Apontamentos!C171</f>
        <v/>
      </c>
      <c r="B171" s="11" t="str">
        <f aca="false">IF(Apontamentos!$C171="","",Apontamentos!D171&amp;"")</f>
        <v/>
      </c>
      <c r="C171" s="11" t="str">
        <f aca="false">IF(Apontamentos!$C171="","",Apontamentos!E171&amp;"")</f>
        <v/>
      </c>
      <c r="D171" s="10" t="str">
        <f aca="false">IF(Apontamentos!$C171="","",Apontamentos!F171&amp;"")</f>
        <v/>
      </c>
      <c r="E171" s="10" t="str">
        <f aca="false">IF(Apontamentos!$C171="","",Apontamentos!G171&amp;"")</f>
        <v/>
      </c>
      <c r="F171" s="14"/>
      <c r="G171" s="14"/>
      <c r="H171" s="14"/>
      <c r="I171" s="14"/>
      <c r="J171" s="13"/>
      <c r="K171" s="13"/>
    </row>
    <row r="172" customFormat="false" ht="15" hidden="false" customHeight="false" outlineLevel="0" collapsed="false">
      <c r="A172" s="11" t="str">
        <f aca="false">Apontamentos!C172</f>
        <v/>
      </c>
      <c r="B172" s="11" t="str">
        <f aca="false">IF(Apontamentos!$C172="","",Apontamentos!D172&amp;"")</f>
        <v/>
      </c>
      <c r="C172" s="11" t="str">
        <f aca="false">IF(Apontamentos!$C172="","",Apontamentos!E172&amp;"")</f>
        <v/>
      </c>
      <c r="D172" s="10" t="str">
        <f aca="false">IF(Apontamentos!$C172="","",Apontamentos!F172&amp;"")</f>
        <v/>
      </c>
      <c r="E172" s="10" t="str">
        <f aca="false">IF(Apontamentos!$C172="","",Apontamentos!G172&amp;"")</f>
        <v/>
      </c>
      <c r="F172" s="14"/>
      <c r="G172" s="14"/>
      <c r="H172" s="14"/>
      <c r="I172" s="14"/>
      <c r="J172" s="13"/>
      <c r="K172" s="13"/>
    </row>
    <row r="173" customFormat="false" ht="15" hidden="false" customHeight="false" outlineLevel="0" collapsed="false">
      <c r="A173" s="11" t="str">
        <f aca="false">Apontamentos!C173</f>
        <v/>
      </c>
      <c r="B173" s="11" t="str">
        <f aca="false">IF(Apontamentos!$C173="","",Apontamentos!D173&amp;"")</f>
        <v/>
      </c>
      <c r="C173" s="11" t="str">
        <f aca="false">IF(Apontamentos!$C173="","",Apontamentos!E173&amp;"")</f>
        <v/>
      </c>
      <c r="D173" s="10" t="str">
        <f aca="false">IF(Apontamentos!$C173="","",Apontamentos!F173&amp;"")</f>
        <v/>
      </c>
      <c r="E173" s="10" t="str">
        <f aca="false">IF(Apontamentos!$C173="","",Apontamentos!G173&amp;"")</f>
        <v/>
      </c>
      <c r="F173" s="14"/>
      <c r="G173" s="14"/>
      <c r="H173" s="14"/>
      <c r="I173" s="14"/>
      <c r="J173" s="13"/>
      <c r="K173" s="13"/>
    </row>
    <row r="174" customFormat="false" ht="15" hidden="false" customHeight="false" outlineLevel="0" collapsed="false">
      <c r="A174" s="11" t="str">
        <f aca="false">Apontamentos!C174</f>
        <v/>
      </c>
      <c r="B174" s="11" t="str">
        <f aca="false">IF(Apontamentos!$C174="","",Apontamentos!D174&amp;"")</f>
        <v/>
      </c>
      <c r="C174" s="11" t="str">
        <f aca="false">IF(Apontamentos!$C174="","",Apontamentos!E174&amp;"")</f>
        <v/>
      </c>
      <c r="D174" s="10" t="str">
        <f aca="false">IF(Apontamentos!$C174="","",Apontamentos!F174&amp;"")</f>
        <v/>
      </c>
      <c r="E174" s="10" t="str">
        <f aca="false">IF(Apontamentos!$C174="","",Apontamentos!G174&amp;"")</f>
        <v/>
      </c>
      <c r="F174" s="14"/>
      <c r="G174" s="14"/>
      <c r="H174" s="14"/>
      <c r="I174" s="14"/>
      <c r="J174" s="13"/>
      <c r="K174" s="13"/>
    </row>
    <row r="175" customFormat="false" ht="15" hidden="false" customHeight="false" outlineLevel="0" collapsed="false">
      <c r="A175" s="11" t="str">
        <f aca="false">Apontamentos!C175</f>
        <v/>
      </c>
      <c r="B175" s="11" t="str">
        <f aca="false">IF(Apontamentos!$C175="","",Apontamentos!D175&amp;"")</f>
        <v/>
      </c>
      <c r="C175" s="11" t="str">
        <f aca="false">IF(Apontamentos!$C175="","",Apontamentos!E175&amp;"")</f>
        <v/>
      </c>
      <c r="D175" s="10" t="str">
        <f aca="false">IF(Apontamentos!$C175="","",Apontamentos!F175&amp;"")</f>
        <v/>
      </c>
      <c r="E175" s="10" t="str">
        <f aca="false">IF(Apontamentos!$C175="","",Apontamentos!G175&amp;"")</f>
        <v/>
      </c>
      <c r="F175" s="14"/>
      <c r="G175" s="14"/>
      <c r="H175" s="14"/>
      <c r="I175" s="14"/>
      <c r="J175" s="13"/>
      <c r="K175" s="13"/>
    </row>
    <row r="176" customFormat="false" ht="15" hidden="false" customHeight="false" outlineLevel="0" collapsed="false">
      <c r="A176" s="11" t="str">
        <f aca="false">Apontamentos!C176</f>
        <v/>
      </c>
      <c r="B176" s="11" t="str">
        <f aca="false">IF(Apontamentos!$C176="","",Apontamentos!D176&amp;"")</f>
        <v/>
      </c>
      <c r="C176" s="11" t="str">
        <f aca="false">IF(Apontamentos!$C176="","",Apontamentos!E176&amp;"")</f>
        <v/>
      </c>
      <c r="D176" s="10" t="str">
        <f aca="false">IF(Apontamentos!$C176="","",Apontamentos!F176&amp;"")</f>
        <v/>
      </c>
      <c r="E176" s="10" t="str">
        <f aca="false">IF(Apontamentos!$C176="","",Apontamentos!G176&amp;"")</f>
        <v/>
      </c>
      <c r="F176" s="14"/>
      <c r="G176" s="14"/>
      <c r="H176" s="14"/>
      <c r="I176" s="14"/>
      <c r="J176" s="13"/>
      <c r="K176" s="13"/>
    </row>
    <row r="177" customFormat="false" ht="15" hidden="false" customHeight="false" outlineLevel="0" collapsed="false">
      <c r="A177" s="11" t="str">
        <f aca="false">Apontamentos!C177</f>
        <v/>
      </c>
      <c r="B177" s="11" t="str">
        <f aca="false">IF(Apontamentos!$C177="","",Apontamentos!D177&amp;"")</f>
        <v/>
      </c>
      <c r="C177" s="11" t="str">
        <f aca="false">IF(Apontamentos!$C177="","",Apontamentos!E177&amp;"")</f>
        <v/>
      </c>
      <c r="D177" s="10" t="str">
        <f aca="false">IF(Apontamentos!$C177="","",Apontamentos!F177&amp;"")</f>
        <v/>
      </c>
      <c r="E177" s="10" t="str">
        <f aca="false">IF(Apontamentos!$C177="","",Apontamentos!G177&amp;"")</f>
        <v/>
      </c>
      <c r="F177" s="14"/>
      <c r="G177" s="14"/>
      <c r="H177" s="14"/>
      <c r="I177" s="14"/>
      <c r="J177" s="13"/>
      <c r="K177" s="13"/>
    </row>
    <row r="178" customFormat="false" ht="15" hidden="false" customHeight="false" outlineLevel="0" collapsed="false">
      <c r="A178" s="11" t="str">
        <f aca="false">Apontamentos!C178</f>
        <v/>
      </c>
      <c r="B178" s="11" t="str">
        <f aca="false">IF(Apontamentos!$C178="","",Apontamentos!D178&amp;"")</f>
        <v/>
      </c>
      <c r="C178" s="11" t="str">
        <f aca="false">IF(Apontamentos!$C178="","",Apontamentos!E178&amp;"")</f>
        <v/>
      </c>
      <c r="D178" s="10" t="str">
        <f aca="false">IF(Apontamentos!$C178="","",Apontamentos!F178&amp;"")</f>
        <v/>
      </c>
      <c r="E178" s="10" t="str">
        <f aca="false">IF(Apontamentos!$C178="","",Apontamentos!G178&amp;"")</f>
        <v/>
      </c>
      <c r="F178" s="14"/>
      <c r="G178" s="14"/>
      <c r="H178" s="14"/>
      <c r="I178" s="14"/>
      <c r="J178" s="13"/>
      <c r="K178" s="13"/>
    </row>
    <row r="179" customFormat="false" ht="15" hidden="false" customHeight="false" outlineLevel="0" collapsed="false">
      <c r="A179" s="11" t="str">
        <f aca="false">Apontamentos!C179</f>
        <v/>
      </c>
      <c r="B179" s="11" t="str">
        <f aca="false">IF(Apontamentos!$C179="","",Apontamentos!D179&amp;"")</f>
        <v/>
      </c>
      <c r="C179" s="11" t="str">
        <f aca="false">IF(Apontamentos!$C179="","",Apontamentos!E179&amp;"")</f>
        <v/>
      </c>
      <c r="D179" s="10" t="str">
        <f aca="false">IF(Apontamentos!$C179="","",Apontamentos!F179&amp;"")</f>
        <v/>
      </c>
      <c r="E179" s="10" t="str">
        <f aca="false">IF(Apontamentos!$C179="","",Apontamentos!G179&amp;"")</f>
        <v/>
      </c>
      <c r="F179" s="14"/>
      <c r="G179" s="14"/>
      <c r="H179" s="14"/>
      <c r="I179" s="14"/>
      <c r="J179" s="13"/>
      <c r="K179" s="13"/>
    </row>
    <row r="180" customFormat="false" ht="15" hidden="false" customHeight="false" outlineLevel="0" collapsed="false">
      <c r="A180" s="11" t="str">
        <f aca="false">Apontamentos!C180</f>
        <v/>
      </c>
      <c r="B180" s="11" t="str">
        <f aca="false">IF(Apontamentos!$C180="","",Apontamentos!D180&amp;"")</f>
        <v/>
      </c>
      <c r="C180" s="11" t="str">
        <f aca="false">IF(Apontamentos!$C180="","",Apontamentos!E180&amp;"")</f>
        <v/>
      </c>
      <c r="D180" s="10" t="str">
        <f aca="false">IF(Apontamentos!$C180="","",Apontamentos!F180&amp;"")</f>
        <v/>
      </c>
      <c r="E180" s="10" t="str">
        <f aca="false">IF(Apontamentos!$C180="","",Apontamentos!G180&amp;"")</f>
        <v/>
      </c>
      <c r="F180" s="14"/>
      <c r="G180" s="14"/>
      <c r="H180" s="14"/>
      <c r="I180" s="14"/>
      <c r="J180" s="13"/>
      <c r="K180" s="13"/>
    </row>
    <row r="181" customFormat="false" ht="15" hidden="false" customHeight="false" outlineLevel="0" collapsed="false">
      <c r="A181" s="11" t="str">
        <f aca="false">Apontamentos!C181</f>
        <v/>
      </c>
      <c r="B181" s="11" t="str">
        <f aca="false">IF(Apontamentos!$C181="","",Apontamentos!D181&amp;"")</f>
        <v/>
      </c>
      <c r="C181" s="11" t="str">
        <f aca="false">IF(Apontamentos!$C181="","",Apontamentos!E181&amp;"")</f>
        <v/>
      </c>
      <c r="D181" s="10" t="str">
        <f aca="false">IF(Apontamentos!$C181="","",Apontamentos!F181&amp;"")</f>
        <v/>
      </c>
      <c r="E181" s="10" t="str">
        <f aca="false">IF(Apontamentos!$C181="","",Apontamentos!G181&amp;"")</f>
        <v/>
      </c>
      <c r="F181" s="14"/>
      <c r="G181" s="14"/>
      <c r="H181" s="14"/>
      <c r="I181" s="14"/>
      <c r="J181" s="13"/>
      <c r="K181" s="13"/>
    </row>
    <row r="182" customFormat="false" ht="15" hidden="false" customHeight="false" outlineLevel="0" collapsed="false">
      <c r="A182" s="11" t="str">
        <f aca="false">Apontamentos!C182</f>
        <v/>
      </c>
      <c r="B182" s="11" t="str">
        <f aca="false">IF(Apontamentos!$C182="","",Apontamentos!D182&amp;"")</f>
        <v/>
      </c>
      <c r="C182" s="11" t="str">
        <f aca="false">IF(Apontamentos!$C182="","",Apontamentos!E182&amp;"")</f>
        <v/>
      </c>
      <c r="D182" s="10" t="str">
        <f aca="false">IF(Apontamentos!$C182="","",Apontamentos!F182&amp;"")</f>
        <v/>
      </c>
      <c r="E182" s="10" t="str">
        <f aca="false">IF(Apontamentos!$C182="","",Apontamentos!G182&amp;"")</f>
        <v/>
      </c>
      <c r="F182" s="14"/>
      <c r="G182" s="14"/>
      <c r="H182" s="14"/>
      <c r="I182" s="14"/>
      <c r="J182" s="13"/>
      <c r="K182" s="13"/>
    </row>
    <row r="183" customFormat="false" ht="15" hidden="false" customHeight="false" outlineLevel="0" collapsed="false">
      <c r="A183" s="11" t="str">
        <f aca="false">Apontamentos!C183</f>
        <v/>
      </c>
      <c r="B183" s="11" t="str">
        <f aca="false">IF(Apontamentos!$C183="","",Apontamentos!D183&amp;"")</f>
        <v/>
      </c>
      <c r="C183" s="11" t="str">
        <f aca="false">IF(Apontamentos!$C183="","",Apontamentos!E183&amp;"")</f>
        <v/>
      </c>
      <c r="D183" s="10" t="str">
        <f aca="false">IF(Apontamentos!$C183="","",Apontamentos!F183&amp;"")</f>
        <v/>
      </c>
      <c r="E183" s="10" t="str">
        <f aca="false">IF(Apontamentos!$C183="","",Apontamentos!G183&amp;"")</f>
        <v/>
      </c>
      <c r="F183" s="14"/>
      <c r="G183" s="14"/>
      <c r="H183" s="14"/>
      <c r="I183" s="14"/>
      <c r="J183" s="13"/>
      <c r="K183" s="13"/>
    </row>
    <row r="184" customFormat="false" ht="15" hidden="false" customHeight="false" outlineLevel="0" collapsed="false">
      <c r="A184" s="11" t="str">
        <f aca="false">Apontamentos!C184</f>
        <v/>
      </c>
      <c r="B184" s="11" t="str">
        <f aca="false">IF(Apontamentos!$C184="","",Apontamentos!D184&amp;"")</f>
        <v/>
      </c>
      <c r="C184" s="11" t="str">
        <f aca="false">IF(Apontamentos!$C184="","",Apontamentos!E184&amp;"")</f>
        <v/>
      </c>
      <c r="D184" s="10" t="str">
        <f aca="false">IF(Apontamentos!$C184="","",Apontamentos!F184&amp;"")</f>
        <v/>
      </c>
      <c r="E184" s="10" t="str">
        <f aca="false">IF(Apontamentos!$C184="","",Apontamentos!G184&amp;"")</f>
        <v/>
      </c>
      <c r="F184" s="14"/>
      <c r="G184" s="14"/>
      <c r="H184" s="14"/>
      <c r="I184" s="14"/>
      <c r="J184" s="13"/>
      <c r="K184" s="13"/>
    </row>
    <row r="185" customFormat="false" ht="15" hidden="false" customHeight="false" outlineLevel="0" collapsed="false">
      <c r="A185" s="11" t="str">
        <f aca="false">Apontamentos!C185</f>
        <v/>
      </c>
      <c r="B185" s="11" t="str">
        <f aca="false">IF(Apontamentos!$C185="","",Apontamentos!D185&amp;"")</f>
        <v/>
      </c>
      <c r="C185" s="11" t="str">
        <f aca="false">IF(Apontamentos!$C185="","",Apontamentos!E185&amp;"")</f>
        <v/>
      </c>
      <c r="D185" s="10" t="str">
        <f aca="false">IF(Apontamentos!$C185="","",Apontamentos!F185&amp;"")</f>
        <v/>
      </c>
      <c r="E185" s="10" t="str">
        <f aca="false">IF(Apontamentos!$C185="","",Apontamentos!G185&amp;"")</f>
        <v/>
      </c>
      <c r="F185" s="14"/>
      <c r="G185" s="14"/>
      <c r="H185" s="14"/>
      <c r="I185" s="14"/>
      <c r="J185" s="13"/>
      <c r="K185" s="13"/>
    </row>
    <row r="186" customFormat="false" ht="15" hidden="false" customHeight="false" outlineLevel="0" collapsed="false">
      <c r="A186" s="11" t="str">
        <f aca="false">Apontamentos!C186</f>
        <v/>
      </c>
      <c r="B186" s="11" t="str">
        <f aca="false">IF(Apontamentos!$C186="","",Apontamentos!D186&amp;"")</f>
        <v/>
      </c>
      <c r="C186" s="11" t="str">
        <f aca="false">IF(Apontamentos!$C186="","",Apontamentos!E186&amp;"")</f>
        <v/>
      </c>
      <c r="D186" s="10" t="str">
        <f aca="false">IF(Apontamentos!$C186="","",Apontamentos!F186&amp;"")</f>
        <v/>
      </c>
      <c r="E186" s="10" t="str">
        <f aca="false">IF(Apontamentos!$C186="","",Apontamentos!G186&amp;"")</f>
        <v/>
      </c>
      <c r="F186" s="14"/>
      <c r="G186" s="14"/>
      <c r="H186" s="14"/>
      <c r="I186" s="14"/>
      <c r="J186" s="13"/>
      <c r="K186" s="13"/>
    </row>
    <row r="187" customFormat="false" ht="15" hidden="false" customHeight="false" outlineLevel="0" collapsed="false">
      <c r="A187" s="11" t="str">
        <f aca="false">Apontamentos!C187</f>
        <v/>
      </c>
      <c r="B187" s="11" t="str">
        <f aca="false">IF(Apontamentos!$C187="","",Apontamentos!D187&amp;"")</f>
        <v/>
      </c>
      <c r="C187" s="11" t="str">
        <f aca="false">IF(Apontamentos!$C187="","",Apontamentos!E187&amp;"")</f>
        <v/>
      </c>
      <c r="D187" s="10" t="str">
        <f aca="false">IF(Apontamentos!$C187="","",Apontamentos!F187&amp;"")</f>
        <v/>
      </c>
      <c r="E187" s="10" t="str">
        <f aca="false">IF(Apontamentos!$C187="","",Apontamentos!G187&amp;"")</f>
        <v/>
      </c>
      <c r="F187" s="14"/>
      <c r="G187" s="14"/>
      <c r="H187" s="14"/>
      <c r="I187" s="14"/>
      <c r="J187" s="13"/>
      <c r="K187" s="13"/>
    </row>
    <row r="188" customFormat="false" ht="15" hidden="false" customHeight="false" outlineLevel="0" collapsed="false">
      <c r="A188" s="11" t="str">
        <f aca="false">Apontamentos!C188</f>
        <v/>
      </c>
      <c r="B188" s="11" t="str">
        <f aca="false">IF(Apontamentos!$C188="","",Apontamentos!D188&amp;"")</f>
        <v/>
      </c>
      <c r="C188" s="11" t="str">
        <f aca="false">IF(Apontamentos!$C188="","",Apontamentos!E188&amp;"")</f>
        <v/>
      </c>
      <c r="D188" s="10" t="str">
        <f aca="false">IF(Apontamentos!$C188="","",Apontamentos!F188&amp;"")</f>
        <v/>
      </c>
      <c r="E188" s="10" t="str">
        <f aca="false">IF(Apontamentos!$C188="","",Apontamentos!G188&amp;"")</f>
        <v/>
      </c>
      <c r="F188" s="14"/>
      <c r="G188" s="14"/>
      <c r="H188" s="14"/>
      <c r="I188" s="14"/>
      <c r="J188" s="13"/>
      <c r="K188" s="13"/>
    </row>
    <row r="189" customFormat="false" ht="15" hidden="false" customHeight="false" outlineLevel="0" collapsed="false">
      <c r="A189" s="11" t="str">
        <f aca="false">Apontamentos!C189</f>
        <v/>
      </c>
      <c r="B189" s="11" t="str">
        <f aca="false">IF(Apontamentos!$C189="","",Apontamentos!D189&amp;"")</f>
        <v/>
      </c>
      <c r="C189" s="11" t="str">
        <f aca="false">IF(Apontamentos!$C189="","",Apontamentos!E189&amp;"")</f>
        <v/>
      </c>
      <c r="D189" s="10" t="str">
        <f aca="false">IF(Apontamentos!$C189="","",Apontamentos!F189&amp;"")</f>
        <v/>
      </c>
      <c r="E189" s="10" t="str">
        <f aca="false">IF(Apontamentos!$C189="","",Apontamentos!G189&amp;"")</f>
        <v/>
      </c>
      <c r="F189" s="14"/>
      <c r="G189" s="14"/>
      <c r="H189" s="14"/>
      <c r="I189" s="14"/>
      <c r="J189" s="13"/>
      <c r="K189" s="13"/>
    </row>
    <row r="190" customFormat="false" ht="15" hidden="false" customHeight="false" outlineLevel="0" collapsed="false">
      <c r="A190" s="11" t="str">
        <f aca="false">Apontamentos!C190</f>
        <v/>
      </c>
      <c r="B190" s="11" t="str">
        <f aca="false">IF(Apontamentos!$C190="","",Apontamentos!D190&amp;"")</f>
        <v/>
      </c>
      <c r="C190" s="11" t="str">
        <f aca="false">IF(Apontamentos!$C190="","",Apontamentos!E190&amp;"")</f>
        <v/>
      </c>
      <c r="D190" s="10" t="str">
        <f aca="false">IF(Apontamentos!$C190="","",Apontamentos!F190&amp;"")</f>
        <v/>
      </c>
      <c r="E190" s="10" t="str">
        <f aca="false">IF(Apontamentos!$C190="","",Apontamentos!G190&amp;"")</f>
        <v/>
      </c>
      <c r="F190" s="14"/>
      <c r="G190" s="14"/>
      <c r="H190" s="14"/>
      <c r="I190" s="14"/>
      <c r="J190" s="13"/>
      <c r="K190" s="13"/>
    </row>
    <row r="191" customFormat="false" ht="15" hidden="false" customHeight="false" outlineLevel="0" collapsed="false">
      <c r="A191" s="11" t="str">
        <f aca="false">Apontamentos!C191</f>
        <v/>
      </c>
      <c r="B191" s="11" t="str">
        <f aca="false">IF(Apontamentos!$C191="","",Apontamentos!D191&amp;"")</f>
        <v/>
      </c>
      <c r="C191" s="11" t="str">
        <f aca="false">IF(Apontamentos!$C191="","",Apontamentos!E191&amp;"")</f>
        <v/>
      </c>
      <c r="D191" s="10" t="str">
        <f aca="false">IF(Apontamentos!$C191="","",Apontamentos!F191&amp;"")</f>
        <v/>
      </c>
      <c r="E191" s="10" t="str">
        <f aca="false">IF(Apontamentos!$C191="","",Apontamentos!G191&amp;"")</f>
        <v/>
      </c>
      <c r="F191" s="14"/>
      <c r="G191" s="14"/>
      <c r="H191" s="14"/>
      <c r="I191" s="14"/>
      <c r="J191" s="13"/>
      <c r="K191" s="13"/>
    </row>
    <row r="192" customFormat="false" ht="15" hidden="false" customHeight="false" outlineLevel="0" collapsed="false">
      <c r="A192" s="11" t="str">
        <f aca="false">Apontamentos!C192</f>
        <v/>
      </c>
      <c r="B192" s="11" t="str">
        <f aca="false">IF(Apontamentos!$C192="","",Apontamentos!D192&amp;"")</f>
        <v/>
      </c>
      <c r="C192" s="11" t="str">
        <f aca="false">IF(Apontamentos!$C192="","",Apontamentos!E192&amp;"")</f>
        <v/>
      </c>
      <c r="D192" s="10" t="str">
        <f aca="false">IF(Apontamentos!$C192="","",Apontamentos!F192&amp;"")</f>
        <v/>
      </c>
      <c r="E192" s="10" t="str">
        <f aca="false">IF(Apontamentos!$C192="","",Apontamentos!G192&amp;"")</f>
        <v/>
      </c>
      <c r="F192" s="14"/>
      <c r="G192" s="14"/>
      <c r="H192" s="14"/>
      <c r="I192" s="14"/>
      <c r="J192" s="13"/>
      <c r="K192" s="13"/>
    </row>
    <row r="193" customFormat="false" ht="15" hidden="false" customHeight="false" outlineLevel="0" collapsed="false">
      <c r="A193" s="11" t="str">
        <f aca="false">Apontamentos!C193</f>
        <v/>
      </c>
      <c r="B193" s="11" t="str">
        <f aca="false">IF(Apontamentos!$C193="","",Apontamentos!D193&amp;"")</f>
        <v/>
      </c>
      <c r="C193" s="11" t="str">
        <f aca="false">IF(Apontamentos!$C193="","",Apontamentos!E193&amp;"")</f>
        <v/>
      </c>
      <c r="D193" s="10" t="str">
        <f aca="false">IF(Apontamentos!$C193="","",Apontamentos!F193&amp;"")</f>
        <v/>
      </c>
      <c r="E193" s="10" t="str">
        <f aca="false">IF(Apontamentos!$C193="","",Apontamentos!G193&amp;"")</f>
        <v/>
      </c>
      <c r="F193" s="14"/>
      <c r="G193" s="14"/>
      <c r="H193" s="14"/>
      <c r="I193" s="14"/>
      <c r="J193" s="13"/>
      <c r="K193" s="13"/>
    </row>
    <row r="194" customFormat="false" ht="15" hidden="false" customHeight="false" outlineLevel="0" collapsed="false">
      <c r="A194" s="11" t="str">
        <f aca="false">Apontamentos!C194</f>
        <v/>
      </c>
      <c r="B194" s="11" t="str">
        <f aca="false">IF(Apontamentos!$C194="","",Apontamentos!D194&amp;"")</f>
        <v/>
      </c>
      <c r="C194" s="11" t="str">
        <f aca="false">IF(Apontamentos!$C194="","",Apontamentos!E194&amp;"")</f>
        <v/>
      </c>
      <c r="D194" s="10" t="str">
        <f aca="false">IF(Apontamentos!$C194="","",Apontamentos!F194&amp;"")</f>
        <v/>
      </c>
      <c r="E194" s="10" t="str">
        <f aca="false">IF(Apontamentos!$C194="","",Apontamentos!G194&amp;"")</f>
        <v/>
      </c>
      <c r="F194" s="14"/>
      <c r="G194" s="14"/>
      <c r="H194" s="14"/>
      <c r="I194" s="14"/>
      <c r="J194" s="13"/>
      <c r="K194" s="13"/>
    </row>
    <row r="195" customFormat="false" ht="15" hidden="false" customHeight="false" outlineLevel="0" collapsed="false">
      <c r="A195" s="11" t="str">
        <f aca="false">Apontamentos!C195</f>
        <v/>
      </c>
      <c r="B195" s="11" t="str">
        <f aca="false">IF(Apontamentos!$C195="","",Apontamentos!D195&amp;"")</f>
        <v/>
      </c>
      <c r="C195" s="11" t="str">
        <f aca="false">IF(Apontamentos!$C195="","",Apontamentos!E195&amp;"")</f>
        <v/>
      </c>
      <c r="D195" s="10" t="str">
        <f aca="false">IF(Apontamentos!$C195="","",Apontamentos!F195&amp;"")</f>
        <v/>
      </c>
      <c r="E195" s="10" t="str">
        <f aca="false">IF(Apontamentos!$C195="","",Apontamentos!G195&amp;"")</f>
        <v/>
      </c>
      <c r="F195" s="14"/>
      <c r="G195" s="14"/>
      <c r="H195" s="14"/>
      <c r="I195" s="14"/>
      <c r="J195" s="13"/>
      <c r="K195" s="13"/>
    </row>
    <row r="196" customFormat="false" ht="15" hidden="false" customHeight="false" outlineLevel="0" collapsed="false">
      <c r="A196" s="11" t="str">
        <f aca="false">Apontamentos!C196</f>
        <v/>
      </c>
      <c r="B196" s="11" t="str">
        <f aca="false">IF(Apontamentos!$C196="","",Apontamentos!D196&amp;"")</f>
        <v/>
      </c>
      <c r="C196" s="11" t="str">
        <f aca="false">IF(Apontamentos!$C196="","",Apontamentos!E196&amp;"")</f>
        <v/>
      </c>
      <c r="D196" s="10" t="str">
        <f aca="false">IF(Apontamentos!$C196="","",Apontamentos!F196&amp;"")</f>
        <v/>
      </c>
      <c r="E196" s="10" t="str">
        <f aca="false">IF(Apontamentos!$C196="","",Apontamentos!G196&amp;"")</f>
        <v/>
      </c>
      <c r="F196" s="14"/>
      <c r="G196" s="14"/>
      <c r="H196" s="14"/>
      <c r="I196" s="14"/>
      <c r="J196" s="13"/>
      <c r="K196" s="13"/>
    </row>
    <row r="197" customFormat="false" ht="15" hidden="false" customHeight="false" outlineLevel="0" collapsed="false">
      <c r="A197" s="11" t="str">
        <f aca="false">Apontamentos!C197</f>
        <v/>
      </c>
      <c r="B197" s="11" t="str">
        <f aca="false">IF(Apontamentos!$C197="","",Apontamentos!D197&amp;"")</f>
        <v/>
      </c>
      <c r="C197" s="11" t="str">
        <f aca="false">IF(Apontamentos!$C197="","",Apontamentos!E197&amp;"")</f>
        <v/>
      </c>
      <c r="D197" s="10" t="str">
        <f aca="false">IF(Apontamentos!$C197="","",Apontamentos!F197&amp;"")</f>
        <v/>
      </c>
      <c r="E197" s="10" t="str">
        <f aca="false">IF(Apontamentos!$C197="","",Apontamentos!G197&amp;"")</f>
        <v/>
      </c>
      <c r="F197" s="14"/>
      <c r="G197" s="14"/>
      <c r="H197" s="14"/>
      <c r="I197" s="14"/>
      <c r="J197" s="13"/>
      <c r="K197" s="13"/>
    </row>
    <row r="198" customFormat="false" ht="15" hidden="false" customHeight="false" outlineLevel="0" collapsed="false">
      <c r="A198" s="11" t="str">
        <f aca="false">Apontamentos!C198</f>
        <v/>
      </c>
      <c r="B198" s="11" t="str">
        <f aca="false">IF(Apontamentos!$C198="","",Apontamentos!D198&amp;"")</f>
        <v/>
      </c>
      <c r="C198" s="11" t="str">
        <f aca="false">IF(Apontamentos!$C198="","",Apontamentos!E198&amp;"")</f>
        <v/>
      </c>
      <c r="D198" s="10" t="str">
        <f aca="false">IF(Apontamentos!$C198="","",Apontamentos!F198&amp;"")</f>
        <v/>
      </c>
      <c r="E198" s="10" t="str">
        <f aca="false">IF(Apontamentos!$C198="","",Apontamentos!G198&amp;"")</f>
        <v/>
      </c>
      <c r="F198" s="14"/>
      <c r="G198" s="14"/>
      <c r="H198" s="14"/>
      <c r="I198" s="14"/>
      <c r="J198" s="13"/>
      <c r="K198" s="13"/>
    </row>
    <row r="199" customFormat="false" ht="15" hidden="false" customHeight="false" outlineLevel="0" collapsed="false">
      <c r="A199" s="11" t="str">
        <f aca="false">Apontamentos!C199</f>
        <v/>
      </c>
      <c r="B199" s="11" t="str">
        <f aca="false">IF(Apontamentos!$C199="","",Apontamentos!D199&amp;"")</f>
        <v/>
      </c>
      <c r="C199" s="11" t="str">
        <f aca="false">IF(Apontamentos!$C199="","",Apontamentos!E199&amp;"")</f>
        <v/>
      </c>
      <c r="D199" s="10" t="str">
        <f aca="false">IF(Apontamentos!$C199="","",Apontamentos!F199&amp;"")</f>
        <v/>
      </c>
      <c r="E199" s="10" t="str">
        <f aca="false">IF(Apontamentos!$C199="","",Apontamentos!G199&amp;"")</f>
        <v/>
      </c>
      <c r="F199" s="14"/>
      <c r="G199" s="14"/>
      <c r="H199" s="14"/>
      <c r="I199" s="14"/>
      <c r="J199" s="13"/>
      <c r="K199" s="13"/>
    </row>
    <row r="200" customFormat="false" ht="15" hidden="false" customHeight="false" outlineLevel="0" collapsed="false">
      <c r="A200" s="11" t="str">
        <f aca="false">Apontamentos!C200</f>
        <v/>
      </c>
      <c r="B200" s="11" t="str">
        <f aca="false">IF(Apontamentos!$C200="","",Apontamentos!D200&amp;"")</f>
        <v/>
      </c>
      <c r="C200" s="11" t="str">
        <f aca="false">IF(Apontamentos!$C200="","",Apontamentos!E200&amp;"")</f>
        <v/>
      </c>
      <c r="D200" s="10" t="str">
        <f aca="false">IF(Apontamentos!$C200="","",Apontamentos!F200&amp;"")</f>
        <v/>
      </c>
      <c r="E200" s="10" t="str">
        <f aca="false">IF(Apontamentos!$C200="","",Apontamentos!G200&amp;"")</f>
        <v/>
      </c>
      <c r="F200" s="14"/>
      <c r="G200" s="14"/>
      <c r="H200" s="14"/>
      <c r="I200" s="14"/>
      <c r="J200" s="13"/>
      <c r="K200" s="13"/>
    </row>
    <row r="201" customFormat="false" ht="15" hidden="false" customHeight="false" outlineLevel="0" collapsed="false">
      <c r="A201" s="11" t="str">
        <f aca="false">Apontamentos!C201</f>
        <v/>
      </c>
      <c r="B201" s="11" t="str">
        <f aca="false">IF(Apontamentos!$C201="","",Apontamentos!D201&amp;"")</f>
        <v/>
      </c>
      <c r="C201" s="11" t="str">
        <f aca="false">IF(Apontamentos!$C201="","",Apontamentos!E201&amp;"")</f>
        <v/>
      </c>
      <c r="D201" s="10" t="str">
        <f aca="false">IF(Apontamentos!$C201="","",Apontamentos!F201&amp;"")</f>
        <v/>
      </c>
      <c r="E201" s="10" t="str">
        <f aca="false">IF(Apontamentos!$C201="","",Apontamentos!G201&amp;"")</f>
        <v/>
      </c>
      <c r="F201" s="14"/>
      <c r="G201" s="14"/>
      <c r="H201" s="14"/>
      <c r="I201" s="14"/>
      <c r="J201" s="13"/>
      <c r="K201" s="13"/>
    </row>
    <row r="202" customFormat="false" ht="15" hidden="false" customHeight="false" outlineLevel="0" collapsed="false">
      <c r="A202" s="11" t="str">
        <f aca="false">Apontamentos!C202</f>
        <v/>
      </c>
      <c r="B202" s="11" t="str">
        <f aca="false">IF(Apontamentos!$C202="","",Apontamentos!D202&amp;"")</f>
        <v/>
      </c>
      <c r="C202" s="11" t="str">
        <f aca="false">IF(Apontamentos!$C202="","",Apontamentos!E202&amp;"")</f>
        <v/>
      </c>
      <c r="D202" s="10" t="str">
        <f aca="false">IF(Apontamentos!$C202="","",Apontamentos!F202&amp;"")</f>
        <v/>
      </c>
      <c r="E202" s="10" t="str">
        <f aca="false">IF(Apontamentos!$C202="","",Apontamentos!G202&amp;"")</f>
        <v/>
      </c>
      <c r="F202" s="14"/>
      <c r="G202" s="14"/>
      <c r="H202" s="14"/>
      <c r="I202" s="14"/>
      <c r="J202" s="13"/>
      <c r="K202" s="13"/>
    </row>
    <row r="203" customFormat="false" ht="15" hidden="false" customHeight="false" outlineLevel="0" collapsed="false">
      <c r="A203" s="11" t="str">
        <f aca="false">Apontamentos!C203</f>
        <v/>
      </c>
      <c r="B203" s="11" t="str">
        <f aca="false">IF(Apontamentos!$C203="","",Apontamentos!D203&amp;"")</f>
        <v/>
      </c>
      <c r="C203" s="11" t="str">
        <f aca="false">IF(Apontamentos!$C203="","",Apontamentos!E203&amp;"")</f>
        <v/>
      </c>
      <c r="D203" s="10" t="str">
        <f aca="false">IF(Apontamentos!$C203="","",Apontamentos!F203&amp;"")</f>
        <v/>
      </c>
      <c r="E203" s="10" t="str">
        <f aca="false">IF(Apontamentos!$C203="","",Apontamentos!G203&amp;"")</f>
        <v/>
      </c>
      <c r="F203" s="14"/>
      <c r="G203" s="14"/>
      <c r="H203" s="14"/>
      <c r="I203" s="14"/>
      <c r="J203" s="13"/>
      <c r="K203" s="13"/>
    </row>
    <row r="204" customFormat="false" ht="15" hidden="false" customHeight="false" outlineLevel="0" collapsed="false">
      <c r="A204" s="11" t="str">
        <f aca="false">Apontamentos!C204</f>
        <v/>
      </c>
      <c r="B204" s="11" t="str">
        <f aca="false">IF(Apontamentos!$C204="","",Apontamentos!D204&amp;"")</f>
        <v/>
      </c>
      <c r="C204" s="11" t="str">
        <f aca="false">IF(Apontamentos!$C204="","",Apontamentos!E204&amp;"")</f>
        <v/>
      </c>
      <c r="D204" s="10" t="str">
        <f aca="false">IF(Apontamentos!$C204="","",Apontamentos!F204&amp;"")</f>
        <v/>
      </c>
      <c r="E204" s="10" t="str">
        <f aca="false">IF(Apontamentos!$C204="","",Apontamentos!G204&amp;"")</f>
        <v/>
      </c>
      <c r="F204" s="14"/>
      <c r="G204" s="14"/>
      <c r="H204" s="14"/>
      <c r="I204" s="14"/>
      <c r="J204" s="13"/>
      <c r="K204" s="13"/>
    </row>
    <row r="205" customFormat="false" ht="15" hidden="false" customHeight="false" outlineLevel="0" collapsed="false">
      <c r="A205" s="11" t="str">
        <f aca="false">Apontamentos!C205</f>
        <v/>
      </c>
      <c r="B205" s="11" t="str">
        <f aca="false">IF(Apontamentos!$C205="","",Apontamentos!D205&amp;"")</f>
        <v/>
      </c>
      <c r="C205" s="11" t="str">
        <f aca="false">IF(Apontamentos!$C205="","",Apontamentos!E205&amp;"")</f>
        <v/>
      </c>
      <c r="D205" s="10" t="str">
        <f aca="false">IF(Apontamentos!$C205="","",Apontamentos!F205&amp;"")</f>
        <v/>
      </c>
      <c r="E205" s="10" t="str">
        <f aca="false">IF(Apontamentos!$C205="","",Apontamentos!G205&amp;"")</f>
        <v/>
      </c>
      <c r="F205" s="14"/>
      <c r="G205" s="14"/>
      <c r="H205" s="14"/>
      <c r="I205" s="14"/>
      <c r="J205" s="13"/>
      <c r="K205" s="13"/>
    </row>
    <row r="206" customFormat="false" ht="15" hidden="false" customHeight="false" outlineLevel="0" collapsed="false">
      <c r="A206" s="11" t="str">
        <f aca="false">Apontamentos!C206</f>
        <v/>
      </c>
      <c r="B206" s="11" t="str">
        <f aca="false">IF(Apontamentos!$C206="","",Apontamentos!D206&amp;"")</f>
        <v/>
      </c>
      <c r="C206" s="11" t="str">
        <f aca="false">IF(Apontamentos!$C206="","",Apontamentos!E206&amp;"")</f>
        <v/>
      </c>
      <c r="D206" s="10" t="str">
        <f aca="false">IF(Apontamentos!$C206="","",Apontamentos!F206&amp;"")</f>
        <v/>
      </c>
      <c r="E206" s="10" t="str">
        <f aca="false">IF(Apontamentos!$C206="","",Apontamentos!G206&amp;"")</f>
        <v/>
      </c>
      <c r="F206" s="14"/>
      <c r="G206" s="14"/>
      <c r="H206" s="14"/>
      <c r="I206" s="14"/>
      <c r="J206" s="13"/>
      <c r="K206" s="13"/>
    </row>
    <row r="207" customFormat="false" ht="15" hidden="false" customHeight="false" outlineLevel="0" collapsed="false">
      <c r="A207" s="11" t="str">
        <f aca="false">Apontamentos!C207</f>
        <v/>
      </c>
      <c r="B207" s="11" t="str">
        <f aca="false">IF(Apontamentos!$C207="","",Apontamentos!D207&amp;"")</f>
        <v/>
      </c>
      <c r="C207" s="11" t="str">
        <f aca="false">IF(Apontamentos!$C207="","",Apontamentos!E207&amp;"")</f>
        <v/>
      </c>
      <c r="D207" s="10" t="str">
        <f aca="false">IF(Apontamentos!$C207="","",Apontamentos!F207&amp;"")</f>
        <v/>
      </c>
      <c r="E207" s="10" t="str">
        <f aca="false">IF(Apontamentos!$C207="","",Apontamentos!G207&amp;"")</f>
        <v/>
      </c>
      <c r="F207" s="14"/>
      <c r="G207" s="14"/>
      <c r="H207" s="14"/>
      <c r="I207" s="14"/>
      <c r="J207" s="13"/>
      <c r="K207" s="13"/>
    </row>
    <row r="208" customFormat="false" ht="15" hidden="false" customHeight="false" outlineLevel="0" collapsed="false">
      <c r="A208" s="11" t="str">
        <f aca="false">Apontamentos!C208</f>
        <v/>
      </c>
      <c r="B208" s="11" t="str">
        <f aca="false">IF(Apontamentos!$C208="","",Apontamentos!D208&amp;"")</f>
        <v/>
      </c>
      <c r="C208" s="11" t="str">
        <f aca="false">IF(Apontamentos!$C208="","",Apontamentos!E208&amp;"")</f>
        <v/>
      </c>
      <c r="D208" s="10" t="str">
        <f aca="false">IF(Apontamentos!$C208="","",Apontamentos!F208&amp;"")</f>
        <v/>
      </c>
      <c r="E208" s="10" t="str">
        <f aca="false">IF(Apontamentos!$C208="","",Apontamentos!G208&amp;"")</f>
        <v/>
      </c>
      <c r="F208" s="14"/>
      <c r="G208" s="14"/>
      <c r="H208" s="14"/>
      <c r="I208" s="14"/>
      <c r="J208" s="13"/>
      <c r="K208" s="13"/>
    </row>
    <row r="209" customFormat="false" ht="15" hidden="false" customHeight="false" outlineLevel="0" collapsed="false">
      <c r="A209" s="11" t="str">
        <f aca="false">Apontamentos!C209</f>
        <v/>
      </c>
      <c r="B209" s="11" t="str">
        <f aca="false">IF(Apontamentos!$C209="","",Apontamentos!D209&amp;"")</f>
        <v/>
      </c>
      <c r="C209" s="11" t="str">
        <f aca="false">IF(Apontamentos!$C209="","",Apontamentos!E209&amp;"")</f>
        <v/>
      </c>
      <c r="D209" s="10" t="str">
        <f aca="false">IF(Apontamentos!$C209="","",Apontamentos!F209&amp;"")</f>
        <v/>
      </c>
      <c r="E209" s="10" t="str">
        <f aca="false">IF(Apontamentos!$C209="","",Apontamentos!G209&amp;"")</f>
        <v/>
      </c>
      <c r="F209" s="14"/>
      <c r="G209" s="14"/>
      <c r="H209" s="14"/>
      <c r="I209" s="14"/>
      <c r="J209" s="13"/>
      <c r="K209" s="13"/>
    </row>
    <row r="210" customFormat="false" ht="15" hidden="false" customHeight="false" outlineLevel="0" collapsed="false">
      <c r="A210" s="11" t="str">
        <f aca="false">Apontamentos!C210</f>
        <v/>
      </c>
      <c r="B210" s="11" t="str">
        <f aca="false">IF(Apontamentos!$C210="","",Apontamentos!D210&amp;"")</f>
        <v/>
      </c>
      <c r="C210" s="11" t="str">
        <f aca="false">IF(Apontamentos!$C210="","",Apontamentos!E210&amp;"")</f>
        <v/>
      </c>
      <c r="D210" s="10" t="str">
        <f aca="false">IF(Apontamentos!$C210="","",Apontamentos!F210&amp;"")</f>
        <v/>
      </c>
      <c r="E210" s="10" t="str">
        <f aca="false">IF(Apontamentos!$C210="","",Apontamentos!G210&amp;"")</f>
        <v/>
      </c>
      <c r="F210" s="14"/>
      <c r="G210" s="14"/>
      <c r="H210" s="14"/>
      <c r="I210" s="14"/>
      <c r="J210" s="13"/>
      <c r="K210" s="13"/>
    </row>
    <row r="211" customFormat="false" ht="15" hidden="false" customHeight="false" outlineLevel="0" collapsed="false">
      <c r="A211" s="11" t="str">
        <f aca="false">Apontamentos!C211</f>
        <v/>
      </c>
      <c r="B211" s="11" t="str">
        <f aca="false">IF(Apontamentos!$C211="","",Apontamentos!D211&amp;"")</f>
        <v/>
      </c>
      <c r="C211" s="11" t="str">
        <f aca="false">IF(Apontamentos!$C211="","",Apontamentos!E211&amp;"")</f>
        <v/>
      </c>
      <c r="D211" s="10" t="str">
        <f aca="false">IF(Apontamentos!$C211="","",Apontamentos!F211&amp;"")</f>
        <v/>
      </c>
      <c r="E211" s="10" t="str">
        <f aca="false">IF(Apontamentos!$C211="","",Apontamentos!G211&amp;"")</f>
        <v/>
      </c>
      <c r="F211" s="14"/>
      <c r="G211" s="14"/>
      <c r="H211" s="14"/>
      <c r="I211" s="14"/>
      <c r="J211" s="13"/>
      <c r="K211" s="13"/>
    </row>
    <row r="212" customFormat="false" ht="15" hidden="false" customHeight="false" outlineLevel="0" collapsed="false">
      <c r="A212" s="11" t="str">
        <f aca="false">Apontamentos!C212</f>
        <v/>
      </c>
      <c r="B212" s="11" t="str">
        <f aca="false">IF(Apontamentos!$C212="","",Apontamentos!D212&amp;"")</f>
        <v/>
      </c>
      <c r="C212" s="11" t="str">
        <f aca="false">IF(Apontamentos!$C212="","",Apontamentos!E212&amp;"")</f>
        <v/>
      </c>
      <c r="D212" s="10" t="str">
        <f aca="false">IF(Apontamentos!$C212="","",Apontamentos!F212&amp;"")</f>
        <v/>
      </c>
      <c r="E212" s="10" t="str">
        <f aca="false">IF(Apontamentos!$C212="","",Apontamentos!G212&amp;"")</f>
        <v/>
      </c>
      <c r="F212" s="14"/>
      <c r="G212" s="14"/>
      <c r="H212" s="14"/>
      <c r="I212" s="14"/>
      <c r="J212" s="13"/>
      <c r="K212" s="13"/>
    </row>
    <row r="213" customFormat="false" ht="15" hidden="false" customHeight="false" outlineLevel="0" collapsed="false">
      <c r="A213" s="11" t="str">
        <f aca="false">Apontamentos!C213</f>
        <v/>
      </c>
      <c r="B213" s="11" t="str">
        <f aca="false">IF(Apontamentos!$C213="","",Apontamentos!D213&amp;"")</f>
        <v/>
      </c>
      <c r="C213" s="11" t="str">
        <f aca="false">IF(Apontamentos!$C213="","",Apontamentos!E213&amp;"")</f>
        <v/>
      </c>
      <c r="D213" s="10" t="str">
        <f aca="false">IF(Apontamentos!$C213="","",Apontamentos!F213&amp;"")</f>
        <v/>
      </c>
      <c r="E213" s="10" t="str">
        <f aca="false">IF(Apontamentos!$C213="","",Apontamentos!G213&amp;"")</f>
        <v/>
      </c>
      <c r="F213" s="14"/>
      <c r="G213" s="14"/>
      <c r="H213" s="14"/>
      <c r="I213" s="14"/>
      <c r="J213" s="13"/>
      <c r="K213" s="13"/>
    </row>
    <row r="214" customFormat="false" ht="15" hidden="false" customHeight="false" outlineLevel="0" collapsed="false">
      <c r="A214" s="11" t="str">
        <f aca="false">Apontamentos!C214</f>
        <v/>
      </c>
      <c r="B214" s="11" t="str">
        <f aca="false">IF(Apontamentos!$C214="","",Apontamentos!D214&amp;"")</f>
        <v/>
      </c>
      <c r="C214" s="11" t="str">
        <f aca="false">IF(Apontamentos!$C214="","",Apontamentos!E214&amp;"")</f>
        <v/>
      </c>
      <c r="D214" s="10" t="str">
        <f aca="false">IF(Apontamentos!$C214="","",Apontamentos!F214&amp;"")</f>
        <v/>
      </c>
      <c r="E214" s="10" t="str">
        <f aca="false">IF(Apontamentos!$C214="","",Apontamentos!G214&amp;"")</f>
        <v/>
      </c>
      <c r="F214" s="14"/>
      <c r="G214" s="14"/>
      <c r="H214" s="14"/>
      <c r="I214" s="14"/>
      <c r="J214" s="13"/>
      <c r="K214" s="13"/>
    </row>
    <row r="215" customFormat="false" ht="15" hidden="false" customHeight="false" outlineLevel="0" collapsed="false">
      <c r="A215" s="11" t="str">
        <f aca="false">Apontamentos!C215</f>
        <v/>
      </c>
      <c r="B215" s="11" t="str">
        <f aca="false">IF(Apontamentos!$C215="","",Apontamentos!D215&amp;"")</f>
        <v/>
      </c>
      <c r="C215" s="11" t="str">
        <f aca="false">IF(Apontamentos!$C215="","",Apontamentos!E215&amp;"")</f>
        <v/>
      </c>
      <c r="D215" s="10" t="str">
        <f aca="false">IF(Apontamentos!$C215="","",Apontamentos!F215&amp;"")</f>
        <v/>
      </c>
      <c r="E215" s="10" t="str">
        <f aca="false">IF(Apontamentos!$C215="","",Apontamentos!G215&amp;"")</f>
        <v/>
      </c>
      <c r="F215" s="14"/>
      <c r="G215" s="14"/>
      <c r="H215" s="14"/>
      <c r="I215" s="14"/>
      <c r="J215" s="13"/>
      <c r="K215" s="13"/>
    </row>
    <row r="216" customFormat="false" ht="15" hidden="false" customHeight="false" outlineLevel="0" collapsed="false">
      <c r="A216" s="11" t="str">
        <f aca="false">Apontamentos!C216</f>
        <v/>
      </c>
      <c r="B216" s="11" t="str">
        <f aca="false">IF(Apontamentos!$C216="","",Apontamentos!D216&amp;"")</f>
        <v/>
      </c>
      <c r="C216" s="11" t="str">
        <f aca="false">IF(Apontamentos!$C216="","",Apontamentos!E216&amp;"")</f>
        <v/>
      </c>
      <c r="D216" s="10" t="str">
        <f aca="false">IF(Apontamentos!$C216="","",Apontamentos!F216&amp;"")</f>
        <v/>
      </c>
      <c r="E216" s="10" t="str">
        <f aca="false">IF(Apontamentos!$C216="","",Apontamentos!G216&amp;"")</f>
        <v/>
      </c>
      <c r="F216" s="14"/>
      <c r="G216" s="14"/>
      <c r="H216" s="14"/>
      <c r="I216" s="14"/>
      <c r="J216" s="13"/>
      <c r="K216" s="13"/>
    </row>
    <row r="217" customFormat="false" ht="15" hidden="false" customHeight="false" outlineLevel="0" collapsed="false">
      <c r="A217" s="11" t="str">
        <f aca="false">Apontamentos!C217</f>
        <v/>
      </c>
      <c r="B217" s="11" t="str">
        <f aca="false">IF(Apontamentos!$C217="","",Apontamentos!D217&amp;"")</f>
        <v/>
      </c>
      <c r="C217" s="11" t="str">
        <f aca="false">IF(Apontamentos!$C217="","",Apontamentos!E217&amp;"")</f>
        <v/>
      </c>
      <c r="D217" s="10" t="str">
        <f aca="false">IF(Apontamentos!$C217="","",Apontamentos!F217&amp;"")</f>
        <v/>
      </c>
      <c r="E217" s="10" t="str">
        <f aca="false">IF(Apontamentos!$C217="","",Apontamentos!G217&amp;"")</f>
        <v/>
      </c>
      <c r="F217" s="14"/>
      <c r="G217" s="14"/>
      <c r="H217" s="14"/>
      <c r="I217" s="14"/>
      <c r="J217" s="13"/>
      <c r="K217" s="13"/>
    </row>
    <row r="218" customFormat="false" ht="15" hidden="false" customHeight="false" outlineLevel="0" collapsed="false">
      <c r="A218" s="11" t="str">
        <f aca="false">Apontamentos!C218</f>
        <v/>
      </c>
      <c r="B218" s="11" t="str">
        <f aca="false">IF(Apontamentos!$C218="","",Apontamentos!D218&amp;"")</f>
        <v/>
      </c>
      <c r="C218" s="11" t="str">
        <f aca="false">IF(Apontamentos!$C218="","",Apontamentos!E218&amp;"")</f>
        <v/>
      </c>
      <c r="D218" s="10" t="str">
        <f aca="false">IF(Apontamentos!$C218="","",Apontamentos!F218&amp;"")</f>
        <v/>
      </c>
      <c r="E218" s="10" t="str">
        <f aca="false">IF(Apontamentos!$C218="","",Apontamentos!G218&amp;"")</f>
        <v/>
      </c>
      <c r="F218" s="14"/>
      <c r="G218" s="14"/>
      <c r="H218" s="14"/>
      <c r="I218" s="14"/>
      <c r="J218" s="13"/>
      <c r="K218" s="13"/>
    </row>
    <row r="219" customFormat="false" ht="15" hidden="false" customHeight="false" outlineLevel="0" collapsed="false">
      <c r="A219" s="11" t="str">
        <f aca="false">Apontamentos!C219</f>
        <v/>
      </c>
      <c r="B219" s="11" t="str">
        <f aca="false">IF(Apontamentos!$C219="","",Apontamentos!D219&amp;"")</f>
        <v/>
      </c>
      <c r="C219" s="11" t="str">
        <f aca="false">IF(Apontamentos!$C219="","",Apontamentos!E219&amp;"")</f>
        <v/>
      </c>
      <c r="D219" s="10" t="str">
        <f aca="false">IF(Apontamentos!$C219="","",Apontamentos!F219&amp;"")</f>
        <v/>
      </c>
      <c r="E219" s="10" t="str">
        <f aca="false">IF(Apontamentos!$C219="","",Apontamentos!G219&amp;"")</f>
        <v/>
      </c>
      <c r="F219" s="14"/>
      <c r="G219" s="14"/>
      <c r="H219" s="14"/>
      <c r="I219" s="14"/>
      <c r="J219" s="13"/>
      <c r="K219" s="13"/>
    </row>
    <row r="220" customFormat="false" ht="15" hidden="false" customHeight="false" outlineLevel="0" collapsed="false">
      <c r="A220" s="11" t="str">
        <f aca="false">Apontamentos!C220</f>
        <v/>
      </c>
      <c r="B220" s="11" t="str">
        <f aca="false">IF(Apontamentos!$C220="","",Apontamentos!D220&amp;"")</f>
        <v/>
      </c>
      <c r="C220" s="11" t="str">
        <f aca="false">IF(Apontamentos!$C220="","",Apontamentos!E220&amp;"")</f>
        <v/>
      </c>
      <c r="D220" s="10" t="str">
        <f aca="false">IF(Apontamentos!$C220="","",Apontamentos!F220&amp;"")</f>
        <v/>
      </c>
      <c r="E220" s="10" t="str">
        <f aca="false">IF(Apontamentos!$C220="","",Apontamentos!G220&amp;"")</f>
        <v/>
      </c>
      <c r="F220" s="14"/>
      <c r="G220" s="14"/>
      <c r="H220" s="14"/>
      <c r="I220" s="14"/>
      <c r="J220" s="13"/>
      <c r="K220" s="13"/>
    </row>
    <row r="221" customFormat="false" ht="15" hidden="false" customHeight="false" outlineLevel="0" collapsed="false">
      <c r="A221" s="11" t="str">
        <f aca="false">Apontamentos!C221</f>
        <v/>
      </c>
      <c r="B221" s="11" t="str">
        <f aca="false">IF(Apontamentos!$C221="","",Apontamentos!D221&amp;"")</f>
        <v/>
      </c>
      <c r="C221" s="11" t="str">
        <f aca="false">IF(Apontamentos!$C221="","",Apontamentos!E221&amp;"")</f>
        <v/>
      </c>
      <c r="D221" s="10" t="str">
        <f aca="false">IF(Apontamentos!$C221="","",Apontamentos!F221&amp;"")</f>
        <v/>
      </c>
      <c r="E221" s="10" t="str">
        <f aca="false">IF(Apontamentos!$C221="","",Apontamentos!G221&amp;"")</f>
        <v/>
      </c>
      <c r="F221" s="14"/>
      <c r="G221" s="14"/>
      <c r="H221" s="14"/>
      <c r="I221" s="14"/>
      <c r="J221" s="13"/>
      <c r="K221" s="13"/>
    </row>
    <row r="222" customFormat="false" ht="15" hidden="false" customHeight="false" outlineLevel="0" collapsed="false">
      <c r="A222" s="11" t="str">
        <f aca="false">Apontamentos!C222</f>
        <v/>
      </c>
      <c r="B222" s="11" t="str">
        <f aca="false">IF(Apontamentos!$C222="","",Apontamentos!D222&amp;"")</f>
        <v/>
      </c>
      <c r="C222" s="11" t="str">
        <f aca="false">IF(Apontamentos!$C222="","",Apontamentos!E222&amp;"")</f>
        <v/>
      </c>
      <c r="D222" s="10" t="str">
        <f aca="false">IF(Apontamentos!$C222="","",Apontamentos!F222&amp;"")</f>
        <v/>
      </c>
      <c r="E222" s="10" t="str">
        <f aca="false">IF(Apontamentos!$C222="","",Apontamentos!G222&amp;"")</f>
        <v/>
      </c>
      <c r="F222" s="14"/>
      <c r="G222" s="14"/>
      <c r="H222" s="14"/>
      <c r="I222" s="14"/>
      <c r="J222" s="13"/>
      <c r="K222" s="13"/>
    </row>
    <row r="223" customFormat="false" ht="15" hidden="false" customHeight="false" outlineLevel="0" collapsed="false">
      <c r="A223" s="11" t="str">
        <f aca="false">Apontamentos!C223</f>
        <v/>
      </c>
      <c r="B223" s="11" t="str">
        <f aca="false">IF(Apontamentos!$C223="","",Apontamentos!D223&amp;"")</f>
        <v/>
      </c>
      <c r="C223" s="11" t="str">
        <f aca="false">IF(Apontamentos!$C223="","",Apontamentos!E223&amp;"")</f>
        <v/>
      </c>
      <c r="D223" s="10" t="str">
        <f aca="false">IF(Apontamentos!$C223="","",Apontamentos!F223&amp;"")</f>
        <v/>
      </c>
      <c r="E223" s="10" t="str">
        <f aca="false">IF(Apontamentos!$C223="","",Apontamentos!G223&amp;"")</f>
        <v/>
      </c>
      <c r="F223" s="14"/>
      <c r="G223" s="14"/>
      <c r="H223" s="14"/>
      <c r="I223" s="14"/>
      <c r="J223" s="13"/>
      <c r="K223" s="13"/>
    </row>
    <row r="224" customFormat="false" ht="15" hidden="false" customHeight="false" outlineLevel="0" collapsed="false">
      <c r="A224" s="11" t="str">
        <f aca="false">Apontamentos!C224</f>
        <v/>
      </c>
      <c r="B224" s="11" t="str">
        <f aca="false">IF(Apontamentos!$C224="","",Apontamentos!D224&amp;"")</f>
        <v/>
      </c>
      <c r="C224" s="11" t="str">
        <f aca="false">IF(Apontamentos!$C224="","",Apontamentos!E224&amp;"")</f>
        <v/>
      </c>
      <c r="D224" s="10" t="str">
        <f aca="false">IF(Apontamentos!$C224="","",Apontamentos!F224&amp;"")</f>
        <v/>
      </c>
      <c r="E224" s="10" t="str">
        <f aca="false">IF(Apontamentos!$C224="","",Apontamentos!G224&amp;"")</f>
        <v/>
      </c>
      <c r="F224" s="14"/>
      <c r="G224" s="14"/>
      <c r="H224" s="14"/>
      <c r="I224" s="14"/>
      <c r="J224" s="13"/>
      <c r="K224" s="13"/>
    </row>
    <row r="225" customFormat="false" ht="15" hidden="false" customHeight="false" outlineLevel="0" collapsed="false">
      <c r="A225" s="11" t="str">
        <f aca="false">Apontamentos!C225</f>
        <v/>
      </c>
      <c r="B225" s="11" t="str">
        <f aca="false">IF(Apontamentos!$C225="","",Apontamentos!D225&amp;"")</f>
        <v/>
      </c>
      <c r="C225" s="11" t="str">
        <f aca="false">IF(Apontamentos!$C225="","",Apontamentos!E225&amp;"")</f>
        <v/>
      </c>
      <c r="D225" s="10" t="str">
        <f aca="false">IF(Apontamentos!$C225="","",Apontamentos!F225&amp;"")</f>
        <v/>
      </c>
      <c r="E225" s="10" t="str">
        <f aca="false">IF(Apontamentos!$C225="","",Apontamentos!G225&amp;"")</f>
        <v/>
      </c>
      <c r="F225" s="14"/>
      <c r="G225" s="14"/>
      <c r="H225" s="14"/>
      <c r="I225" s="14"/>
      <c r="J225" s="13"/>
      <c r="K225" s="13"/>
    </row>
    <row r="226" customFormat="false" ht="15" hidden="false" customHeight="false" outlineLevel="0" collapsed="false">
      <c r="A226" s="11" t="str">
        <f aca="false">Apontamentos!C226</f>
        <v/>
      </c>
      <c r="B226" s="11" t="str">
        <f aca="false">IF(Apontamentos!$C226="","",Apontamentos!D226&amp;"")</f>
        <v/>
      </c>
      <c r="C226" s="11" t="str">
        <f aca="false">IF(Apontamentos!$C226="","",Apontamentos!E226&amp;"")</f>
        <v/>
      </c>
      <c r="D226" s="10" t="str">
        <f aca="false">IF(Apontamentos!$C226="","",Apontamentos!F226&amp;"")</f>
        <v/>
      </c>
      <c r="E226" s="10" t="str">
        <f aca="false">IF(Apontamentos!$C226="","",Apontamentos!G226&amp;"")</f>
        <v/>
      </c>
      <c r="F226" s="14"/>
      <c r="G226" s="14"/>
      <c r="H226" s="14"/>
      <c r="I226" s="14"/>
      <c r="J226" s="13"/>
      <c r="K226" s="13"/>
    </row>
    <row r="227" customFormat="false" ht="15" hidden="false" customHeight="false" outlineLevel="0" collapsed="false">
      <c r="A227" s="11" t="str">
        <f aca="false">Apontamentos!C227</f>
        <v/>
      </c>
      <c r="B227" s="11" t="str">
        <f aca="false">IF(Apontamentos!$C227="","",Apontamentos!D227&amp;"")</f>
        <v/>
      </c>
      <c r="C227" s="11" t="str">
        <f aca="false">IF(Apontamentos!$C227="","",Apontamentos!E227&amp;"")</f>
        <v/>
      </c>
      <c r="D227" s="10" t="str">
        <f aca="false">IF(Apontamentos!$C227="","",Apontamentos!F227&amp;"")</f>
        <v/>
      </c>
      <c r="E227" s="10" t="str">
        <f aca="false">IF(Apontamentos!$C227="","",Apontamentos!G227&amp;"")</f>
        <v/>
      </c>
      <c r="F227" s="14"/>
      <c r="G227" s="14"/>
      <c r="H227" s="14"/>
      <c r="I227" s="14"/>
      <c r="J227" s="13"/>
      <c r="K227" s="13"/>
    </row>
    <row r="228" customFormat="false" ht="15" hidden="false" customHeight="false" outlineLevel="0" collapsed="false">
      <c r="A228" s="11" t="str">
        <f aca="false">Apontamentos!C228</f>
        <v/>
      </c>
      <c r="B228" s="11" t="str">
        <f aca="false">IF(Apontamentos!$C228="","",Apontamentos!D228&amp;"")</f>
        <v/>
      </c>
      <c r="C228" s="11" t="str">
        <f aca="false">IF(Apontamentos!$C228="","",Apontamentos!E228&amp;"")</f>
        <v/>
      </c>
      <c r="D228" s="10" t="str">
        <f aca="false">IF(Apontamentos!$C228="","",Apontamentos!F228&amp;"")</f>
        <v/>
      </c>
      <c r="E228" s="10" t="str">
        <f aca="false">IF(Apontamentos!$C228="","",Apontamentos!G228&amp;"")</f>
        <v/>
      </c>
      <c r="F228" s="14"/>
      <c r="G228" s="14"/>
      <c r="H228" s="14"/>
      <c r="I228" s="14"/>
      <c r="J228" s="13"/>
      <c r="K228" s="13"/>
    </row>
    <row r="229" customFormat="false" ht="15" hidden="false" customHeight="false" outlineLevel="0" collapsed="false">
      <c r="A229" s="11" t="str">
        <f aca="false">Apontamentos!C229</f>
        <v/>
      </c>
      <c r="B229" s="11" t="str">
        <f aca="false">IF(Apontamentos!$C229="","",Apontamentos!D229&amp;"")</f>
        <v/>
      </c>
      <c r="C229" s="11" t="str">
        <f aca="false">IF(Apontamentos!$C229="","",Apontamentos!E229&amp;"")</f>
        <v/>
      </c>
      <c r="D229" s="10" t="str">
        <f aca="false">IF(Apontamentos!$C229="","",Apontamentos!F229&amp;"")</f>
        <v/>
      </c>
      <c r="E229" s="10" t="str">
        <f aca="false">IF(Apontamentos!$C229="","",Apontamentos!G229&amp;"")</f>
        <v/>
      </c>
      <c r="F229" s="14"/>
      <c r="G229" s="14"/>
      <c r="H229" s="14"/>
      <c r="I229" s="14"/>
      <c r="J229" s="13"/>
      <c r="K229" s="13"/>
    </row>
    <row r="230" customFormat="false" ht="15" hidden="false" customHeight="false" outlineLevel="0" collapsed="false">
      <c r="A230" s="11" t="str">
        <f aca="false">Apontamentos!C230</f>
        <v/>
      </c>
      <c r="B230" s="11" t="str">
        <f aca="false">IF(Apontamentos!$C230="","",Apontamentos!D230&amp;"")</f>
        <v/>
      </c>
      <c r="C230" s="11" t="str">
        <f aca="false">IF(Apontamentos!$C230="","",Apontamentos!E230&amp;"")</f>
        <v/>
      </c>
      <c r="D230" s="10" t="str">
        <f aca="false">IF(Apontamentos!$C230="","",Apontamentos!F230&amp;"")</f>
        <v/>
      </c>
      <c r="E230" s="10" t="str">
        <f aca="false">IF(Apontamentos!$C230="","",Apontamentos!G230&amp;"")</f>
        <v/>
      </c>
      <c r="F230" s="14"/>
      <c r="G230" s="14"/>
      <c r="H230" s="14"/>
      <c r="I230" s="14"/>
      <c r="J230" s="13"/>
      <c r="K230" s="13"/>
    </row>
    <row r="231" customFormat="false" ht="15" hidden="false" customHeight="false" outlineLevel="0" collapsed="false">
      <c r="A231" s="11" t="str">
        <f aca="false">Apontamentos!C231</f>
        <v/>
      </c>
      <c r="B231" s="11" t="str">
        <f aca="false">IF(Apontamentos!$C231="","",Apontamentos!D231&amp;"")</f>
        <v/>
      </c>
      <c r="C231" s="11" t="str">
        <f aca="false">IF(Apontamentos!$C231="","",Apontamentos!E231&amp;"")</f>
        <v/>
      </c>
      <c r="D231" s="10" t="str">
        <f aca="false">IF(Apontamentos!$C231="","",Apontamentos!F231&amp;"")</f>
        <v/>
      </c>
      <c r="E231" s="10" t="str">
        <f aca="false">IF(Apontamentos!$C231="","",Apontamentos!G231&amp;"")</f>
        <v/>
      </c>
      <c r="F231" s="14"/>
      <c r="G231" s="14"/>
      <c r="H231" s="14"/>
      <c r="I231" s="14"/>
      <c r="J231" s="13"/>
      <c r="K231" s="13"/>
    </row>
    <row r="232" customFormat="false" ht="15" hidden="false" customHeight="false" outlineLevel="0" collapsed="false">
      <c r="A232" s="11" t="str">
        <f aca="false">Apontamentos!C232</f>
        <v/>
      </c>
      <c r="B232" s="11" t="str">
        <f aca="false">IF(Apontamentos!$C232="","",Apontamentos!D232&amp;"")</f>
        <v/>
      </c>
      <c r="C232" s="11" t="str">
        <f aca="false">IF(Apontamentos!$C232="","",Apontamentos!E232&amp;"")</f>
        <v/>
      </c>
      <c r="D232" s="10" t="str">
        <f aca="false">IF(Apontamentos!$C232="","",Apontamentos!F232&amp;"")</f>
        <v/>
      </c>
      <c r="E232" s="10" t="str">
        <f aca="false">IF(Apontamentos!$C232="","",Apontamentos!G232&amp;"")</f>
        <v/>
      </c>
      <c r="F232" s="14"/>
      <c r="G232" s="14"/>
      <c r="H232" s="14"/>
      <c r="I232" s="14"/>
      <c r="J232" s="13"/>
      <c r="K232" s="13"/>
    </row>
    <row r="233" customFormat="false" ht="15" hidden="false" customHeight="false" outlineLevel="0" collapsed="false">
      <c r="A233" s="11" t="str">
        <f aca="false">Apontamentos!C233</f>
        <v/>
      </c>
      <c r="B233" s="11" t="str">
        <f aca="false">IF(Apontamentos!$C233="","",Apontamentos!D233&amp;"")</f>
        <v/>
      </c>
      <c r="C233" s="11" t="str">
        <f aca="false">IF(Apontamentos!$C233="","",Apontamentos!E233&amp;"")</f>
        <v/>
      </c>
      <c r="D233" s="10" t="str">
        <f aca="false">IF(Apontamentos!$C233="","",Apontamentos!F233&amp;"")</f>
        <v/>
      </c>
      <c r="E233" s="10" t="str">
        <f aca="false">IF(Apontamentos!$C233="","",Apontamentos!G233&amp;"")</f>
        <v/>
      </c>
      <c r="F233" s="14"/>
      <c r="G233" s="14"/>
      <c r="H233" s="14"/>
      <c r="I233" s="14"/>
      <c r="J233" s="13"/>
      <c r="K233" s="13"/>
    </row>
    <row r="234" customFormat="false" ht="15" hidden="false" customHeight="false" outlineLevel="0" collapsed="false">
      <c r="A234" s="11" t="str">
        <f aca="false">Apontamentos!C234</f>
        <v/>
      </c>
      <c r="B234" s="11" t="str">
        <f aca="false">IF(Apontamentos!$C234="","",Apontamentos!D234&amp;"")</f>
        <v/>
      </c>
      <c r="C234" s="11" t="str">
        <f aca="false">IF(Apontamentos!$C234="","",Apontamentos!E234&amp;"")</f>
        <v/>
      </c>
      <c r="D234" s="10" t="str">
        <f aca="false">IF(Apontamentos!$C234="","",Apontamentos!F234&amp;"")</f>
        <v/>
      </c>
      <c r="E234" s="10" t="str">
        <f aca="false">IF(Apontamentos!$C234="","",Apontamentos!G234&amp;"")</f>
        <v/>
      </c>
      <c r="F234" s="14"/>
      <c r="G234" s="14"/>
      <c r="H234" s="14"/>
      <c r="I234" s="14"/>
      <c r="J234" s="13"/>
      <c r="K234" s="13"/>
    </row>
    <row r="235" customFormat="false" ht="15" hidden="false" customHeight="false" outlineLevel="0" collapsed="false">
      <c r="A235" s="11" t="str">
        <f aca="false">Apontamentos!C235</f>
        <v/>
      </c>
      <c r="B235" s="11" t="str">
        <f aca="false">IF(Apontamentos!$C235="","",Apontamentos!D235&amp;"")</f>
        <v/>
      </c>
      <c r="C235" s="11" t="str">
        <f aca="false">IF(Apontamentos!$C235="","",Apontamentos!E235&amp;"")</f>
        <v/>
      </c>
      <c r="D235" s="10" t="str">
        <f aca="false">IF(Apontamentos!$C235="","",Apontamentos!F235&amp;"")</f>
        <v/>
      </c>
      <c r="E235" s="10" t="str">
        <f aca="false">IF(Apontamentos!$C235="","",Apontamentos!G235&amp;"")</f>
        <v/>
      </c>
      <c r="F235" s="14"/>
      <c r="G235" s="14"/>
      <c r="H235" s="14"/>
      <c r="I235" s="14"/>
      <c r="J235" s="13"/>
      <c r="K235" s="13"/>
    </row>
    <row r="236" customFormat="false" ht="15" hidden="false" customHeight="false" outlineLevel="0" collapsed="false">
      <c r="A236" s="11" t="str">
        <f aca="false">Apontamentos!C236</f>
        <v/>
      </c>
      <c r="B236" s="11" t="str">
        <f aca="false">IF(Apontamentos!$C236="","",Apontamentos!D236&amp;"")</f>
        <v/>
      </c>
      <c r="C236" s="11" t="str">
        <f aca="false">IF(Apontamentos!$C236="","",Apontamentos!E236&amp;"")</f>
        <v/>
      </c>
      <c r="D236" s="10" t="str">
        <f aca="false">IF(Apontamentos!$C236="","",Apontamentos!F236&amp;"")</f>
        <v/>
      </c>
      <c r="E236" s="10" t="str">
        <f aca="false">IF(Apontamentos!$C236="","",Apontamentos!G236&amp;"")</f>
        <v/>
      </c>
      <c r="F236" s="14"/>
      <c r="G236" s="14"/>
      <c r="H236" s="14"/>
      <c r="I236" s="14"/>
      <c r="J236" s="13"/>
      <c r="K236" s="13"/>
    </row>
    <row r="237" customFormat="false" ht="15" hidden="false" customHeight="false" outlineLevel="0" collapsed="false">
      <c r="A237" s="11" t="str">
        <f aca="false">Apontamentos!C237</f>
        <v/>
      </c>
      <c r="B237" s="11" t="str">
        <f aca="false">IF(Apontamentos!$C237="","",Apontamentos!D237&amp;"")</f>
        <v/>
      </c>
      <c r="C237" s="11" t="str">
        <f aca="false">IF(Apontamentos!$C237="","",Apontamentos!E237&amp;"")</f>
        <v/>
      </c>
      <c r="D237" s="10" t="str">
        <f aca="false">IF(Apontamentos!$C237="","",Apontamentos!F237&amp;"")</f>
        <v/>
      </c>
      <c r="E237" s="10" t="str">
        <f aca="false">IF(Apontamentos!$C237="","",Apontamentos!G237&amp;"")</f>
        <v/>
      </c>
      <c r="F237" s="14"/>
      <c r="G237" s="14"/>
      <c r="H237" s="14"/>
      <c r="I237" s="14"/>
      <c r="J237" s="13"/>
      <c r="K237" s="13"/>
    </row>
    <row r="238" customFormat="false" ht="15" hidden="false" customHeight="false" outlineLevel="0" collapsed="false">
      <c r="A238" s="11" t="str">
        <f aca="false">Apontamentos!C238</f>
        <v/>
      </c>
      <c r="B238" s="11" t="str">
        <f aca="false">IF(Apontamentos!$C238="","",Apontamentos!D238&amp;"")</f>
        <v/>
      </c>
      <c r="C238" s="11" t="str">
        <f aca="false">IF(Apontamentos!$C238="","",Apontamentos!E238&amp;"")</f>
        <v/>
      </c>
      <c r="D238" s="10" t="str">
        <f aca="false">IF(Apontamentos!$C238="","",Apontamentos!F238&amp;"")</f>
        <v/>
      </c>
      <c r="E238" s="10" t="str">
        <f aca="false">IF(Apontamentos!$C238="","",Apontamentos!G238&amp;"")</f>
        <v/>
      </c>
      <c r="F238" s="14"/>
      <c r="G238" s="14"/>
      <c r="H238" s="14"/>
      <c r="I238" s="14"/>
      <c r="J238" s="13"/>
      <c r="K238" s="13"/>
    </row>
    <row r="239" customFormat="false" ht="15" hidden="false" customHeight="false" outlineLevel="0" collapsed="false">
      <c r="A239" s="11" t="str">
        <f aca="false">Apontamentos!C239</f>
        <v/>
      </c>
      <c r="B239" s="11" t="str">
        <f aca="false">IF(Apontamentos!$C239="","",Apontamentos!D239&amp;"")</f>
        <v/>
      </c>
      <c r="C239" s="11" t="str">
        <f aca="false">IF(Apontamentos!$C239="","",Apontamentos!E239&amp;"")</f>
        <v/>
      </c>
      <c r="D239" s="10" t="str">
        <f aca="false">IF(Apontamentos!$C239="","",Apontamentos!F239&amp;"")</f>
        <v/>
      </c>
      <c r="E239" s="10" t="str">
        <f aca="false">IF(Apontamentos!$C239="","",Apontamentos!G239&amp;"")</f>
        <v/>
      </c>
      <c r="F239" s="14"/>
      <c r="G239" s="14"/>
      <c r="H239" s="14"/>
      <c r="I239" s="14"/>
      <c r="J239" s="13"/>
      <c r="K239" s="13"/>
    </row>
    <row r="240" customFormat="false" ht="15" hidden="false" customHeight="false" outlineLevel="0" collapsed="false">
      <c r="A240" s="11" t="str">
        <f aca="false">Apontamentos!C240</f>
        <v/>
      </c>
      <c r="B240" s="11" t="str">
        <f aca="false">IF(Apontamentos!$C240="","",Apontamentos!D240&amp;"")</f>
        <v/>
      </c>
      <c r="C240" s="11" t="str">
        <f aca="false">IF(Apontamentos!$C240="","",Apontamentos!E240&amp;"")</f>
        <v/>
      </c>
      <c r="D240" s="10" t="str">
        <f aca="false">IF(Apontamentos!$C240="","",Apontamentos!F240&amp;"")</f>
        <v/>
      </c>
      <c r="E240" s="10" t="str">
        <f aca="false">IF(Apontamentos!$C240="","",Apontamentos!G240&amp;"")</f>
        <v/>
      </c>
      <c r="F240" s="14"/>
      <c r="G240" s="14"/>
      <c r="H240" s="14"/>
      <c r="I240" s="14"/>
      <c r="J240" s="13"/>
      <c r="K240" s="13"/>
    </row>
    <row r="241" customFormat="false" ht="15" hidden="false" customHeight="false" outlineLevel="0" collapsed="false">
      <c r="A241" s="11" t="str">
        <f aca="false">Apontamentos!C241</f>
        <v/>
      </c>
      <c r="B241" s="11" t="str">
        <f aca="false">IF(Apontamentos!$C241="","",Apontamentos!D241&amp;"")</f>
        <v/>
      </c>
      <c r="C241" s="11" t="str">
        <f aca="false">IF(Apontamentos!$C241="","",Apontamentos!E241&amp;"")</f>
        <v/>
      </c>
      <c r="D241" s="10" t="str">
        <f aca="false">IF(Apontamentos!$C241="","",Apontamentos!F241&amp;"")</f>
        <v/>
      </c>
      <c r="E241" s="10" t="str">
        <f aca="false">IF(Apontamentos!$C241="","",Apontamentos!G241&amp;"")</f>
        <v/>
      </c>
      <c r="F241" s="14"/>
      <c r="G241" s="14"/>
      <c r="H241" s="14"/>
      <c r="I241" s="14"/>
      <c r="J241" s="13"/>
      <c r="K241" s="13"/>
    </row>
    <row r="242" customFormat="false" ht="15" hidden="false" customHeight="false" outlineLevel="0" collapsed="false">
      <c r="A242" s="11" t="str">
        <f aca="false">Apontamentos!C242</f>
        <v/>
      </c>
      <c r="B242" s="11" t="str">
        <f aca="false">IF(Apontamentos!$C242="","",Apontamentos!D242&amp;"")</f>
        <v/>
      </c>
      <c r="C242" s="11" t="str">
        <f aca="false">IF(Apontamentos!$C242="","",Apontamentos!E242&amp;"")</f>
        <v/>
      </c>
      <c r="D242" s="10" t="str">
        <f aca="false">IF(Apontamentos!$C242="","",Apontamentos!F242&amp;"")</f>
        <v/>
      </c>
      <c r="E242" s="10" t="str">
        <f aca="false">IF(Apontamentos!$C242="","",Apontamentos!G242&amp;"")</f>
        <v/>
      </c>
      <c r="F242" s="14"/>
      <c r="G242" s="14"/>
      <c r="H242" s="14"/>
      <c r="I242" s="14"/>
      <c r="J242" s="13"/>
      <c r="K242" s="13"/>
    </row>
    <row r="243" customFormat="false" ht="15" hidden="false" customHeight="false" outlineLevel="0" collapsed="false">
      <c r="A243" s="11" t="str">
        <f aca="false">Apontamentos!C243</f>
        <v/>
      </c>
      <c r="B243" s="11" t="str">
        <f aca="false">IF(Apontamentos!$C243="","",Apontamentos!D243&amp;"")</f>
        <v/>
      </c>
      <c r="C243" s="11" t="str">
        <f aca="false">IF(Apontamentos!$C243="","",Apontamentos!E243&amp;"")</f>
        <v/>
      </c>
      <c r="D243" s="10" t="str">
        <f aca="false">IF(Apontamentos!$C243="","",Apontamentos!F243&amp;"")</f>
        <v/>
      </c>
      <c r="E243" s="10" t="str">
        <f aca="false">IF(Apontamentos!$C243="","",Apontamentos!G243&amp;"")</f>
        <v/>
      </c>
      <c r="F243" s="14"/>
      <c r="G243" s="14"/>
      <c r="H243" s="14"/>
      <c r="I243" s="14"/>
      <c r="J243" s="13"/>
      <c r="K243" s="13"/>
    </row>
    <row r="244" customFormat="false" ht="15" hidden="false" customHeight="false" outlineLevel="0" collapsed="false">
      <c r="A244" s="11" t="str">
        <f aca="false">Apontamentos!C244</f>
        <v/>
      </c>
      <c r="B244" s="11" t="str">
        <f aca="false">IF(Apontamentos!$C244="","",Apontamentos!D244&amp;"")</f>
        <v/>
      </c>
      <c r="C244" s="11" t="str">
        <f aca="false">IF(Apontamentos!$C244="","",Apontamentos!E244&amp;"")</f>
        <v/>
      </c>
      <c r="D244" s="10" t="str">
        <f aca="false">IF(Apontamentos!$C244="","",Apontamentos!F244&amp;"")</f>
        <v/>
      </c>
      <c r="E244" s="10" t="str">
        <f aca="false">IF(Apontamentos!$C244="","",Apontamentos!G244&amp;"")</f>
        <v/>
      </c>
      <c r="F244" s="14"/>
      <c r="G244" s="14"/>
      <c r="H244" s="14"/>
      <c r="I244" s="14"/>
      <c r="J244" s="13"/>
      <c r="K244" s="13"/>
    </row>
    <row r="245" customFormat="false" ht="15" hidden="false" customHeight="false" outlineLevel="0" collapsed="false">
      <c r="A245" s="11" t="str">
        <f aca="false">Apontamentos!C245</f>
        <v/>
      </c>
      <c r="B245" s="11" t="str">
        <f aca="false">IF(Apontamentos!$C245="","",Apontamentos!D245&amp;"")</f>
        <v/>
      </c>
      <c r="C245" s="11" t="str">
        <f aca="false">IF(Apontamentos!$C245="","",Apontamentos!E245&amp;"")</f>
        <v/>
      </c>
      <c r="D245" s="10" t="str">
        <f aca="false">IF(Apontamentos!$C245="","",Apontamentos!F245&amp;"")</f>
        <v/>
      </c>
      <c r="E245" s="10" t="str">
        <f aca="false">IF(Apontamentos!$C245="","",Apontamentos!G245&amp;"")</f>
        <v/>
      </c>
      <c r="F245" s="14"/>
      <c r="G245" s="14"/>
      <c r="H245" s="14"/>
      <c r="I245" s="14"/>
      <c r="J245" s="13"/>
      <c r="K245" s="13"/>
    </row>
    <row r="246" customFormat="false" ht="15" hidden="false" customHeight="false" outlineLevel="0" collapsed="false">
      <c r="A246" s="11" t="str">
        <f aca="false">Apontamentos!C246</f>
        <v/>
      </c>
      <c r="B246" s="11" t="str">
        <f aca="false">IF(Apontamentos!$C246="","",Apontamentos!D246&amp;"")</f>
        <v/>
      </c>
      <c r="C246" s="11" t="str">
        <f aca="false">IF(Apontamentos!$C246="","",Apontamentos!E246&amp;"")</f>
        <v/>
      </c>
      <c r="D246" s="10" t="str">
        <f aca="false">IF(Apontamentos!$C246="","",Apontamentos!F246&amp;"")</f>
        <v/>
      </c>
      <c r="E246" s="10" t="str">
        <f aca="false">IF(Apontamentos!$C246="","",Apontamentos!G246&amp;"")</f>
        <v/>
      </c>
      <c r="F246" s="14"/>
      <c r="G246" s="14"/>
      <c r="H246" s="14"/>
      <c r="I246" s="14"/>
      <c r="J246" s="13"/>
      <c r="K246" s="13"/>
    </row>
    <row r="247" customFormat="false" ht="15" hidden="false" customHeight="false" outlineLevel="0" collapsed="false">
      <c r="A247" s="11" t="str">
        <f aca="false">Apontamentos!C247</f>
        <v/>
      </c>
      <c r="B247" s="11" t="str">
        <f aca="false">IF(Apontamentos!$C247="","",Apontamentos!D247&amp;"")</f>
        <v/>
      </c>
      <c r="C247" s="11" t="str">
        <f aca="false">IF(Apontamentos!$C247="","",Apontamentos!E247&amp;"")</f>
        <v/>
      </c>
      <c r="D247" s="10" t="str">
        <f aca="false">IF(Apontamentos!$C247="","",Apontamentos!F247&amp;"")</f>
        <v/>
      </c>
      <c r="E247" s="10" t="str">
        <f aca="false">IF(Apontamentos!$C247="","",Apontamentos!G247&amp;"")</f>
        <v/>
      </c>
      <c r="F247" s="14"/>
      <c r="G247" s="14"/>
      <c r="H247" s="14"/>
      <c r="I247" s="14"/>
      <c r="J247" s="13"/>
      <c r="K247" s="13"/>
    </row>
    <row r="248" customFormat="false" ht="15" hidden="false" customHeight="false" outlineLevel="0" collapsed="false">
      <c r="A248" s="11" t="str">
        <f aca="false">Apontamentos!C248</f>
        <v/>
      </c>
      <c r="B248" s="11" t="str">
        <f aca="false">IF(Apontamentos!$C248="","",Apontamentos!D248&amp;"")</f>
        <v/>
      </c>
      <c r="C248" s="11" t="str">
        <f aca="false">IF(Apontamentos!$C248="","",Apontamentos!E248&amp;"")</f>
        <v/>
      </c>
      <c r="D248" s="10" t="str">
        <f aca="false">IF(Apontamentos!$C248="","",Apontamentos!F248&amp;"")</f>
        <v/>
      </c>
      <c r="E248" s="10" t="str">
        <f aca="false">IF(Apontamentos!$C248="","",Apontamentos!G248&amp;"")</f>
        <v/>
      </c>
      <c r="F248" s="14"/>
      <c r="G248" s="14"/>
      <c r="H248" s="14"/>
      <c r="I248" s="14"/>
      <c r="J248" s="13"/>
      <c r="K248" s="13"/>
    </row>
    <row r="249" customFormat="false" ht="15" hidden="false" customHeight="false" outlineLevel="0" collapsed="false">
      <c r="A249" s="11" t="str">
        <f aca="false">Apontamentos!C249</f>
        <v/>
      </c>
      <c r="B249" s="11" t="str">
        <f aca="false">IF(Apontamentos!$C249="","",Apontamentos!D249&amp;"")</f>
        <v/>
      </c>
      <c r="C249" s="11" t="str">
        <f aca="false">IF(Apontamentos!$C249="","",Apontamentos!E249&amp;"")</f>
        <v/>
      </c>
      <c r="D249" s="10" t="str">
        <f aca="false">IF(Apontamentos!$C249="","",Apontamentos!F249&amp;"")</f>
        <v/>
      </c>
      <c r="E249" s="10" t="str">
        <f aca="false">IF(Apontamentos!$C249="","",Apontamentos!G249&amp;"")</f>
        <v/>
      </c>
      <c r="F249" s="14"/>
      <c r="G249" s="14"/>
      <c r="H249" s="14"/>
      <c r="I249" s="14"/>
      <c r="J249" s="13"/>
      <c r="K249" s="13"/>
    </row>
    <row r="250" customFormat="false" ht="15" hidden="false" customHeight="false" outlineLevel="0" collapsed="false">
      <c r="A250" s="11" t="str">
        <f aca="false">Apontamentos!C250</f>
        <v/>
      </c>
      <c r="B250" s="11" t="str">
        <f aca="false">IF(Apontamentos!$C250="","",Apontamentos!D250&amp;"")</f>
        <v/>
      </c>
      <c r="C250" s="11" t="str">
        <f aca="false">IF(Apontamentos!$C250="","",Apontamentos!E250&amp;"")</f>
        <v/>
      </c>
      <c r="D250" s="10" t="str">
        <f aca="false">IF(Apontamentos!$C250="","",Apontamentos!F250&amp;"")</f>
        <v/>
      </c>
      <c r="E250" s="10" t="str">
        <f aca="false">IF(Apontamentos!$C250="","",Apontamentos!G250&amp;"")</f>
        <v/>
      </c>
      <c r="F250" s="14"/>
      <c r="G250" s="14"/>
      <c r="H250" s="14"/>
      <c r="I250" s="14"/>
      <c r="J250" s="13"/>
      <c r="K250" s="13"/>
    </row>
    <row r="251" customFormat="false" ht="15" hidden="false" customHeight="false" outlineLevel="0" collapsed="false">
      <c r="A251" s="11" t="str">
        <f aca="false">Apontamentos!C251</f>
        <v/>
      </c>
      <c r="B251" s="11" t="str">
        <f aca="false">IF(Apontamentos!$C251="","",Apontamentos!D251&amp;"")</f>
        <v/>
      </c>
      <c r="C251" s="11" t="str">
        <f aca="false">IF(Apontamentos!$C251="","",Apontamentos!E251&amp;"")</f>
        <v/>
      </c>
      <c r="D251" s="10" t="str">
        <f aca="false">IF(Apontamentos!$C251="","",Apontamentos!F251&amp;"")</f>
        <v/>
      </c>
      <c r="E251" s="10" t="str">
        <f aca="false">IF(Apontamentos!$C251="","",Apontamentos!G251&amp;"")</f>
        <v/>
      </c>
      <c r="F251" s="14"/>
      <c r="G251" s="14"/>
      <c r="H251" s="14"/>
      <c r="I251" s="14"/>
      <c r="J251" s="13"/>
      <c r="K251" s="13"/>
    </row>
    <row r="252" customFormat="false" ht="15" hidden="false" customHeight="false" outlineLevel="0" collapsed="false">
      <c r="A252" s="11" t="str">
        <f aca="false">Apontamentos!C252</f>
        <v/>
      </c>
      <c r="B252" s="11" t="str">
        <f aca="false">IF(Apontamentos!$C252="","",Apontamentos!D252&amp;"")</f>
        <v/>
      </c>
      <c r="C252" s="11" t="str">
        <f aca="false">IF(Apontamentos!$C252="","",Apontamentos!E252&amp;"")</f>
        <v/>
      </c>
      <c r="D252" s="10" t="str">
        <f aca="false">IF(Apontamentos!$C252="","",Apontamentos!F252&amp;"")</f>
        <v/>
      </c>
      <c r="E252" s="10" t="str">
        <f aca="false">IF(Apontamentos!$C252="","",Apontamentos!G252&amp;"")</f>
        <v/>
      </c>
      <c r="F252" s="14"/>
      <c r="G252" s="14"/>
      <c r="H252" s="14"/>
      <c r="I252" s="14"/>
      <c r="J252" s="13"/>
      <c r="K252" s="13"/>
    </row>
    <row r="253" customFormat="false" ht="15" hidden="false" customHeight="false" outlineLevel="0" collapsed="false">
      <c r="A253" s="11" t="str">
        <f aca="false">Apontamentos!C253</f>
        <v/>
      </c>
      <c r="B253" s="11" t="str">
        <f aca="false">IF(Apontamentos!$C253="","",Apontamentos!D253&amp;"")</f>
        <v/>
      </c>
      <c r="C253" s="11" t="str">
        <f aca="false">IF(Apontamentos!$C253="","",Apontamentos!E253&amp;"")</f>
        <v/>
      </c>
      <c r="D253" s="10" t="str">
        <f aca="false">IF(Apontamentos!$C253="","",Apontamentos!F253&amp;"")</f>
        <v/>
      </c>
      <c r="E253" s="10" t="str">
        <f aca="false">IF(Apontamentos!$C253="","",Apontamentos!G253&amp;"")</f>
        <v/>
      </c>
      <c r="F253" s="14"/>
      <c r="G253" s="14"/>
      <c r="H253" s="14"/>
      <c r="I253" s="14"/>
      <c r="J253" s="13"/>
      <c r="K253" s="13"/>
    </row>
    <row r="254" customFormat="false" ht="15" hidden="false" customHeight="false" outlineLevel="0" collapsed="false">
      <c r="A254" s="11" t="str">
        <f aca="false">Apontamentos!C254</f>
        <v/>
      </c>
      <c r="B254" s="11" t="str">
        <f aca="false">IF(Apontamentos!$C254="","",Apontamentos!D254&amp;"")</f>
        <v/>
      </c>
      <c r="C254" s="11" t="str">
        <f aca="false">IF(Apontamentos!$C254="","",Apontamentos!E254&amp;"")</f>
        <v/>
      </c>
      <c r="D254" s="10" t="str">
        <f aca="false">IF(Apontamentos!$C254="","",Apontamentos!F254&amp;"")</f>
        <v/>
      </c>
      <c r="E254" s="10" t="str">
        <f aca="false">IF(Apontamentos!$C254="","",Apontamentos!G254&amp;"")</f>
        <v/>
      </c>
      <c r="F254" s="14"/>
      <c r="G254" s="14"/>
      <c r="H254" s="14"/>
      <c r="I254" s="14"/>
      <c r="J254" s="13"/>
      <c r="K254" s="13"/>
    </row>
    <row r="255" customFormat="false" ht="15" hidden="false" customHeight="false" outlineLevel="0" collapsed="false">
      <c r="A255" s="11" t="str">
        <f aca="false">Apontamentos!C255</f>
        <v/>
      </c>
      <c r="B255" s="11" t="str">
        <f aca="false">IF(Apontamentos!$C255="","",Apontamentos!D255&amp;"")</f>
        <v/>
      </c>
      <c r="C255" s="11" t="str">
        <f aca="false">IF(Apontamentos!$C255="","",Apontamentos!E255&amp;"")</f>
        <v/>
      </c>
      <c r="D255" s="10" t="str">
        <f aca="false">IF(Apontamentos!$C255="","",Apontamentos!F255&amp;"")</f>
        <v/>
      </c>
      <c r="E255" s="10" t="str">
        <f aca="false">IF(Apontamentos!$C255="","",Apontamentos!G255&amp;"")</f>
        <v/>
      </c>
      <c r="F255" s="14"/>
      <c r="G255" s="14"/>
      <c r="H255" s="14"/>
      <c r="I255" s="14"/>
      <c r="J255" s="13"/>
      <c r="K255" s="13"/>
    </row>
    <row r="256" customFormat="false" ht="15" hidden="false" customHeight="false" outlineLevel="0" collapsed="false">
      <c r="A256" s="11" t="str">
        <f aca="false">Apontamentos!C256</f>
        <v/>
      </c>
      <c r="B256" s="11" t="str">
        <f aca="false">IF(Apontamentos!$C256="","",Apontamentos!D256&amp;"")</f>
        <v/>
      </c>
      <c r="C256" s="11" t="str">
        <f aca="false">IF(Apontamentos!$C256="","",Apontamentos!E256&amp;"")</f>
        <v/>
      </c>
      <c r="D256" s="10" t="str">
        <f aca="false">IF(Apontamentos!$C256="","",Apontamentos!F256&amp;"")</f>
        <v/>
      </c>
      <c r="E256" s="10" t="str">
        <f aca="false">IF(Apontamentos!$C256="","",Apontamentos!G256&amp;"")</f>
        <v/>
      </c>
      <c r="F256" s="14"/>
      <c r="G256" s="14"/>
      <c r="H256" s="14"/>
      <c r="I256" s="14"/>
      <c r="J256" s="13"/>
      <c r="K256" s="13"/>
    </row>
    <row r="257" customFormat="false" ht="15" hidden="false" customHeight="false" outlineLevel="0" collapsed="false">
      <c r="A257" s="11" t="str">
        <f aca="false">Apontamentos!C257</f>
        <v/>
      </c>
      <c r="B257" s="11" t="str">
        <f aca="false">IF(Apontamentos!$C257="","",Apontamentos!D257&amp;"")</f>
        <v/>
      </c>
      <c r="C257" s="11" t="str">
        <f aca="false">IF(Apontamentos!$C257="","",Apontamentos!E257&amp;"")</f>
        <v/>
      </c>
      <c r="D257" s="10" t="str">
        <f aca="false">IF(Apontamentos!$C257="","",Apontamentos!F257&amp;"")</f>
        <v/>
      </c>
      <c r="E257" s="10" t="str">
        <f aca="false">IF(Apontamentos!$C257="","",Apontamentos!G257&amp;"")</f>
        <v/>
      </c>
      <c r="F257" s="14"/>
      <c r="G257" s="14"/>
      <c r="H257" s="14"/>
      <c r="I257" s="14"/>
      <c r="J257" s="13"/>
      <c r="K257" s="13"/>
    </row>
    <row r="258" customFormat="false" ht="15" hidden="false" customHeight="false" outlineLevel="0" collapsed="false">
      <c r="A258" s="11" t="str">
        <f aca="false">Apontamentos!C258</f>
        <v/>
      </c>
      <c r="B258" s="11" t="str">
        <f aca="false">IF(Apontamentos!$C258="","",Apontamentos!D258&amp;"")</f>
        <v/>
      </c>
      <c r="C258" s="11" t="str">
        <f aca="false">IF(Apontamentos!$C258="","",Apontamentos!E258&amp;"")</f>
        <v/>
      </c>
      <c r="D258" s="10" t="str">
        <f aca="false">IF(Apontamentos!$C258="","",Apontamentos!F258&amp;"")</f>
        <v/>
      </c>
      <c r="E258" s="10" t="str">
        <f aca="false">IF(Apontamentos!$C258="","",Apontamentos!G258&amp;"")</f>
        <v/>
      </c>
      <c r="F258" s="14"/>
      <c r="G258" s="14"/>
      <c r="H258" s="14"/>
      <c r="I258" s="14"/>
      <c r="J258" s="13"/>
      <c r="K258" s="13"/>
    </row>
    <row r="259" customFormat="false" ht="15" hidden="false" customHeight="false" outlineLevel="0" collapsed="false">
      <c r="A259" s="11" t="str">
        <f aca="false">Apontamentos!C259</f>
        <v/>
      </c>
      <c r="B259" s="11" t="str">
        <f aca="false">IF(Apontamentos!$C259="","",Apontamentos!D259&amp;"")</f>
        <v/>
      </c>
      <c r="C259" s="11" t="str">
        <f aca="false">IF(Apontamentos!$C259="","",Apontamentos!E259&amp;"")</f>
        <v/>
      </c>
      <c r="D259" s="10" t="str">
        <f aca="false">IF(Apontamentos!$C259="","",Apontamentos!F259&amp;"")</f>
        <v/>
      </c>
      <c r="E259" s="10" t="str">
        <f aca="false">IF(Apontamentos!$C259="","",Apontamentos!G259&amp;"")</f>
        <v/>
      </c>
      <c r="F259" s="14"/>
      <c r="G259" s="14"/>
      <c r="H259" s="14"/>
      <c r="I259" s="14"/>
      <c r="J259" s="13"/>
      <c r="K259" s="13"/>
    </row>
    <row r="260" customFormat="false" ht="15" hidden="false" customHeight="false" outlineLevel="0" collapsed="false">
      <c r="A260" s="11" t="str">
        <f aca="false">Apontamentos!C260</f>
        <v/>
      </c>
      <c r="B260" s="11" t="str">
        <f aca="false">IF(Apontamentos!$C260="","",Apontamentos!D260&amp;"")</f>
        <v/>
      </c>
      <c r="C260" s="11" t="str">
        <f aca="false">IF(Apontamentos!$C260="","",Apontamentos!E260&amp;"")</f>
        <v/>
      </c>
      <c r="D260" s="10" t="str">
        <f aca="false">IF(Apontamentos!$C260="","",Apontamentos!F260&amp;"")</f>
        <v/>
      </c>
      <c r="E260" s="10" t="str">
        <f aca="false">IF(Apontamentos!$C260="","",Apontamentos!G260&amp;"")</f>
        <v/>
      </c>
      <c r="F260" s="14"/>
      <c r="G260" s="14"/>
      <c r="H260" s="14"/>
      <c r="I260" s="14"/>
      <c r="J260" s="13"/>
      <c r="K260" s="13"/>
    </row>
    <row r="261" customFormat="false" ht="15" hidden="false" customHeight="false" outlineLevel="0" collapsed="false">
      <c r="A261" s="11" t="str">
        <f aca="false">Apontamentos!C261</f>
        <v/>
      </c>
      <c r="B261" s="11" t="str">
        <f aca="false">IF(Apontamentos!$C261="","",Apontamentos!D261&amp;"")</f>
        <v/>
      </c>
      <c r="C261" s="11" t="str">
        <f aca="false">IF(Apontamentos!$C261="","",Apontamentos!E261&amp;"")</f>
        <v/>
      </c>
      <c r="D261" s="10" t="str">
        <f aca="false">IF(Apontamentos!$C261="","",Apontamentos!F261&amp;"")</f>
        <v/>
      </c>
      <c r="E261" s="10" t="str">
        <f aca="false">IF(Apontamentos!$C261="","",Apontamentos!G261&amp;"")</f>
        <v/>
      </c>
      <c r="F261" s="14"/>
      <c r="G261" s="14"/>
      <c r="H261" s="14"/>
      <c r="I261" s="14"/>
      <c r="J261" s="13"/>
      <c r="K261" s="13"/>
    </row>
    <row r="262" customFormat="false" ht="15" hidden="false" customHeight="false" outlineLevel="0" collapsed="false">
      <c r="A262" s="11" t="str">
        <f aca="false">Apontamentos!C262</f>
        <v/>
      </c>
      <c r="B262" s="11" t="str">
        <f aca="false">IF(Apontamentos!$C262="","",Apontamentos!D262&amp;"")</f>
        <v/>
      </c>
      <c r="C262" s="11" t="str">
        <f aca="false">IF(Apontamentos!$C262="","",Apontamentos!E262&amp;"")</f>
        <v/>
      </c>
      <c r="D262" s="10" t="str">
        <f aca="false">IF(Apontamentos!$C262="","",Apontamentos!F262&amp;"")</f>
        <v/>
      </c>
      <c r="E262" s="10" t="str">
        <f aca="false">IF(Apontamentos!$C262="","",Apontamentos!G262&amp;"")</f>
        <v/>
      </c>
      <c r="F262" s="14"/>
      <c r="G262" s="14"/>
      <c r="H262" s="14"/>
      <c r="I262" s="14"/>
      <c r="J262" s="13"/>
      <c r="K262" s="13"/>
    </row>
    <row r="263" customFormat="false" ht="15" hidden="false" customHeight="false" outlineLevel="0" collapsed="false">
      <c r="A263" s="11" t="str">
        <f aca="false">Apontamentos!C263</f>
        <v/>
      </c>
      <c r="B263" s="11" t="str">
        <f aca="false">IF(Apontamentos!$C263="","",Apontamentos!D263&amp;"")</f>
        <v/>
      </c>
      <c r="C263" s="11" t="str">
        <f aca="false">IF(Apontamentos!$C263="","",Apontamentos!E263&amp;"")</f>
        <v/>
      </c>
      <c r="D263" s="10" t="str">
        <f aca="false">IF(Apontamentos!$C263="","",Apontamentos!F263&amp;"")</f>
        <v/>
      </c>
      <c r="E263" s="10" t="str">
        <f aca="false">IF(Apontamentos!$C263="","",Apontamentos!G263&amp;"")</f>
        <v/>
      </c>
      <c r="F263" s="14"/>
      <c r="G263" s="14"/>
      <c r="H263" s="14"/>
      <c r="I263" s="14"/>
      <c r="J263" s="13"/>
      <c r="K263" s="13"/>
    </row>
    <row r="264" customFormat="false" ht="15" hidden="false" customHeight="false" outlineLevel="0" collapsed="false">
      <c r="A264" s="11" t="str">
        <f aca="false">Apontamentos!C264</f>
        <v/>
      </c>
      <c r="B264" s="11" t="str">
        <f aca="false">IF(Apontamentos!$C264="","",Apontamentos!D264&amp;"")</f>
        <v/>
      </c>
      <c r="C264" s="11" t="str">
        <f aca="false">IF(Apontamentos!$C264="","",Apontamentos!E264&amp;"")</f>
        <v/>
      </c>
      <c r="D264" s="10" t="str">
        <f aca="false">IF(Apontamentos!$C264="","",Apontamentos!F264&amp;"")</f>
        <v/>
      </c>
      <c r="E264" s="10" t="str">
        <f aca="false">IF(Apontamentos!$C264="","",Apontamentos!G264&amp;"")</f>
        <v/>
      </c>
      <c r="F264" s="14"/>
      <c r="G264" s="14"/>
      <c r="H264" s="14"/>
      <c r="I264" s="14"/>
      <c r="J264" s="13"/>
      <c r="K264" s="13"/>
    </row>
    <row r="265" customFormat="false" ht="15" hidden="false" customHeight="false" outlineLevel="0" collapsed="false">
      <c r="A265" s="11" t="str">
        <f aca="false">Apontamentos!C265</f>
        <v/>
      </c>
      <c r="B265" s="11" t="str">
        <f aca="false">IF(Apontamentos!$C265="","",Apontamentos!D265&amp;"")</f>
        <v/>
      </c>
      <c r="C265" s="11" t="str">
        <f aca="false">IF(Apontamentos!$C265="","",Apontamentos!E265&amp;"")</f>
        <v/>
      </c>
      <c r="D265" s="10" t="str">
        <f aca="false">IF(Apontamentos!$C265="","",Apontamentos!F265&amp;"")</f>
        <v/>
      </c>
      <c r="E265" s="10" t="str">
        <f aca="false">IF(Apontamentos!$C265="","",Apontamentos!G265&amp;"")</f>
        <v/>
      </c>
      <c r="F265" s="14"/>
      <c r="G265" s="14"/>
      <c r="H265" s="14"/>
      <c r="I265" s="14"/>
      <c r="J265" s="13"/>
      <c r="K265" s="13"/>
    </row>
    <row r="266" customFormat="false" ht="15" hidden="false" customHeight="false" outlineLevel="0" collapsed="false">
      <c r="A266" s="11" t="str">
        <f aca="false">Apontamentos!C266</f>
        <v/>
      </c>
      <c r="B266" s="11" t="str">
        <f aca="false">IF(Apontamentos!$C266="","",Apontamentos!D266&amp;"")</f>
        <v/>
      </c>
      <c r="C266" s="11" t="str">
        <f aca="false">IF(Apontamentos!$C266="","",Apontamentos!E266&amp;"")</f>
        <v/>
      </c>
      <c r="D266" s="10" t="str">
        <f aca="false">IF(Apontamentos!$C266="","",Apontamentos!F266&amp;"")</f>
        <v/>
      </c>
      <c r="E266" s="10" t="str">
        <f aca="false">IF(Apontamentos!$C266="","",Apontamentos!G266&amp;"")</f>
        <v/>
      </c>
      <c r="F266" s="14"/>
      <c r="G266" s="14"/>
      <c r="H266" s="14"/>
      <c r="I266" s="14"/>
      <c r="J266" s="13"/>
      <c r="K266" s="13"/>
    </row>
    <row r="267" customFormat="false" ht="15" hidden="false" customHeight="false" outlineLevel="0" collapsed="false">
      <c r="A267" s="11" t="str">
        <f aca="false">Apontamentos!C267</f>
        <v/>
      </c>
      <c r="B267" s="11" t="str">
        <f aca="false">IF(Apontamentos!$C267="","",Apontamentos!D267&amp;"")</f>
        <v/>
      </c>
      <c r="C267" s="11" t="str">
        <f aca="false">IF(Apontamentos!$C267="","",Apontamentos!E267&amp;"")</f>
        <v/>
      </c>
      <c r="D267" s="10" t="str">
        <f aca="false">IF(Apontamentos!$C267="","",Apontamentos!F267&amp;"")</f>
        <v/>
      </c>
      <c r="E267" s="10" t="str">
        <f aca="false">IF(Apontamentos!$C267="","",Apontamentos!G267&amp;"")</f>
        <v/>
      </c>
      <c r="F267" s="14"/>
      <c r="G267" s="14"/>
      <c r="H267" s="14"/>
      <c r="I267" s="14"/>
      <c r="J267" s="13"/>
      <c r="K267" s="13"/>
    </row>
    <row r="268" customFormat="false" ht="15" hidden="false" customHeight="false" outlineLevel="0" collapsed="false">
      <c r="A268" s="11" t="str">
        <f aca="false">Apontamentos!C268</f>
        <v/>
      </c>
      <c r="B268" s="11" t="str">
        <f aca="false">IF(Apontamentos!$C268="","",Apontamentos!D268&amp;"")</f>
        <v/>
      </c>
      <c r="C268" s="11" t="str">
        <f aca="false">IF(Apontamentos!$C268="","",Apontamentos!E268&amp;"")</f>
        <v/>
      </c>
      <c r="D268" s="10" t="str">
        <f aca="false">IF(Apontamentos!$C268="","",Apontamentos!F268&amp;"")</f>
        <v/>
      </c>
      <c r="E268" s="10" t="str">
        <f aca="false">IF(Apontamentos!$C268="","",Apontamentos!G268&amp;"")</f>
        <v/>
      </c>
      <c r="F268" s="14"/>
      <c r="G268" s="14"/>
      <c r="H268" s="14"/>
      <c r="I268" s="14"/>
      <c r="J268" s="13"/>
      <c r="K268" s="13"/>
    </row>
    <row r="269" customFormat="false" ht="15" hidden="false" customHeight="false" outlineLevel="0" collapsed="false">
      <c r="A269" s="11" t="str">
        <f aca="false">Apontamentos!C269</f>
        <v/>
      </c>
      <c r="B269" s="11" t="str">
        <f aca="false">IF(Apontamentos!$C269="","",Apontamentos!D269&amp;"")</f>
        <v/>
      </c>
      <c r="C269" s="11" t="str">
        <f aca="false">IF(Apontamentos!$C269="","",Apontamentos!E269&amp;"")</f>
        <v/>
      </c>
      <c r="D269" s="10" t="str">
        <f aca="false">IF(Apontamentos!$C269="","",Apontamentos!F269&amp;"")</f>
        <v/>
      </c>
      <c r="E269" s="10" t="str">
        <f aca="false">IF(Apontamentos!$C269="","",Apontamentos!G269&amp;"")</f>
        <v/>
      </c>
      <c r="F269" s="14"/>
      <c r="G269" s="14"/>
      <c r="H269" s="14"/>
      <c r="I269" s="14"/>
      <c r="J269" s="13"/>
      <c r="K269" s="13"/>
    </row>
    <row r="270" customFormat="false" ht="15" hidden="false" customHeight="false" outlineLevel="0" collapsed="false">
      <c r="A270" s="11" t="str">
        <f aca="false">Apontamentos!C270</f>
        <v/>
      </c>
      <c r="B270" s="11" t="str">
        <f aca="false">IF(Apontamentos!$C270="","",Apontamentos!D270&amp;"")</f>
        <v/>
      </c>
      <c r="C270" s="11" t="str">
        <f aca="false">IF(Apontamentos!$C270="","",Apontamentos!E270&amp;"")</f>
        <v/>
      </c>
      <c r="D270" s="10" t="str">
        <f aca="false">IF(Apontamentos!$C270="","",Apontamentos!F270&amp;"")</f>
        <v/>
      </c>
      <c r="E270" s="10" t="str">
        <f aca="false">IF(Apontamentos!$C270="","",Apontamentos!G270&amp;"")</f>
        <v/>
      </c>
      <c r="F270" s="14"/>
      <c r="G270" s="14"/>
      <c r="H270" s="14"/>
      <c r="I270" s="14"/>
      <c r="J270" s="13"/>
      <c r="K270" s="13"/>
    </row>
    <row r="271" customFormat="false" ht="15" hidden="false" customHeight="false" outlineLevel="0" collapsed="false">
      <c r="A271" s="11" t="str">
        <f aca="false">Apontamentos!C271</f>
        <v/>
      </c>
      <c r="B271" s="11" t="str">
        <f aca="false">IF(Apontamentos!$C271="","",Apontamentos!D271&amp;"")</f>
        <v/>
      </c>
      <c r="C271" s="11" t="str">
        <f aca="false">IF(Apontamentos!$C271="","",Apontamentos!E271&amp;"")</f>
        <v/>
      </c>
      <c r="D271" s="10" t="str">
        <f aca="false">IF(Apontamentos!$C271="","",Apontamentos!F271&amp;"")</f>
        <v/>
      </c>
      <c r="E271" s="10" t="str">
        <f aca="false">IF(Apontamentos!$C271="","",Apontamentos!G271&amp;"")</f>
        <v/>
      </c>
      <c r="F271" s="14"/>
      <c r="G271" s="14"/>
      <c r="H271" s="14"/>
      <c r="I271" s="14"/>
      <c r="J271" s="13"/>
      <c r="K271" s="13"/>
    </row>
    <row r="272" customFormat="false" ht="15" hidden="false" customHeight="false" outlineLevel="0" collapsed="false">
      <c r="A272" s="11" t="str">
        <f aca="false">Apontamentos!C272</f>
        <v/>
      </c>
      <c r="B272" s="11" t="str">
        <f aca="false">IF(Apontamentos!$C272="","",Apontamentos!D272&amp;"")</f>
        <v/>
      </c>
      <c r="C272" s="11" t="str">
        <f aca="false">IF(Apontamentos!$C272="","",Apontamentos!E272&amp;"")</f>
        <v/>
      </c>
      <c r="D272" s="10" t="str">
        <f aca="false">IF(Apontamentos!$C272="","",Apontamentos!F272&amp;"")</f>
        <v/>
      </c>
      <c r="E272" s="10" t="str">
        <f aca="false">IF(Apontamentos!$C272="","",Apontamentos!G272&amp;"")</f>
        <v/>
      </c>
      <c r="F272" s="14"/>
      <c r="G272" s="14"/>
      <c r="H272" s="14"/>
      <c r="I272" s="14"/>
      <c r="J272" s="13"/>
      <c r="K272" s="13"/>
    </row>
    <row r="273" customFormat="false" ht="15" hidden="false" customHeight="false" outlineLevel="0" collapsed="false">
      <c r="A273" s="11" t="str">
        <f aca="false">Apontamentos!C273</f>
        <v/>
      </c>
      <c r="B273" s="11" t="str">
        <f aca="false">IF(Apontamentos!$C273="","",Apontamentos!D273&amp;"")</f>
        <v/>
      </c>
      <c r="C273" s="11" t="str">
        <f aca="false">IF(Apontamentos!$C273="","",Apontamentos!E273&amp;"")</f>
        <v/>
      </c>
      <c r="D273" s="10" t="str">
        <f aca="false">IF(Apontamentos!$C273="","",Apontamentos!F273&amp;"")</f>
        <v/>
      </c>
      <c r="E273" s="10" t="str">
        <f aca="false">IF(Apontamentos!$C273="","",Apontamentos!G273&amp;"")</f>
        <v/>
      </c>
      <c r="F273" s="14"/>
      <c r="G273" s="14"/>
      <c r="H273" s="14"/>
      <c r="I273" s="14"/>
      <c r="J273" s="13"/>
      <c r="K273" s="13"/>
    </row>
    <row r="274" customFormat="false" ht="15" hidden="false" customHeight="false" outlineLevel="0" collapsed="false">
      <c r="A274" s="11" t="str">
        <f aca="false">Apontamentos!C274</f>
        <v/>
      </c>
      <c r="B274" s="11" t="str">
        <f aca="false">IF(Apontamentos!$C274="","",Apontamentos!D274&amp;"")</f>
        <v/>
      </c>
      <c r="C274" s="11" t="str">
        <f aca="false">IF(Apontamentos!$C274="","",Apontamentos!E274&amp;"")</f>
        <v/>
      </c>
      <c r="D274" s="10" t="str">
        <f aca="false">IF(Apontamentos!$C274="","",Apontamentos!F274&amp;"")</f>
        <v/>
      </c>
      <c r="E274" s="10" t="str">
        <f aca="false">IF(Apontamentos!$C274="","",Apontamentos!G274&amp;"")</f>
        <v/>
      </c>
      <c r="F274" s="14"/>
      <c r="G274" s="14"/>
      <c r="H274" s="14"/>
      <c r="I274" s="14"/>
      <c r="J274" s="13"/>
      <c r="K274" s="13"/>
    </row>
    <row r="275" customFormat="false" ht="15" hidden="false" customHeight="false" outlineLevel="0" collapsed="false">
      <c r="A275" s="11" t="str">
        <f aca="false">Apontamentos!C275</f>
        <v/>
      </c>
      <c r="B275" s="11" t="str">
        <f aca="false">IF(Apontamentos!$C275="","",Apontamentos!D275&amp;"")</f>
        <v/>
      </c>
      <c r="C275" s="11" t="str">
        <f aca="false">IF(Apontamentos!$C275="","",Apontamentos!E275&amp;"")</f>
        <v/>
      </c>
      <c r="D275" s="10" t="str">
        <f aca="false">IF(Apontamentos!$C275="","",Apontamentos!F275&amp;"")</f>
        <v/>
      </c>
      <c r="E275" s="10" t="str">
        <f aca="false">IF(Apontamentos!$C275="","",Apontamentos!G275&amp;"")</f>
        <v/>
      </c>
      <c r="F275" s="14"/>
      <c r="G275" s="14"/>
      <c r="H275" s="14"/>
      <c r="I275" s="14"/>
      <c r="J275" s="13"/>
      <c r="K275" s="13"/>
    </row>
    <row r="276" customFormat="false" ht="15" hidden="false" customHeight="false" outlineLevel="0" collapsed="false">
      <c r="A276" s="11" t="str">
        <f aca="false">Apontamentos!C276</f>
        <v/>
      </c>
      <c r="B276" s="11" t="str">
        <f aca="false">IF(Apontamentos!$C276="","",Apontamentos!D276&amp;"")</f>
        <v/>
      </c>
      <c r="C276" s="11" t="str">
        <f aca="false">IF(Apontamentos!$C276="","",Apontamentos!E276&amp;"")</f>
        <v/>
      </c>
      <c r="D276" s="10" t="str">
        <f aca="false">IF(Apontamentos!$C276="","",Apontamentos!F276&amp;"")</f>
        <v/>
      </c>
      <c r="E276" s="10" t="str">
        <f aca="false">IF(Apontamentos!$C276="","",Apontamentos!G276&amp;"")</f>
        <v/>
      </c>
      <c r="F276" s="14"/>
      <c r="G276" s="14"/>
      <c r="H276" s="14"/>
      <c r="I276" s="14"/>
      <c r="J276" s="13"/>
      <c r="K276" s="13"/>
    </row>
    <row r="277" customFormat="false" ht="15" hidden="false" customHeight="false" outlineLevel="0" collapsed="false">
      <c r="A277" s="11" t="str">
        <f aca="false">Apontamentos!C277</f>
        <v/>
      </c>
      <c r="B277" s="11" t="str">
        <f aca="false">IF(Apontamentos!$C277="","",Apontamentos!D277&amp;"")</f>
        <v/>
      </c>
      <c r="C277" s="11" t="str">
        <f aca="false">IF(Apontamentos!$C277="","",Apontamentos!E277&amp;"")</f>
        <v/>
      </c>
      <c r="D277" s="10" t="str">
        <f aca="false">IF(Apontamentos!$C277="","",Apontamentos!F277&amp;"")</f>
        <v/>
      </c>
      <c r="E277" s="10" t="str">
        <f aca="false">IF(Apontamentos!$C277="","",Apontamentos!G277&amp;"")</f>
        <v/>
      </c>
      <c r="F277" s="14"/>
      <c r="G277" s="14"/>
      <c r="H277" s="14"/>
      <c r="I277" s="14"/>
      <c r="J277" s="13"/>
      <c r="K277" s="13"/>
    </row>
    <row r="278" customFormat="false" ht="15" hidden="false" customHeight="false" outlineLevel="0" collapsed="false">
      <c r="A278" s="11" t="str">
        <f aca="false">Apontamentos!C278</f>
        <v/>
      </c>
      <c r="B278" s="11" t="str">
        <f aca="false">IF(Apontamentos!$C278="","",Apontamentos!D278&amp;"")</f>
        <v/>
      </c>
      <c r="C278" s="11" t="str">
        <f aca="false">IF(Apontamentos!$C278="","",Apontamentos!E278&amp;"")</f>
        <v/>
      </c>
      <c r="D278" s="10" t="str">
        <f aca="false">IF(Apontamentos!$C278="","",Apontamentos!F278&amp;"")</f>
        <v/>
      </c>
      <c r="E278" s="10" t="str">
        <f aca="false">IF(Apontamentos!$C278="","",Apontamentos!G278&amp;"")</f>
        <v/>
      </c>
      <c r="F278" s="14"/>
      <c r="G278" s="14"/>
      <c r="H278" s="14"/>
      <c r="I278" s="14"/>
      <c r="J278" s="13"/>
      <c r="K278" s="13"/>
    </row>
    <row r="279" customFormat="false" ht="15" hidden="false" customHeight="false" outlineLevel="0" collapsed="false">
      <c r="A279" s="11" t="str">
        <f aca="false">Apontamentos!C279</f>
        <v/>
      </c>
      <c r="B279" s="11" t="str">
        <f aca="false">IF(Apontamentos!$C279="","",Apontamentos!D279&amp;"")</f>
        <v/>
      </c>
      <c r="C279" s="11" t="str">
        <f aca="false">IF(Apontamentos!$C279="","",Apontamentos!E279&amp;"")</f>
        <v/>
      </c>
      <c r="D279" s="10" t="str">
        <f aca="false">IF(Apontamentos!$C279="","",Apontamentos!F279&amp;"")</f>
        <v/>
      </c>
      <c r="E279" s="10" t="str">
        <f aca="false">IF(Apontamentos!$C279="","",Apontamentos!G279&amp;"")</f>
        <v/>
      </c>
      <c r="F279" s="14"/>
      <c r="G279" s="14"/>
      <c r="H279" s="14"/>
      <c r="I279" s="14"/>
      <c r="J279" s="13"/>
      <c r="K279" s="13"/>
    </row>
    <row r="280" customFormat="false" ht="15" hidden="false" customHeight="false" outlineLevel="0" collapsed="false">
      <c r="A280" s="11" t="str">
        <f aca="false">Apontamentos!C280</f>
        <v/>
      </c>
      <c r="B280" s="11" t="str">
        <f aca="false">IF(Apontamentos!$C280="","",Apontamentos!D280&amp;"")</f>
        <v/>
      </c>
      <c r="C280" s="11" t="str">
        <f aca="false">IF(Apontamentos!$C280="","",Apontamentos!E280&amp;"")</f>
        <v/>
      </c>
      <c r="D280" s="10" t="str">
        <f aca="false">IF(Apontamentos!$C280="","",Apontamentos!F280&amp;"")</f>
        <v/>
      </c>
      <c r="E280" s="10" t="str">
        <f aca="false">IF(Apontamentos!$C280="","",Apontamentos!G280&amp;"")</f>
        <v/>
      </c>
      <c r="F280" s="14"/>
      <c r="G280" s="14"/>
      <c r="H280" s="14"/>
      <c r="I280" s="14"/>
      <c r="J280" s="13"/>
      <c r="K280" s="13"/>
    </row>
    <row r="281" customFormat="false" ht="15" hidden="false" customHeight="false" outlineLevel="0" collapsed="false">
      <c r="A281" s="11" t="str">
        <f aca="false">Apontamentos!C281</f>
        <v/>
      </c>
      <c r="B281" s="11" t="str">
        <f aca="false">IF(Apontamentos!$C281="","",Apontamentos!D281&amp;"")</f>
        <v/>
      </c>
      <c r="C281" s="11" t="str">
        <f aca="false">IF(Apontamentos!$C281="","",Apontamentos!E281&amp;"")</f>
        <v/>
      </c>
      <c r="D281" s="10" t="str">
        <f aca="false">IF(Apontamentos!$C281="","",Apontamentos!F281&amp;"")</f>
        <v/>
      </c>
      <c r="E281" s="10" t="str">
        <f aca="false">IF(Apontamentos!$C281="","",Apontamentos!G281&amp;"")</f>
        <v/>
      </c>
      <c r="F281" s="14"/>
      <c r="G281" s="14"/>
      <c r="H281" s="14"/>
      <c r="I281" s="14"/>
      <c r="J281" s="13"/>
      <c r="K281" s="13"/>
    </row>
    <row r="282" customFormat="false" ht="15" hidden="false" customHeight="false" outlineLevel="0" collapsed="false">
      <c r="A282" s="11" t="str">
        <f aca="false">Apontamentos!C282</f>
        <v/>
      </c>
      <c r="B282" s="11" t="str">
        <f aca="false">IF(Apontamentos!$C282="","",Apontamentos!D282&amp;"")</f>
        <v/>
      </c>
      <c r="C282" s="11" t="str">
        <f aca="false">IF(Apontamentos!$C282="","",Apontamentos!E282&amp;"")</f>
        <v/>
      </c>
      <c r="D282" s="10" t="str">
        <f aca="false">IF(Apontamentos!$C282="","",Apontamentos!F282&amp;"")</f>
        <v/>
      </c>
      <c r="E282" s="10" t="str">
        <f aca="false">IF(Apontamentos!$C282="","",Apontamentos!G282&amp;"")</f>
        <v/>
      </c>
      <c r="F282" s="14"/>
      <c r="G282" s="14"/>
      <c r="H282" s="14"/>
      <c r="I282" s="14"/>
      <c r="J282" s="13"/>
      <c r="K282" s="13"/>
    </row>
    <row r="283" customFormat="false" ht="15" hidden="false" customHeight="false" outlineLevel="0" collapsed="false">
      <c r="A283" s="11" t="str">
        <f aca="false">Apontamentos!C283</f>
        <v/>
      </c>
      <c r="B283" s="11" t="str">
        <f aca="false">IF(Apontamentos!$C283="","",Apontamentos!D283&amp;"")</f>
        <v/>
      </c>
      <c r="C283" s="11" t="str">
        <f aca="false">IF(Apontamentos!$C283="","",Apontamentos!E283&amp;"")</f>
        <v/>
      </c>
      <c r="D283" s="10" t="str">
        <f aca="false">IF(Apontamentos!$C283="","",Apontamentos!F283&amp;"")</f>
        <v/>
      </c>
      <c r="E283" s="10" t="str">
        <f aca="false">IF(Apontamentos!$C283="","",Apontamentos!G283&amp;"")</f>
        <v/>
      </c>
      <c r="F283" s="14"/>
      <c r="G283" s="14"/>
      <c r="H283" s="14"/>
      <c r="I283" s="14"/>
      <c r="J283" s="13"/>
      <c r="K283" s="13"/>
    </row>
    <row r="284" customFormat="false" ht="15" hidden="false" customHeight="false" outlineLevel="0" collapsed="false">
      <c r="A284" s="11" t="str">
        <f aca="false">Apontamentos!C284</f>
        <v/>
      </c>
      <c r="B284" s="11" t="str">
        <f aca="false">IF(Apontamentos!$C284="","",Apontamentos!D284&amp;"")</f>
        <v/>
      </c>
      <c r="C284" s="11" t="str">
        <f aca="false">IF(Apontamentos!$C284="","",Apontamentos!E284&amp;"")</f>
        <v/>
      </c>
      <c r="D284" s="10" t="str">
        <f aca="false">IF(Apontamentos!$C284="","",Apontamentos!F284&amp;"")</f>
        <v/>
      </c>
      <c r="E284" s="10" t="str">
        <f aca="false">IF(Apontamentos!$C284="","",Apontamentos!G284&amp;"")</f>
        <v/>
      </c>
      <c r="F284" s="14"/>
      <c r="G284" s="14"/>
      <c r="H284" s="14"/>
      <c r="I284" s="14"/>
      <c r="J284" s="13"/>
      <c r="K284" s="13"/>
    </row>
    <row r="285" customFormat="false" ht="15" hidden="false" customHeight="false" outlineLevel="0" collapsed="false">
      <c r="A285" s="11" t="str">
        <f aca="false">Apontamentos!C285</f>
        <v/>
      </c>
      <c r="B285" s="11" t="str">
        <f aca="false">IF(Apontamentos!$C285="","",Apontamentos!D285&amp;"")</f>
        <v/>
      </c>
      <c r="C285" s="11" t="str">
        <f aca="false">IF(Apontamentos!$C285="","",Apontamentos!E285&amp;"")</f>
        <v/>
      </c>
      <c r="D285" s="10" t="str">
        <f aca="false">IF(Apontamentos!$C285="","",Apontamentos!F285&amp;"")</f>
        <v/>
      </c>
      <c r="E285" s="10" t="str">
        <f aca="false">IF(Apontamentos!$C285="","",Apontamentos!G285&amp;"")</f>
        <v/>
      </c>
      <c r="F285" s="14"/>
      <c r="G285" s="14"/>
      <c r="H285" s="14"/>
      <c r="I285" s="14"/>
      <c r="J285" s="13"/>
      <c r="K285" s="13"/>
    </row>
    <row r="286" customFormat="false" ht="15" hidden="false" customHeight="false" outlineLevel="0" collapsed="false">
      <c r="A286" s="11" t="str">
        <f aca="false">Apontamentos!C286</f>
        <v/>
      </c>
      <c r="B286" s="11" t="str">
        <f aca="false">IF(Apontamentos!$C286="","",Apontamentos!D286&amp;"")</f>
        <v/>
      </c>
      <c r="C286" s="11" t="str">
        <f aca="false">IF(Apontamentos!$C286="","",Apontamentos!E286&amp;"")</f>
        <v/>
      </c>
      <c r="D286" s="10" t="str">
        <f aca="false">IF(Apontamentos!$C286="","",Apontamentos!F286&amp;"")</f>
        <v/>
      </c>
      <c r="E286" s="10" t="str">
        <f aca="false">IF(Apontamentos!$C286="","",Apontamentos!G286&amp;"")</f>
        <v/>
      </c>
      <c r="F286" s="14"/>
      <c r="G286" s="14"/>
      <c r="H286" s="14"/>
      <c r="I286" s="14"/>
      <c r="J286" s="13"/>
      <c r="K286" s="13"/>
    </row>
    <row r="287" customFormat="false" ht="15" hidden="false" customHeight="false" outlineLevel="0" collapsed="false">
      <c r="A287" s="11" t="str">
        <f aca="false">Apontamentos!C287</f>
        <v/>
      </c>
      <c r="B287" s="11" t="str">
        <f aca="false">IF(Apontamentos!$C287="","",Apontamentos!D287&amp;"")</f>
        <v/>
      </c>
      <c r="C287" s="11" t="str">
        <f aca="false">IF(Apontamentos!$C287="","",Apontamentos!E287&amp;"")</f>
        <v/>
      </c>
      <c r="D287" s="10" t="str">
        <f aca="false">IF(Apontamentos!$C287="","",Apontamentos!F287&amp;"")</f>
        <v/>
      </c>
      <c r="E287" s="10" t="str">
        <f aca="false">IF(Apontamentos!$C287="","",Apontamentos!G287&amp;"")</f>
        <v/>
      </c>
      <c r="F287" s="14"/>
      <c r="G287" s="14"/>
      <c r="H287" s="14"/>
      <c r="I287" s="14"/>
      <c r="J287" s="13"/>
      <c r="K287" s="13"/>
    </row>
    <row r="288" customFormat="false" ht="15" hidden="false" customHeight="false" outlineLevel="0" collapsed="false">
      <c r="A288" s="11" t="str">
        <f aca="false">Apontamentos!C288</f>
        <v/>
      </c>
      <c r="B288" s="11" t="str">
        <f aca="false">IF(Apontamentos!$C288="","",Apontamentos!D288&amp;"")</f>
        <v/>
      </c>
      <c r="C288" s="11" t="str">
        <f aca="false">IF(Apontamentos!$C288="","",Apontamentos!E288&amp;"")</f>
        <v/>
      </c>
      <c r="D288" s="10" t="str">
        <f aca="false">IF(Apontamentos!$C288="","",Apontamentos!F288&amp;"")</f>
        <v/>
      </c>
      <c r="E288" s="10" t="str">
        <f aca="false">IF(Apontamentos!$C288="","",Apontamentos!G288&amp;"")</f>
        <v/>
      </c>
      <c r="F288" s="14"/>
      <c r="G288" s="14"/>
      <c r="H288" s="14"/>
      <c r="I288" s="14"/>
      <c r="J288" s="13"/>
      <c r="K288" s="13"/>
    </row>
    <row r="289" customFormat="false" ht="15" hidden="false" customHeight="false" outlineLevel="0" collapsed="false">
      <c r="A289" s="11" t="str">
        <f aca="false">Apontamentos!C289</f>
        <v/>
      </c>
      <c r="B289" s="11" t="str">
        <f aca="false">IF(Apontamentos!$C289="","",Apontamentos!D289&amp;"")</f>
        <v/>
      </c>
      <c r="C289" s="11" t="str">
        <f aca="false">IF(Apontamentos!$C289="","",Apontamentos!E289&amp;"")</f>
        <v/>
      </c>
      <c r="D289" s="10" t="str">
        <f aca="false">IF(Apontamentos!$C289="","",Apontamentos!F289&amp;"")</f>
        <v/>
      </c>
      <c r="E289" s="10" t="str">
        <f aca="false">IF(Apontamentos!$C289="","",Apontamentos!G289&amp;"")</f>
        <v/>
      </c>
      <c r="F289" s="14"/>
      <c r="G289" s="14"/>
      <c r="H289" s="14"/>
      <c r="I289" s="14"/>
      <c r="J289" s="13"/>
      <c r="K289" s="13"/>
    </row>
    <row r="290" customFormat="false" ht="15" hidden="false" customHeight="false" outlineLevel="0" collapsed="false">
      <c r="A290" s="11" t="str">
        <f aca="false">Apontamentos!C290</f>
        <v/>
      </c>
      <c r="B290" s="11" t="str">
        <f aca="false">IF(Apontamentos!$C290="","",Apontamentos!D290&amp;"")</f>
        <v/>
      </c>
      <c r="C290" s="11" t="str">
        <f aca="false">IF(Apontamentos!$C290="","",Apontamentos!E290&amp;"")</f>
        <v/>
      </c>
      <c r="D290" s="10" t="str">
        <f aca="false">IF(Apontamentos!$C290="","",Apontamentos!F290&amp;"")</f>
        <v/>
      </c>
      <c r="E290" s="10" t="str">
        <f aca="false">IF(Apontamentos!$C290="","",Apontamentos!G290&amp;"")</f>
        <v/>
      </c>
      <c r="F290" s="14"/>
      <c r="G290" s="14"/>
      <c r="H290" s="14"/>
      <c r="I290" s="14"/>
      <c r="J290" s="13"/>
      <c r="K290" s="13"/>
    </row>
    <row r="291" customFormat="false" ht="15" hidden="false" customHeight="false" outlineLevel="0" collapsed="false">
      <c r="A291" s="11" t="str">
        <f aca="false">Apontamentos!C291</f>
        <v/>
      </c>
      <c r="B291" s="11" t="str">
        <f aca="false">IF(Apontamentos!$C291="","",Apontamentos!D291&amp;"")</f>
        <v/>
      </c>
      <c r="C291" s="11" t="str">
        <f aca="false">IF(Apontamentos!$C291="","",Apontamentos!E291&amp;"")</f>
        <v/>
      </c>
      <c r="D291" s="10" t="str">
        <f aca="false">IF(Apontamentos!$C291="","",Apontamentos!F291&amp;"")</f>
        <v/>
      </c>
      <c r="E291" s="10" t="str">
        <f aca="false">IF(Apontamentos!$C291="","",Apontamentos!G291&amp;"")</f>
        <v/>
      </c>
      <c r="F291" s="14"/>
      <c r="G291" s="14"/>
      <c r="H291" s="14"/>
      <c r="I291" s="14"/>
      <c r="J291" s="13"/>
      <c r="K291" s="13"/>
    </row>
    <row r="292" customFormat="false" ht="15" hidden="false" customHeight="false" outlineLevel="0" collapsed="false">
      <c r="A292" s="11" t="str">
        <f aca="false">Apontamentos!C292</f>
        <v/>
      </c>
      <c r="B292" s="11" t="str">
        <f aca="false">IF(Apontamentos!$C292="","",Apontamentos!D292&amp;"")</f>
        <v/>
      </c>
      <c r="C292" s="11" t="str">
        <f aca="false">IF(Apontamentos!$C292="","",Apontamentos!E292&amp;"")</f>
        <v/>
      </c>
      <c r="D292" s="10" t="str">
        <f aca="false">IF(Apontamentos!$C292="","",Apontamentos!F292&amp;"")</f>
        <v/>
      </c>
      <c r="E292" s="10" t="str">
        <f aca="false">IF(Apontamentos!$C292="","",Apontamentos!G292&amp;"")</f>
        <v/>
      </c>
      <c r="F292" s="14"/>
      <c r="G292" s="14"/>
      <c r="H292" s="14"/>
      <c r="I292" s="14"/>
      <c r="J292" s="13"/>
      <c r="K292" s="13"/>
    </row>
    <row r="293" customFormat="false" ht="15" hidden="false" customHeight="false" outlineLevel="0" collapsed="false">
      <c r="A293" s="11" t="str">
        <f aca="false">Apontamentos!C293</f>
        <v/>
      </c>
      <c r="B293" s="11" t="str">
        <f aca="false">IF(Apontamentos!$C293="","",Apontamentos!D293&amp;"")</f>
        <v/>
      </c>
      <c r="C293" s="11" t="str">
        <f aca="false">IF(Apontamentos!$C293="","",Apontamentos!E293&amp;"")</f>
        <v/>
      </c>
      <c r="D293" s="10" t="str">
        <f aca="false">IF(Apontamentos!$C293="","",Apontamentos!F293&amp;"")</f>
        <v/>
      </c>
      <c r="E293" s="10" t="str">
        <f aca="false">IF(Apontamentos!$C293="","",Apontamentos!G293&amp;"")</f>
        <v/>
      </c>
      <c r="F293" s="14"/>
      <c r="G293" s="14"/>
      <c r="H293" s="14"/>
      <c r="I293" s="14"/>
      <c r="J293" s="13"/>
      <c r="K293" s="13"/>
    </row>
    <row r="294" customFormat="false" ht="15" hidden="false" customHeight="false" outlineLevel="0" collapsed="false">
      <c r="A294" s="11" t="str">
        <f aca="false">Apontamentos!C294</f>
        <v/>
      </c>
      <c r="B294" s="11" t="str">
        <f aca="false">IF(Apontamentos!$C294="","",Apontamentos!D294&amp;"")</f>
        <v/>
      </c>
      <c r="C294" s="11" t="str">
        <f aca="false">IF(Apontamentos!$C294="","",Apontamentos!E294&amp;"")</f>
        <v/>
      </c>
      <c r="D294" s="10" t="str">
        <f aca="false">IF(Apontamentos!$C294="","",Apontamentos!F294&amp;"")</f>
        <v/>
      </c>
      <c r="E294" s="10" t="str">
        <f aca="false">IF(Apontamentos!$C294="","",Apontamentos!G294&amp;"")</f>
        <v/>
      </c>
      <c r="F294" s="14"/>
      <c r="G294" s="14"/>
      <c r="H294" s="14"/>
      <c r="I294" s="14"/>
      <c r="J294" s="13"/>
      <c r="K294" s="13"/>
    </row>
    <row r="295" customFormat="false" ht="15" hidden="false" customHeight="false" outlineLevel="0" collapsed="false">
      <c r="A295" s="11" t="str">
        <f aca="false">Apontamentos!C295</f>
        <v/>
      </c>
      <c r="B295" s="11" t="str">
        <f aca="false">IF(Apontamentos!$C295="","",Apontamentos!D295&amp;"")</f>
        <v/>
      </c>
      <c r="C295" s="11" t="str">
        <f aca="false">IF(Apontamentos!$C295="","",Apontamentos!E295&amp;"")</f>
        <v/>
      </c>
      <c r="D295" s="10" t="str">
        <f aca="false">IF(Apontamentos!$C295="","",Apontamentos!F295&amp;"")</f>
        <v/>
      </c>
      <c r="E295" s="10" t="str">
        <f aca="false">IF(Apontamentos!$C295="","",Apontamentos!G295&amp;"")</f>
        <v/>
      </c>
      <c r="F295" s="14"/>
      <c r="G295" s="14"/>
      <c r="H295" s="14"/>
      <c r="I295" s="14"/>
      <c r="J295" s="13"/>
      <c r="K295" s="13"/>
    </row>
    <row r="296" customFormat="false" ht="15" hidden="false" customHeight="false" outlineLevel="0" collapsed="false">
      <c r="A296" s="11" t="str">
        <f aca="false">Apontamentos!C296</f>
        <v/>
      </c>
      <c r="B296" s="11" t="str">
        <f aca="false">IF(Apontamentos!$C296="","",Apontamentos!D296&amp;"")</f>
        <v/>
      </c>
      <c r="C296" s="11" t="str">
        <f aca="false">IF(Apontamentos!$C296="","",Apontamentos!E296&amp;"")</f>
        <v/>
      </c>
      <c r="D296" s="10" t="str">
        <f aca="false">IF(Apontamentos!$C296="","",Apontamentos!F296&amp;"")</f>
        <v/>
      </c>
      <c r="E296" s="10" t="str">
        <f aca="false">IF(Apontamentos!$C296="","",Apontamentos!G296&amp;"")</f>
        <v/>
      </c>
      <c r="F296" s="14"/>
      <c r="G296" s="14"/>
      <c r="H296" s="14"/>
      <c r="I296" s="14"/>
      <c r="J296" s="13"/>
      <c r="K296" s="13"/>
    </row>
    <row r="297" customFormat="false" ht="15" hidden="false" customHeight="false" outlineLevel="0" collapsed="false">
      <c r="A297" s="11" t="str">
        <f aca="false">Apontamentos!C297</f>
        <v/>
      </c>
      <c r="B297" s="11" t="str">
        <f aca="false">IF(Apontamentos!$C297="","",Apontamentos!D297&amp;"")</f>
        <v/>
      </c>
      <c r="C297" s="11" t="str">
        <f aca="false">IF(Apontamentos!$C297="","",Apontamentos!E297&amp;"")</f>
        <v/>
      </c>
      <c r="D297" s="10" t="str">
        <f aca="false">IF(Apontamentos!$C297="","",Apontamentos!F297&amp;"")</f>
        <v/>
      </c>
      <c r="E297" s="10" t="str">
        <f aca="false">IF(Apontamentos!$C297="","",Apontamentos!G297&amp;"")</f>
        <v/>
      </c>
      <c r="F297" s="14"/>
      <c r="G297" s="14"/>
      <c r="H297" s="14"/>
      <c r="I297" s="14"/>
      <c r="J297" s="13"/>
      <c r="K297" s="13"/>
    </row>
    <row r="298" customFormat="false" ht="15" hidden="false" customHeight="false" outlineLevel="0" collapsed="false">
      <c r="A298" s="11" t="str">
        <f aca="false">Apontamentos!C298</f>
        <v/>
      </c>
      <c r="B298" s="11" t="str">
        <f aca="false">IF(Apontamentos!$C298="","",Apontamentos!D298&amp;"")</f>
        <v/>
      </c>
      <c r="C298" s="11" t="str">
        <f aca="false">IF(Apontamentos!$C298="","",Apontamentos!E298&amp;"")</f>
        <v/>
      </c>
      <c r="D298" s="10" t="str">
        <f aca="false">IF(Apontamentos!$C298="","",Apontamentos!F298&amp;"")</f>
        <v/>
      </c>
      <c r="E298" s="10" t="str">
        <f aca="false">IF(Apontamentos!$C298="","",Apontamentos!G298&amp;"")</f>
        <v/>
      </c>
      <c r="F298" s="14"/>
      <c r="G298" s="14"/>
      <c r="H298" s="14"/>
      <c r="I298" s="14"/>
      <c r="J298" s="13"/>
      <c r="K298" s="13"/>
    </row>
    <row r="299" customFormat="false" ht="15" hidden="false" customHeight="false" outlineLevel="0" collapsed="false">
      <c r="A299" s="11" t="str">
        <f aca="false">Apontamentos!C299</f>
        <v/>
      </c>
      <c r="B299" s="11" t="str">
        <f aca="false">IF(Apontamentos!$C299="","",Apontamentos!D299&amp;"")</f>
        <v/>
      </c>
      <c r="C299" s="11" t="str">
        <f aca="false">IF(Apontamentos!$C299="","",Apontamentos!E299&amp;"")</f>
        <v/>
      </c>
      <c r="D299" s="10" t="str">
        <f aca="false">IF(Apontamentos!$C299="","",Apontamentos!F299&amp;"")</f>
        <v/>
      </c>
      <c r="E299" s="10" t="str">
        <f aca="false">IF(Apontamentos!$C299="","",Apontamentos!G299&amp;"")</f>
        <v/>
      </c>
      <c r="F299" s="14"/>
      <c r="G299" s="14"/>
      <c r="H299" s="14"/>
      <c r="I299" s="14"/>
      <c r="J299" s="13"/>
      <c r="K299" s="13"/>
    </row>
    <row r="300" customFormat="false" ht="15" hidden="false" customHeight="false" outlineLevel="0" collapsed="false">
      <c r="A300" s="11" t="str">
        <f aca="false">Apontamentos!C300</f>
        <v/>
      </c>
      <c r="B300" s="11" t="str">
        <f aca="false">IF(Apontamentos!$C300="","",Apontamentos!D300&amp;"")</f>
        <v/>
      </c>
      <c r="C300" s="11" t="str">
        <f aca="false">IF(Apontamentos!$C300="","",Apontamentos!E300&amp;"")</f>
        <v/>
      </c>
      <c r="D300" s="10" t="str">
        <f aca="false">IF(Apontamentos!$C300="","",Apontamentos!F300&amp;"")</f>
        <v/>
      </c>
      <c r="E300" s="10" t="str">
        <f aca="false">IF(Apontamentos!$C300="","",Apontamentos!G300&amp;"")</f>
        <v/>
      </c>
      <c r="F300" s="14"/>
      <c r="G300" s="14"/>
      <c r="H300" s="14"/>
      <c r="I300" s="14"/>
      <c r="J300" s="13"/>
      <c r="K300" s="13"/>
    </row>
    <row r="301" customFormat="false" ht="15" hidden="false" customHeight="false" outlineLevel="0" collapsed="false">
      <c r="A301" s="11" t="str">
        <f aca="false">Apontamentos!C301</f>
        <v/>
      </c>
      <c r="B301" s="11" t="str">
        <f aca="false">IF(Apontamentos!$C301="","",Apontamentos!D301&amp;"")</f>
        <v/>
      </c>
      <c r="C301" s="11" t="str">
        <f aca="false">IF(Apontamentos!$C301="","",Apontamentos!E301&amp;"")</f>
        <v/>
      </c>
      <c r="D301" s="10" t="str">
        <f aca="false">IF(Apontamentos!$C301="","",Apontamentos!F301&amp;"")</f>
        <v/>
      </c>
      <c r="E301" s="10" t="str">
        <f aca="false">IF(Apontamentos!$C301="","",Apontamentos!G301&amp;"")</f>
        <v/>
      </c>
      <c r="F301" s="14"/>
      <c r="G301" s="14"/>
      <c r="H301" s="14"/>
      <c r="I301" s="14"/>
      <c r="J301" s="13"/>
      <c r="K301" s="13"/>
    </row>
    <row r="302" customFormat="false" ht="15" hidden="false" customHeight="false" outlineLevel="0" collapsed="false">
      <c r="A302" s="11" t="str">
        <f aca="false">Apontamentos!C302</f>
        <v/>
      </c>
      <c r="B302" s="11" t="str">
        <f aca="false">IF(Apontamentos!$C302="","",Apontamentos!D302&amp;"")</f>
        <v/>
      </c>
      <c r="C302" s="11" t="str">
        <f aca="false">IF(Apontamentos!$C302="","",Apontamentos!E302&amp;"")</f>
        <v/>
      </c>
      <c r="D302" s="10" t="str">
        <f aca="false">IF(Apontamentos!$C302="","",Apontamentos!F302&amp;"")</f>
        <v/>
      </c>
      <c r="E302" s="10" t="str">
        <f aca="false">IF(Apontamentos!$C302="","",Apontamentos!G302&amp;"")</f>
        <v/>
      </c>
      <c r="F302" s="14"/>
      <c r="G302" s="14"/>
      <c r="H302" s="14"/>
      <c r="I302" s="14"/>
      <c r="J302" s="13"/>
      <c r="K302" s="13"/>
    </row>
    <row r="303" customFormat="false" ht="15" hidden="false" customHeight="false" outlineLevel="0" collapsed="false">
      <c r="A303" s="11" t="str">
        <f aca="false">Apontamentos!C303</f>
        <v/>
      </c>
      <c r="B303" s="11" t="str">
        <f aca="false">IF(Apontamentos!$C303="","",Apontamentos!D303&amp;"")</f>
        <v/>
      </c>
      <c r="C303" s="11" t="str">
        <f aca="false">IF(Apontamentos!$C303="","",Apontamentos!E303&amp;"")</f>
        <v/>
      </c>
      <c r="D303" s="10" t="str">
        <f aca="false">IF(Apontamentos!$C303="","",Apontamentos!F303&amp;"")</f>
        <v/>
      </c>
      <c r="E303" s="10" t="str">
        <f aca="false">IF(Apontamentos!$C303="","",Apontamentos!G303&amp;"")</f>
        <v/>
      </c>
      <c r="F303" s="14"/>
      <c r="G303" s="14"/>
      <c r="H303" s="14"/>
      <c r="I303" s="14"/>
      <c r="J303" s="13"/>
      <c r="K303" s="13"/>
    </row>
    <row r="304" customFormat="false" ht="15" hidden="false" customHeight="false" outlineLevel="0" collapsed="false">
      <c r="A304" s="11" t="str">
        <f aca="false">Apontamentos!C304</f>
        <v/>
      </c>
      <c r="B304" s="11" t="str">
        <f aca="false">IF(Apontamentos!$C304="","",Apontamentos!D304&amp;"")</f>
        <v/>
      </c>
      <c r="C304" s="11" t="str">
        <f aca="false">IF(Apontamentos!$C304="","",Apontamentos!E304&amp;"")</f>
        <v/>
      </c>
      <c r="D304" s="10" t="str">
        <f aca="false">IF(Apontamentos!$C304="","",Apontamentos!F304&amp;"")</f>
        <v/>
      </c>
      <c r="E304" s="10" t="str">
        <f aca="false">IF(Apontamentos!$C304="","",Apontamentos!G304&amp;"")</f>
        <v/>
      </c>
      <c r="F304" s="14"/>
      <c r="G304" s="14"/>
      <c r="H304" s="14"/>
      <c r="I304" s="14"/>
      <c r="J304" s="13"/>
      <c r="K304" s="13"/>
    </row>
    <row r="305" customFormat="false" ht="15" hidden="false" customHeight="false" outlineLevel="0" collapsed="false">
      <c r="A305" s="11" t="str">
        <f aca="false">Apontamentos!C305</f>
        <v/>
      </c>
      <c r="B305" s="11" t="str">
        <f aca="false">IF(Apontamentos!$C305="","",Apontamentos!D305&amp;"")</f>
        <v/>
      </c>
      <c r="C305" s="11" t="str">
        <f aca="false">IF(Apontamentos!$C305="","",Apontamentos!E305&amp;"")</f>
        <v/>
      </c>
      <c r="D305" s="10" t="str">
        <f aca="false">IF(Apontamentos!$C305="","",Apontamentos!F305&amp;"")</f>
        <v/>
      </c>
      <c r="E305" s="10" t="str">
        <f aca="false">IF(Apontamentos!$C305="","",Apontamentos!G305&amp;"")</f>
        <v/>
      </c>
      <c r="F305" s="14"/>
      <c r="G305" s="14"/>
      <c r="H305" s="14"/>
      <c r="I305" s="14"/>
      <c r="J305" s="13"/>
      <c r="K305" s="13"/>
    </row>
    <row r="306" customFormat="false" ht="15" hidden="false" customHeight="false" outlineLevel="0" collapsed="false">
      <c r="A306" s="11" t="str">
        <f aca="false">Apontamentos!C306</f>
        <v/>
      </c>
      <c r="B306" s="11" t="str">
        <f aca="false">IF(Apontamentos!$C306="","",Apontamentos!D306&amp;"")</f>
        <v/>
      </c>
      <c r="C306" s="11" t="str">
        <f aca="false">IF(Apontamentos!$C306="","",Apontamentos!E306&amp;"")</f>
        <v/>
      </c>
      <c r="D306" s="10" t="str">
        <f aca="false">IF(Apontamentos!$C306="","",Apontamentos!F306&amp;"")</f>
        <v/>
      </c>
      <c r="E306" s="10" t="str">
        <f aca="false">IF(Apontamentos!$C306="","",Apontamentos!G306&amp;"")</f>
        <v/>
      </c>
      <c r="F306" s="14"/>
      <c r="G306" s="14"/>
      <c r="H306" s="14"/>
      <c r="I306" s="14"/>
      <c r="J306" s="13"/>
      <c r="K306" s="13"/>
    </row>
    <row r="307" customFormat="false" ht="15" hidden="false" customHeight="false" outlineLevel="0" collapsed="false">
      <c r="A307" s="11" t="str">
        <f aca="false">Apontamentos!C307</f>
        <v/>
      </c>
      <c r="B307" s="11" t="str">
        <f aca="false">IF(Apontamentos!$C307="","",Apontamentos!D307&amp;"")</f>
        <v/>
      </c>
      <c r="C307" s="11" t="str">
        <f aca="false">IF(Apontamentos!$C307="","",Apontamentos!E307&amp;"")</f>
        <v/>
      </c>
      <c r="D307" s="10" t="str">
        <f aca="false">IF(Apontamentos!$C307="","",Apontamentos!F307&amp;"")</f>
        <v/>
      </c>
      <c r="E307" s="10" t="str">
        <f aca="false">IF(Apontamentos!$C307="","",Apontamentos!G307&amp;"")</f>
        <v/>
      </c>
      <c r="F307" s="14"/>
      <c r="G307" s="14"/>
      <c r="H307" s="14"/>
      <c r="I307" s="14"/>
      <c r="J307" s="13"/>
      <c r="K307" s="13"/>
    </row>
    <row r="308" customFormat="false" ht="15" hidden="false" customHeight="false" outlineLevel="0" collapsed="false">
      <c r="A308" s="11" t="str">
        <f aca="false">Apontamentos!C308</f>
        <v/>
      </c>
      <c r="B308" s="11" t="str">
        <f aca="false">IF(Apontamentos!$C308="","",Apontamentos!D308&amp;"")</f>
        <v/>
      </c>
      <c r="C308" s="11" t="str">
        <f aca="false">IF(Apontamentos!$C308="","",Apontamentos!E308&amp;"")</f>
        <v/>
      </c>
      <c r="D308" s="10" t="str">
        <f aca="false">IF(Apontamentos!$C308="","",Apontamentos!F308&amp;"")</f>
        <v/>
      </c>
      <c r="E308" s="10" t="str">
        <f aca="false">IF(Apontamentos!$C308="","",Apontamentos!G308&amp;"")</f>
        <v/>
      </c>
      <c r="F308" s="14"/>
      <c r="G308" s="14"/>
      <c r="H308" s="14"/>
      <c r="I308" s="14"/>
      <c r="J308" s="13"/>
      <c r="K308" s="13"/>
    </row>
    <row r="309" customFormat="false" ht="15" hidden="false" customHeight="false" outlineLevel="0" collapsed="false">
      <c r="A309" s="11" t="str">
        <f aca="false">Apontamentos!C309</f>
        <v/>
      </c>
      <c r="B309" s="11" t="str">
        <f aca="false">IF(Apontamentos!$C309="","",Apontamentos!D309&amp;"")</f>
        <v/>
      </c>
      <c r="C309" s="11" t="str">
        <f aca="false">IF(Apontamentos!$C309="","",Apontamentos!E309&amp;"")</f>
        <v/>
      </c>
      <c r="D309" s="10" t="str">
        <f aca="false">IF(Apontamentos!$C309="","",Apontamentos!F309&amp;"")</f>
        <v/>
      </c>
      <c r="E309" s="10" t="str">
        <f aca="false">IF(Apontamentos!$C309="","",Apontamentos!G309&amp;"")</f>
        <v/>
      </c>
      <c r="F309" s="14"/>
      <c r="G309" s="14"/>
      <c r="H309" s="14"/>
      <c r="I309" s="14"/>
      <c r="J309" s="13"/>
      <c r="K309" s="13"/>
    </row>
    <row r="310" customFormat="false" ht="15" hidden="false" customHeight="false" outlineLevel="0" collapsed="false">
      <c r="A310" s="11" t="str">
        <f aca="false">Apontamentos!C310</f>
        <v/>
      </c>
      <c r="B310" s="11" t="str">
        <f aca="false">IF(Apontamentos!$C310="","",Apontamentos!D310&amp;"")</f>
        <v/>
      </c>
      <c r="C310" s="11" t="str">
        <f aca="false">IF(Apontamentos!$C310="","",Apontamentos!E310&amp;"")</f>
        <v/>
      </c>
      <c r="D310" s="10" t="str">
        <f aca="false">IF(Apontamentos!$C310="","",Apontamentos!F310&amp;"")</f>
        <v/>
      </c>
      <c r="E310" s="10" t="str">
        <f aca="false">IF(Apontamentos!$C310="","",Apontamentos!G310&amp;"")</f>
        <v/>
      </c>
      <c r="F310" s="14"/>
      <c r="G310" s="14"/>
      <c r="H310" s="14"/>
      <c r="I310" s="14"/>
      <c r="J310" s="13"/>
      <c r="K310" s="13"/>
    </row>
    <row r="311" customFormat="false" ht="15" hidden="false" customHeight="false" outlineLevel="0" collapsed="false">
      <c r="A311" s="11" t="str">
        <f aca="false">Apontamentos!C311</f>
        <v/>
      </c>
      <c r="B311" s="11" t="str">
        <f aca="false">IF(Apontamentos!$C311="","",Apontamentos!D311&amp;"")</f>
        <v/>
      </c>
      <c r="C311" s="11" t="str">
        <f aca="false">IF(Apontamentos!$C311="","",Apontamentos!E311&amp;"")</f>
        <v/>
      </c>
      <c r="D311" s="10" t="str">
        <f aca="false">IF(Apontamentos!$C311="","",Apontamentos!F311&amp;"")</f>
        <v/>
      </c>
      <c r="E311" s="10" t="str">
        <f aca="false">IF(Apontamentos!$C311="","",Apontamentos!G311&amp;"")</f>
        <v/>
      </c>
      <c r="F311" s="14"/>
      <c r="G311" s="14"/>
      <c r="H311" s="14"/>
      <c r="I311" s="14"/>
      <c r="J311" s="13"/>
      <c r="K311" s="13"/>
    </row>
    <row r="312" customFormat="false" ht="15" hidden="false" customHeight="false" outlineLevel="0" collapsed="false">
      <c r="A312" s="11" t="str">
        <f aca="false">Apontamentos!C312</f>
        <v/>
      </c>
      <c r="B312" s="11" t="str">
        <f aca="false">IF(Apontamentos!$C312="","",Apontamentos!D312&amp;"")</f>
        <v/>
      </c>
      <c r="C312" s="11" t="str">
        <f aca="false">IF(Apontamentos!$C312="","",Apontamentos!E312&amp;"")</f>
        <v/>
      </c>
      <c r="D312" s="10" t="str">
        <f aca="false">IF(Apontamentos!$C312="","",Apontamentos!F312&amp;"")</f>
        <v/>
      </c>
      <c r="E312" s="10" t="str">
        <f aca="false">IF(Apontamentos!$C312="","",Apontamentos!G312&amp;"")</f>
        <v/>
      </c>
      <c r="F312" s="14"/>
      <c r="G312" s="14"/>
      <c r="H312" s="14"/>
      <c r="I312" s="14"/>
      <c r="J312" s="13"/>
      <c r="K312" s="13"/>
    </row>
    <row r="313" customFormat="false" ht="15" hidden="false" customHeight="false" outlineLevel="0" collapsed="false">
      <c r="A313" s="11" t="str">
        <f aca="false">Apontamentos!C313</f>
        <v/>
      </c>
      <c r="B313" s="11" t="str">
        <f aca="false">IF(Apontamentos!$C313="","",Apontamentos!D313&amp;"")</f>
        <v/>
      </c>
      <c r="C313" s="11" t="str">
        <f aca="false">IF(Apontamentos!$C313="","",Apontamentos!E313&amp;"")</f>
        <v/>
      </c>
      <c r="D313" s="10" t="str">
        <f aca="false">IF(Apontamentos!$C313="","",Apontamentos!F313&amp;"")</f>
        <v/>
      </c>
      <c r="E313" s="10" t="str">
        <f aca="false">IF(Apontamentos!$C313="","",Apontamentos!G313&amp;"")</f>
        <v/>
      </c>
      <c r="F313" s="14"/>
      <c r="G313" s="14"/>
      <c r="H313" s="14"/>
      <c r="I313" s="14"/>
      <c r="J313" s="13"/>
      <c r="K313" s="13"/>
    </row>
    <row r="314" customFormat="false" ht="15" hidden="false" customHeight="false" outlineLevel="0" collapsed="false">
      <c r="A314" s="11" t="str">
        <f aca="false">Apontamentos!C314</f>
        <v/>
      </c>
      <c r="B314" s="11" t="str">
        <f aca="false">IF(Apontamentos!$C314="","",Apontamentos!D314&amp;"")</f>
        <v/>
      </c>
      <c r="C314" s="11" t="str">
        <f aca="false">IF(Apontamentos!$C314="","",Apontamentos!E314&amp;"")</f>
        <v/>
      </c>
      <c r="D314" s="10" t="str">
        <f aca="false">IF(Apontamentos!$C314="","",Apontamentos!F314&amp;"")</f>
        <v/>
      </c>
      <c r="E314" s="10" t="str">
        <f aca="false">IF(Apontamentos!$C314="","",Apontamentos!G314&amp;"")</f>
        <v/>
      </c>
      <c r="F314" s="14"/>
      <c r="G314" s="14"/>
      <c r="H314" s="14"/>
      <c r="I314" s="14"/>
      <c r="J314" s="13"/>
      <c r="K314" s="13"/>
    </row>
    <row r="315" customFormat="false" ht="15" hidden="false" customHeight="false" outlineLevel="0" collapsed="false">
      <c r="A315" s="11" t="str">
        <f aca="false">Apontamentos!C315</f>
        <v/>
      </c>
      <c r="B315" s="11" t="str">
        <f aca="false">IF(Apontamentos!$C315="","",Apontamentos!D315&amp;"")</f>
        <v/>
      </c>
      <c r="C315" s="11" t="str">
        <f aca="false">IF(Apontamentos!$C315="","",Apontamentos!E315&amp;"")</f>
        <v/>
      </c>
      <c r="D315" s="10" t="str">
        <f aca="false">IF(Apontamentos!$C315="","",Apontamentos!F315&amp;"")</f>
        <v/>
      </c>
      <c r="E315" s="10" t="str">
        <f aca="false">IF(Apontamentos!$C315="","",Apontamentos!G315&amp;"")</f>
        <v/>
      </c>
      <c r="F315" s="14"/>
      <c r="G315" s="14"/>
      <c r="H315" s="14"/>
      <c r="I315" s="14"/>
      <c r="J315" s="13"/>
      <c r="K315" s="13"/>
    </row>
    <row r="316" customFormat="false" ht="15" hidden="false" customHeight="false" outlineLevel="0" collapsed="false">
      <c r="A316" s="11" t="str">
        <f aca="false">Apontamentos!C316</f>
        <v/>
      </c>
      <c r="B316" s="11" t="str">
        <f aca="false">IF(Apontamentos!$C316="","",Apontamentos!D316&amp;"")</f>
        <v/>
      </c>
      <c r="C316" s="11" t="str">
        <f aca="false">IF(Apontamentos!$C316="","",Apontamentos!E316&amp;"")</f>
        <v/>
      </c>
      <c r="D316" s="10" t="str">
        <f aca="false">IF(Apontamentos!$C316="","",Apontamentos!F316&amp;"")</f>
        <v/>
      </c>
      <c r="E316" s="10" t="str">
        <f aca="false">IF(Apontamentos!$C316="","",Apontamentos!G316&amp;"")</f>
        <v/>
      </c>
      <c r="F316" s="14"/>
      <c r="G316" s="14"/>
      <c r="H316" s="14"/>
      <c r="I316" s="14"/>
      <c r="J316" s="13"/>
      <c r="K316" s="13"/>
    </row>
    <row r="317" customFormat="false" ht="15" hidden="false" customHeight="false" outlineLevel="0" collapsed="false">
      <c r="A317" s="11" t="str">
        <f aca="false">Apontamentos!C317</f>
        <v/>
      </c>
      <c r="B317" s="11" t="str">
        <f aca="false">IF(Apontamentos!$C317="","",Apontamentos!D317&amp;"")</f>
        <v/>
      </c>
      <c r="C317" s="11" t="str">
        <f aca="false">IF(Apontamentos!$C317="","",Apontamentos!E317&amp;"")</f>
        <v/>
      </c>
      <c r="D317" s="10" t="str">
        <f aca="false">IF(Apontamentos!$C317="","",Apontamentos!F317&amp;"")</f>
        <v/>
      </c>
      <c r="E317" s="10" t="str">
        <f aca="false">IF(Apontamentos!$C317="","",Apontamentos!G317&amp;"")</f>
        <v/>
      </c>
      <c r="F317" s="14"/>
      <c r="G317" s="14"/>
      <c r="H317" s="14"/>
      <c r="I317" s="14"/>
      <c r="J317" s="13"/>
      <c r="K317" s="13"/>
    </row>
    <row r="318" customFormat="false" ht="15" hidden="false" customHeight="false" outlineLevel="0" collapsed="false">
      <c r="A318" s="11" t="str">
        <f aca="false">Apontamentos!C318</f>
        <v/>
      </c>
      <c r="B318" s="11" t="str">
        <f aca="false">IF(Apontamentos!$C318="","",Apontamentos!D318&amp;"")</f>
        <v/>
      </c>
      <c r="C318" s="11" t="str">
        <f aca="false">IF(Apontamentos!$C318="","",Apontamentos!E318&amp;"")</f>
        <v/>
      </c>
      <c r="D318" s="10" t="str">
        <f aca="false">IF(Apontamentos!$C318="","",Apontamentos!F318&amp;"")</f>
        <v/>
      </c>
      <c r="E318" s="10" t="str">
        <f aca="false">IF(Apontamentos!$C318="","",Apontamentos!G318&amp;"")</f>
        <v/>
      </c>
      <c r="F318" s="14"/>
      <c r="G318" s="14"/>
      <c r="H318" s="14"/>
      <c r="I318" s="14"/>
      <c r="J318" s="13"/>
      <c r="K318" s="13"/>
    </row>
    <row r="319" customFormat="false" ht="15" hidden="false" customHeight="false" outlineLevel="0" collapsed="false">
      <c r="A319" s="11" t="str">
        <f aca="false">Apontamentos!C319</f>
        <v/>
      </c>
      <c r="B319" s="11" t="str">
        <f aca="false">IF(Apontamentos!$C319="","",Apontamentos!D319&amp;"")</f>
        <v/>
      </c>
      <c r="C319" s="11" t="str">
        <f aca="false">IF(Apontamentos!$C319="","",Apontamentos!E319&amp;"")</f>
        <v/>
      </c>
      <c r="D319" s="10" t="str">
        <f aca="false">IF(Apontamentos!$C319="","",Apontamentos!F319&amp;"")</f>
        <v/>
      </c>
      <c r="E319" s="10" t="str">
        <f aca="false">IF(Apontamentos!$C319="","",Apontamentos!G319&amp;"")</f>
        <v/>
      </c>
      <c r="F319" s="14"/>
      <c r="G319" s="14"/>
      <c r="H319" s="14"/>
      <c r="I319" s="14"/>
      <c r="J319" s="13"/>
      <c r="K319" s="13"/>
    </row>
    <row r="320" customFormat="false" ht="15" hidden="false" customHeight="false" outlineLevel="0" collapsed="false">
      <c r="A320" s="11" t="str">
        <f aca="false">Apontamentos!C320</f>
        <v/>
      </c>
      <c r="B320" s="11" t="str">
        <f aca="false">IF(Apontamentos!$C320="","",Apontamentos!D320&amp;"")</f>
        <v/>
      </c>
      <c r="C320" s="11" t="str">
        <f aca="false">IF(Apontamentos!$C320="","",Apontamentos!E320&amp;"")</f>
        <v/>
      </c>
      <c r="D320" s="10" t="str">
        <f aca="false">IF(Apontamentos!$C320="","",Apontamentos!F320&amp;"")</f>
        <v/>
      </c>
      <c r="E320" s="10" t="str">
        <f aca="false">IF(Apontamentos!$C320="","",Apontamentos!G320&amp;"")</f>
        <v/>
      </c>
      <c r="F320" s="14"/>
      <c r="G320" s="14"/>
      <c r="H320" s="14"/>
      <c r="I320" s="14"/>
      <c r="J320" s="13"/>
      <c r="K320" s="13"/>
    </row>
    <row r="321" customFormat="false" ht="15" hidden="false" customHeight="false" outlineLevel="0" collapsed="false">
      <c r="A321" s="11" t="str">
        <f aca="false">Apontamentos!C321</f>
        <v/>
      </c>
      <c r="B321" s="11" t="str">
        <f aca="false">IF(Apontamentos!$C321="","",Apontamentos!D321&amp;"")</f>
        <v/>
      </c>
      <c r="C321" s="11" t="str">
        <f aca="false">IF(Apontamentos!$C321="","",Apontamentos!E321&amp;"")</f>
        <v/>
      </c>
      <c r="D321" s="10" t="str">
        <f aca="false">IF(Apontamentos!$C321="","",Apontamentos!F321&amp;"")</f>
        <v/>
      </c>
      <c r="E321" s="10" t="str">
        <f aca="false">IF(Apontamentos!$C321="","",Apontamentos!G321&amp;"")</f>
        <v/>
      </c>
      <c r="F321" s="14"/>
      <c r="G321" s="14"/>
      <c r="H321" s="14"/>
      <c r="I321" s="14"/>
      <c r="J321" s="13"/>
      <c r="K321" s="13"/>
    </row>
    <row r="322" customFormat="false" ht="15" hidden="false" customHeight="false" outlineLevel="0" collapsed="false">
      <c r="A322" s="11" t="str">
        <f aca="false">Apontamentos!C322</f>
        <v/>
      </c>
      <c r="B322" s="11" t="str">
        <f aca="false">IF(Apontamentos!$C322="","",Apontamentos!D322&amp;"")</f>
        <v/>
      </c>
      <c r="C322" s="11" t="str">
        <f aca="false">IF(Apontamentos!$C322="","",Apontamentos!E322&amp;"")</f>
        <v/>
      </c>
      <c r="D322" s="10" t="str">
        <f aca="false">IF(Apontamentos!$C322="","",Apontamentos!F322&amp;"")</f>
        <v/>
      </c>
      <c r="E322" s="10" t="str">
        <f aca="false">IF(Apontamentos!$C322="","",Apontamentos!G322&amp;"")</f>
        <v/>
      </c>
      <c r="F322" s="14"/>
      <c r="G322" s="14"/>
      <c r="H322" s="14"/>
      <c r="I322" s="14"/>
      <c r="J322" s="13"/>
      <c r="K322" s="13"/>
    </row>
    <row r="323" customFormat="false" ht="15" hidden="false" customHeight="false" outlineLevel="0" collapsed="false">
      <c r="A323" s="11" t="str">
        <f aca="false">Apontamentos!C323</f>
        <v/>
      </c>
      <c r="B323" s="11" t="str">
        <f aca="false">IF(Apontamentos!$C323="","",Apontamentos!D323&amp;"")</f>
        <v/>
      </c>
      <c r="C323" s="11" t="str">
        <f aca="false">IF(Apontamentos!$C323="","",Apontamentos!E323&amp;"")</f>
        <v/>
      </c>
      <c r="D323" s="10" t="str">
        <f aca="false">IF(Apontamentos!$C323="","",Apontamentos!F323&amp;"")</f>
        <v/>
      </c>
      <c r="E323" s="10" t="str">
        <f aca="false">IF(Apontamentos!$C323="","",Apontamentos!G323&amp;"")</f>
        <v/>
      </c>
      <c r="F323" s="14"/>
      <c r="G323" s="14"/>
      <c r="H323" s="14"/>
      <c r="I323" s="14"/>
      <c r="J323" s="13"/>
      <c r="K323" s="13"/>
    </row>
    <row r="324" customFormat="false" ht="15" hidden="false" customHeight="false" outlineLevel="0" collapsed="false">
      <c r="A324" s="11" t="str">
        <f aca="false">Apontamentos!C324</f>
        <v/>
      </c>
      <c r="B324" s="11" t="str">
        <f aca="false">IF(Apontamentos!$C324="","",Apontamentos!D324&amp;"")</f>
        <v/>
      </c>
      <c r="C324" s="11" t="str">
        <f aca="false">IF(Apontamentos!$C324="","",Apontamentos!E324&amp;"")</f>
        <v/>
      </c>
      <c r="D324" s="10" t="str">
        <f aca="false">IF(Apontamentos!$C324="","",Apontamentos!F324&amp;"")</f>
        <v/>
      </c>
      <c r="E324" s="10" t="str">
        <f aca="false">IF(Apontamentos!$C324="","",Apontamentos!G324&amp;"")</f>
        <v/>
      </c>
      <c r="F324" s="14"/>
      <c r="G324" s="14"/>
      <c r="H324" s="14"/>
      <c r="I324" s="14"/>
      <c r="J324" s="13"/>
      <c r="K324" s="13"/>
    </row>
    <row r="325" customFormat="false" ht="15" hidden="false" customHeight="false" outlineLevel="0" collapsed="false">
      <c r="A325" s="11" t="str">
        <f aca="false">Apontamentos!C325</f>
        <v/>
      </c>
      <c r="B325" s="11" t="str">
        <f aca="false">IF(Apontamentos!$C325="","",Apontamentos!D325&amp;"")</f>
        <v/>
      </c>
      <c r="C325" s="11" t="str">
        <f aca="false">IF(Apontamentos!$C325="","",Apontamentos!E325&amp;"")</f>
        <v/>
      </c>
      <c r="D325" s="10" t="str">
        <f aca="false">IF(Apontamentos!$C325="","",Apontamentos!F325&amp;"")</f>
        <v/>
      </c>
      <c r="E325" s="10" t="str">
        <f aca="false">IF(Apontamentos!$C325="","",Apontamentos!G325&amp;"")</f>
        <v/>
      </c>
      <c r="F325" s="14"/>
      <c r="G325" s="14"/>
      <c r="H325" s="14"/>
      <c r="I325" s="14"/>
      <c r="J325" s="13"/>
      <c r="K325" s="13"/>
    </row>
    <row r="326" customFormat="false" ht="15" hidden="false" customHeight="false" outlineLevel="0" collapsed="false">
      <c r="A326" s="11" t="str">
        <f aca="false">Apontamentos!C326</f>
        <v/>
      </c>
      <c r="B326" s="11" t="str">
        <f aca="false">IF(Apontamentos!$C326="","",Apontamentos!D326&amp;"")</f>
        <v/>
      </c>
      <c r="C326" s="11" t="str">
        <f aca="false">IF(Apontamentos!$C326="","",Apontamentos!E326&amp;"")</f>
        <v/>
      </c>
      <c r="D326" s="10" t="str">
        <f aca="false">IF(Apontamentos!$C326="","",Apontamentos!F326&amp;"")</f>
        <v/>
      </c>
      <c r="E326" s="10" t="str">
        <f aca="false">IF(Apontamentos!$C326="","",Apontamentos!G326&amp;"")</f>
        <v/>
      </c>
      <c r="F326" s="14"/>
      <c r="G326" s="14"/>
      <c r="H326" s="14"/>
      <c r="I326" s="14"/>
      <c r="J326" s="13"/>
      <c r="K326" s="13"/>
    </row>
    <row r="327" customFormat="false" ht="15" hidden="false" customHeight="false" outlineLevel="0" collapsed="false">
      <c r="A327" s="11" t="str">
        <f aca="false">Apontamentos!C327</f>
        <v/>
      </c>
      <c r="B327" s="11" t="str">
        <f aca="false">IF(Apontamentos!$C327="","",Apontamentos!D327&amp;"")</f>
        <v/>
      </c>
      <c r="C327" s="11" t="str">
        <f aca="false">IF(Apontamentos!$C327="","",Apontamentos!E327&amp;"")</f>
        <v/>
      </c>
      <c r="D327" s="10" t="str">
        <f aca="false">IF(Apontamentos!$C327="","",Apontamentos!F327&amp;"")</f>
        <v/>
      </c>
      <c r="E327" s="10" t="str">
        <f aca="false">IF(Apontamentos!$C327="","",Apontamentos!G327&amp;"")</f>
        <v/>
      </c>
      <c r="F327" s="14"/>
      <c r="G327" s="14"/>
      <c r="H327" s="14"/>
      <c r="I327" s="14"/>
      <c r="J327" s="13"/>
      <c r="K327" s="13"/>
    </row>
    <row r="328" customFormat="false" ht="15" hidden="false" customHeight="false" outlineLevel="0" collapsed="false">
      <c r="A328" s="11" t="str">
        <f aca="false">Apontamentos!C328</f>
        <v/>
      </c>
      <c r="B328" s="11" t="str">
        <f aca="false">IF(Apontamentos!$C328="","",Apontamentos!D328&amp;"")</f>
        <v/>
      </c>
      <c r="C328" s="11" t="str">
        <f aca="false">IF(Apontamentos!$C328="","",Apontamentos!E328&amp;"")</f>
        <v/>
      </c>
      <c r="D328" s="10" t="str">
        <f aca="false">IF(Apontamentos!$C328="","",Apontamentos!F328&amp;"")</f>
        <v/>
      </c>
      <c r="E328" s="10" t="str">
        <f aca="false">IF(Apontamentos!$C328="","",Apontamentos!G328&amp;"")</f>
        <v/>
      </c>
      <c r="F328" s="14"/>
      <c r="G328" s="14"/>
      <c r="H328" s="14"/>
      <c r="I328" s="14"/>
      <c r="J328" s="13"/>
      <c r="K328" s="13"/>
    </row>
    <row r="329" customFormat="false" ht="15" hidden="false" customHeight="false" outlineLevel="0" collapsed="false">
      <c r="A329" s="11" t="str">
        <f aca="false">Apontamentos!C329</f>
        <v/>
      </c>
      <c r="B329" s="11" t="str">
        <f aca="false">IF(Apontamentos!$C329="","",Apontamentos!D329&amp;"")</f>
        <v/>
      </c>
      <c r="C329" s="11" t="str">
        <f aca="false">IF(Apontamentos!$C329="","",Apontamentos!E329&amp;"")</f>
        <v/>
      </c>
      <c r="D329" s="10" t="str">
        <f aca="false">IF(Apontamentos!$C329="","",Apontamentos!F329&amp;"")</f>
        <v/>
      </c>
      <c r="E329" s="10" t="str">
        <f aca="false">IF(Apontamentos!$C329="","",Apontamentos!G329&amp;"")</f>
        <v/>
      </c>
      <c r="F329" s="14"/>
      <c r="G329" s="14"/>
      <c r="H329" s="14"/>
      <c r="I329" s="14"/>
      <c r="J329" s="13"/>
      <c r="K329" s="13"/>
    </row>
    <row r="330" customFormat="false" ht="15" hidden="false" customHeight="false" outlineLevel="0" collapsed="false">
      <c r="A330" s="11" t="str">
        <f aca="false">Apontamentos!C330</f>
        <v/>
      </c>
      <c r="B330" s="11" t="str">
        <f aca="false">IF(Apontamentos!$C330="","",Apontamentos!D330&amp;"")</f>
        <v/>
      </c>
      <c r="C330" s="11" t="str">
        <f aca="false">IF(Apontamentos!$C330="","",Apontamentos!E330&amp;"")</f>
        <v/>
      </c>
      <c r="D330" s="10" t="str">
        <f aca="false">IF(Apontamentos!$C330="","",Apontamentos!F330&amp;"")</f>
        <v/>
      </c>
      <c r="E330" s="10" t="str">
        <f aca="false">IF(Apontamentos!$C330="","",Apontamentos!G330&amp;"")</f>
        <v/>
      </c>
      <c r="F330" s="14"/>
      <c r="G330" s="14"/>
      <c r="H330" s="14"/>
      <c r="I330" s="14"/>
      <c r="J330" s="13"/>
      <c r="K330" s="13"/>
    </row>
    <row r="331" customFormat="false" ht="15" hidden="false" customHeight="false" outlineLevel="0" collapsed="false">
      <c r="A331" s="11" t="str">
        <f aca="false">Apontamentos!C331</f>
        <v/>
      </c>
      <c r="B331" s="11" t="str">
        <f aca="false">IF(Apontamentos!$C331="","",Apontamentos!D331&amp;"")</f>
        <v/>
      </c>
      <c r="C331" s="11" t="str">
        <f aca="false">IF(Apontamentos!$C331="","",Apontamentos!E331&amp;"")</f>
        <v/>
      </c>
      <c r="D331" s="10" t="str">
        <f aca="false">IF(Apontamentos!$C331="","",Apontamentos!F331&amp;"")</f>
        <v/>
      </c>
      <c r="E331" s="10" t="str">
        <f aca="false">IF(Apontamentos!$C331="","",Apontamentos!G331&amp;"")</f>
        <v/>
      </c>
      <c r="F331" s="14"/>
      <c r="G331" s="14"/>
      <c r="H331" s="14"/>
      <c r="I331" s="14"/>
      <c r="J331" s="13"/>
      <c r="K331" s="13"/>
    </row>
    <row r="332" customFormat="false" ht="15" hidden="false" customHeight="false" outlineLevel="0" collapsed="false">
      <c r="A332" s="11" t="str">
        <f aca="false">Apontamentos!C332</f>
        <v/>
      </c>
      <c r="B332" s="11" t="str">
        <f aca="false">IF(Apontamentos!$C332="","",Apontamentos!D332&amp;"")</f>
        <v/>
      </c>
      <c r="C332" s="11" t="str">
        <f aca="false">IF(Apontamentos!$C332="","",Apontamentos!E332&amp;"")</f>
        <v/>
      </c>
      <c r="D332" s="10" t="str">
        <f aca="false">IF(Apontamentos!$C332="","",Apontamentos!F332&amp;"")</f>
        <v/>
      </c>
      <c r="E332" s="10" t="str">
        <f aca="false">IF(Apontamentos!$C332="","",Apontamentos!G332&amp;"")</f>
        <v/>
      </c>
      <c r="F332" s="14"/>
      <c r="G332" s="14"/>
      <c r="H332" s="14"/>
      <c r="I332" s="14"/>
      <c r="J332" s="13"/>
      <c r="K332" s="13"/>
    </row>
    <row r="333" customFormat="false" ht="15" hidden="false" customHeight="false" outlineLevel="0" collapsed="false">
      <c r="A333" s="11" t="str">
        <f aca="false">Apontamentos!C333</f>
        <v/>
      </c>
      <c r="B333" s="11" t="str">
        <f aca="false">IF(Apontamentos!$C333="","",Apontamentos!D333&amp;"")</f>
        <v/>
      </c>
      <c r="C333" s="11" t="str">
        <f aca="false">IF(Apontamentos!$C333="","",Apontamentos!E333&amp;"")</f>
        <v/>
      </c>
      <c r="D333" s="10" t="str">
        <f aca="false">IF(Apontamentos!$C333="","",Apontamentos!F333&amp;"")</f>
        <v/>
      </c>
      <c r="E333" s="10" t="str">
        <f aca="false">IF(Apontamentos!$C333="","",Apontamentos!G333&amp;"")</f>
        <v/>
      </c>
      <c r="F333" s="14"/>
      <c r="G333" s="14"/>
      <c r="H333" s="14"/>
      <c r="I333" s="14"/>
      <c r="J333" s="13"/>
      <c r="K333" s="13"/>
    </row>
    <row r="334" customFormat="false" ht="15" hidden="false" customHeight="false" outlineLevel="0" collapsed="false">
      <c r="A334" s="11" t="str">
        <f aca="false">Apontamentos!C334</f>
        <v/>
      </c>
      <c r="B334" s="11" t="str">
        <f aca="false">IF(Apontamentos!$C334="","",Apontamentos!D334&amp;"")</f>
        <v/>
      </c>
      <c r="C334" s="11" t="str">
        <f aca="false">IF(Apontamentos!$C334="","",Apontamentos!E334&amp;"")</f>
        <v/>
      </c>
      <c r="D334" s="10" t="str">
        <f aca="false">IF(Apontamentos!$C334="","",Apontamentos!F334&amp;"")</f>
        <v/>
      </c>
      <c r="E334" s="10" t="str">
        <f aca="false">IF(Apontamentos!$C334="","",Apontamentos!G334&amp;"")</f>
        <v/>
      </c>
      <c r="F334" s="14"/>
      <c r="G334" s="14"/>
      <c r="H334" s="14"/>
      <c r="I334" s="14"/>
      <c r="J334" s="13"/>
      <c r="K334" s="13"/>
    </row>
    <row r="335" customFormat="false" ht="15" hidden="false" customHeight="false" outlineLevel="0" collapsed="false">
      <c r="A335" s="11" t="str">
        <f aca="false">Apontamentos!C335</f>
        <v/>
      </c>
      <c r="B335" s="11" t="str">
        <f aca="false">IF(Apontamentos!$C335="","",Apontamentos!D335&amp;"")</f>
        <v/>
      </c>
      <c r="C335" s="11" t="str">
        <f aca="false">IF(Apontamentos!$C335="","",Apontamentos!E335&amp;"")</f>
        <v/>
      </c>
      <c r="D335" s="10" t="str">
        <f aca="false">IF(Apontamentos!$C335="","",Apontamentos!F335&amp;"")</f>
        <v/>
      </c>
      <c r="E335" s="10" t="str">
        <f aca="false">IF(Apontamentos!$C335="","",Apontamentos!G335&amp;"")</f>
        <v/>
      </c>
      <c r="F335" s="14"/>
      <c r="G335" s="14"/>
      <c r="H335" s="14"/>
      <c r="I335" s="14"/>
      <c r="J335" s="13"/>
      <c r="K335" s="13"/>
    </row>
    <row r="336" customFormat="false" ht="15" hidden="false" customHeight="false" outlineLevel="0" collapsed="false">
      <c r="A336" s="11" t="str">
        <f aca="false">Apontamentos!C336</f>
        <v/>
      </c>
      <c r="B336" s="11" t="str">
        <f aca="false">IF(Apontamentos!$C336="","",Apontamentos!D336&amp;"")</f>
        <v/>
      </c>
      <c r="C336" s="11" t="str">
        <f aca="false">IF(Apontamentos!$C336="","",Apontamentos!E336&amp;"")</f>
        <v/>
      </c>
      <c r="D336" s="10" t="str">
        <f aca="false">IF(Apontamentos!$C336="","",Apontamentos!F336&amp;"")</f>
        <v/>
      </c>
      <c r="E336" s="10" t="str">
        <f aca="false">IF(Apontamentos!$C336="","",Apontamentos!G336&amp;"")</f>
        <v/>
      </c>
      <c r="F336" s="14"/>
      <c r="G336" s="14"/>
      <c r="H336" s="14"/>
      <c r="I336" s="14"/>
      <c r="J336" s="13"/>
      <c r="K336" s="13"/>
    </row>
    <row r="337" customFormat="false" ht="15" hidden="false" customHeight="false" outlineLevel="0" collapsed="false">
      <c r="A337" s="11" t="str">
        <f aca="false">Apontamentos!C337</f>
        <v/>
      </c>
      <c r="B337" s="11" t="str">
        <f aca="false">IF(Apontamentos!$C337="","",Apontamentos!D337&amp;"")</f>
        <v/>
      </c>
      <c r="C337" s="11" t="str">
        <f aca="false">IF(Apontamentos!$C337="","",Apontamentos!E337&amp;"")</f>
        <v/>
      </c>
      <c r="D337" s="10" t="str">
        <f aca="false">IF(Apontamentos!$C337="","",Apontamentos!F337&amp;"")</f>
        <v/>
      </c>
      <c r="E337" s="10" t="str">
        <f aca="false">IF(Apontamentos!$C337="","",Apontamentos!G337&amp;"")</f>
        <v/>
      </c>
      <c r="F337" s="14"/>
      <c r="G337" s="14"/>
      <c r="H337" s="14"/>
      <c r="I337" s="14"/>
      <c r="J337" s="13"/>
      <c r="K337" s="13"/>
    </row>
    <row r="338" customFormat="false" ht="15" hidden="false" customHeight="false" outlineLevel="0" collapsed="false">
      <c r="A338" s="11" t="str">
        <f aca="false">Apontamentos!C338</f>
        <v/>
      </c>
      <c r="B338" s="11" t="str">
        <f aca="false">IF(Apontamentos!$C338="","",Apontamentos!D338&amp;"")</f>
        <v/>
      </c>
      <c r="C338" s="11" t="str">
        <f aca="false">IF(Apontamentos!$C338="","",Apontamentos!E338&amp;"")</f>
        <v/>
      </c>
      <c r="D338" s="10" t="str">
        <f aca="false">IF(Apontamentos!$C338="","",Apontamentos!F338&amp;"")</f>
        <v/>
      </c>
      <c r="E338" s="10" t="str">
        <f aca="false">IF(Apontamentos!$C338="","",Apontamentos!G338&amp;"")</f>
        <v/>
      </c>
      <c r="F338" s="14"/>
      <c r="G338" s="14"/>
      <c r="H338" s="14"/>
      <c r="I338" s="14"/>
      <c r="J338" s="13"/>
      <c r="K338" s="13"/>
    </row>
    <row r="339" customFormat="false" ht="15" hidden="false" customHeight="false" outlineLevel="0" collapsed="false">
      <c r="A339" s="11" t="str">
        <f aca="false">Apontamentos!C339</f>
        <v/>
      </c>
      <c r="B339" s="11" t="str">
        <f aca="false">IF(Apontamentos!$C339="","",Apontamentos!D339&amp;"")</f>
        <v/>
      </c>
      <c r="C339" s="11" t="str">
        <f aca="false">IF(Apontamentos!$C339="","",Apontamentos!E339&amp;"")</f>
        <v/>
      </c>
      <c r="D339" s="10" t="str">
        <f aca="false">IF(Apontamentos!$C339="","",Apontamentos!F339&amp;"")</f>
        <v/>
      </c>
      <c r="E339" s="10" t="str">
        <f aca="false">IF(Apontamentos!$C339="","",Apontamentos!G339&amp;"")</f>
        <v/>
      </c>
      <c r="F339" s="14"/>
      <c r="G339" s="14"/>
      <c r="H339" s="14"/>
      <c r="I339" s="14"/>
      <c r="J339" s="13"/>
      <c r="K339" s="13"/>
    </row>
    <row r="340" customFormat="false" ht="15" hidden="false" customHeight="false" outlineLevel="0" collapsed="false">
      <c r="A340" s="11" t="str">
        <f aca="false">Apontamentos!C340</f>
        <v/>
      </c>
      <c r="B340" s="11" t="str">
        <f aca="false">IF(Apontamentos!$C340="","",Apontamentos!D340&amp;"")</f>
        <v/>
      </c>
      <c r="C340" s="11" t="str">
        <f aca="false">IF(Apontamentos!$C340="","",Apontamentos!E340&amp;"")</f>
        <v/>
      </c>
      <c r="D340" s="10" t="str">
        <f aca="false">IF(Apontamentos!$C340="","",Apontamentos!F340&amp;"")</f>
        <v/>
      </c>
      <c r="E340" s="10" t="str">
        <f aca="false">IF(Apontamentos!$C340="","",Apontamentos!G340&amp;"")</f>
        <v/>
      </c>
      <c r="F340" s="14"/>
      <c r="G340" s="14"/>
      <c r="H340" s="14"/>
      <c r="I340" s="14"/>
      <c r="J340" s="13"/>
      <c r="K340" s="13"/>
    </row>
    <row r="341" customFormat="false" ht="15" hidden="false" customHeight="false" outlineLevel="0" collapsed="false">
      <c r="A341" s="11" t="str">
        <f aca="false">Apontamentos!C341</f>
        <v/>
      </c>
      <c r="B341" s="11" t="str">
        <f aca="false">IF(Apontamentos!$C341="","",Apontamentos!D341&amp;"")</f>
        <v/>
      </c>
      <c r="C341" s="11" t="str">
        <f aca="false">IF(Apontamentos!$C341="","",Apontamentos!E341&amp;"")</f>
        <v/>
      </c>
      <c r="D341" s="10" t="str">
        <f aca="false">IF(Apontamentos!$C341="","",Apontamentos!F341&amp;"")</f>
        <v/>
      </c>
      <c r="E341" s="10" t="str">
        <f aca="false">IF(Apontamentos!$C341="","",Apontamentos!G341&amp;"")</f>
        <v/>
      </c>
      <c r="F341" s="14"/>
      <c r="G341" s="14"/>
      <c r="H341" s="14"/>
      <c r="I341" s="14"/>
      <c r="J341" s="13"/>
      <c r="K341" s="13"/>
    </row>
    <row r="342" customFormat="false" ht="15" hidden="false" customHeight="false" outlineLevel="0" collapsed="false">
      <c r="A342" s="11" t="str">
        <f aca="false">Apontamentos!C342</f>
        <v/>
      </c>
      <c r="B342" s="11" t="str">
        <f aca="false">IF(Apontamentos!$C342="","",Apontamentos!D342&amp;"")</f>
        <v/>
      </c>
      <c r="C342" s="11" t="str">
        <f aca="false">IF(Apontamentos!$C342="","",Apontamentos!E342&amp;"")</f>
        <v/>
      </c>
      <c r="D342" s="10" t="str">
        <f aca="false">IF(Apontamentos!$C342="","",Apontamentos!F342&amp;"")</f>
        <v/>
      </c>
      <c r="E342" s="10" t="str">
        <f aca="false">IF(Apontamentos!$C342="","",Apontamentos!G342&amp;"")</f>
        <v/>
      </c>
      <c r="F342" s="14"/>
      <c r="G342" s="14"/>
      <c r="H342" s="14"/>
      <c r="I342" s="14"/>
      <c r="J342" s="13"/>
      <c r="K342" s="13"/>
    </row>
    <row r="343" customFormat="false" ht="15" hidden="false" customHeight="false" outlineLevel="0" collapsed="false">
      <c r="A343" s="11" t="str">
        <f aca="false">Apontamentos!C343</f>
        <v/>
      </c>
      <c r="B343" s="11" t="str">
        <f aca="false">IF(Apontamentos!$C343="","",Apontamentos!D343&amp;"")</f>
        <v/>
      </c>
      <c r="C343" s="11" t="str">
        <f aca="false">IF(Apontamentos!$C343="","",Apontamentos!E343&amp;"")</f>
        <v/>
      </c>
      <c r="D343" s="10" t="str">
        <f aca="false">IF(Apontamentos!$C343="","",Apontamentos!F343&amp;"")</f>
        <v/>
      </c>
      <c r="E343" s="10" t="str">
        <f aca="false">IF(Apontamentos!$C343="","",Apontamentos!G343&amp;"")</f>
        <v/>
      </c>
      <c r="F343" s="14"/>
      <c r="G343" s="14"/>
      <c r="H343" s="14"/>
      <c r="I343" s="14"/>
      <c r="J343" s="13"/>
      <c r="K343" s="13"/>
    </row>
    <row r="344" customFormat="false" ht="15" hidden="false" customHeight="false" outlineLevel="0" collapsed="false">
      <c r="A344" s="11" t="str">
        <f aca="false">Apontamentos!C344</f>
        <v/>
      </c>
      <c r="B344" s="11" t="str">
        <f aca="false">IF(Apontamentos!$C344="","",Apontamentos!D344&amp;"")</f>
        <v/>
      </c>
      <c r="C344" s="11" t="str">
        <f aca="false">IF(Apontamentos!$C344="","",Apontamentos!E344&amp;"")</f>
        <v/>
      </c>
      <c r="D344" s="10" t="str">
        <f aca="false">IF(Apontamentos!$C344="","",Apontamentos!F344&amp;"")</f>
        <v/>
      </c>
      <c r="E344" s="10" t="str">
        <f aca="false">IF(Apontamentos!$C344="","",Apontamentos!G344&amp;"")</f>
        <v/>
      </c>
      <c r="F344" s="14"/>
      <c r="G344" s="14"/>
      <c r="H344" s="14"/>
      <c r="I344" s="14"/>
      <c r="J344" s="13"/>
      <c r="K344" s="13"/>
    </row>
    <row r="345" customFormat="false" ht="15" hidden="false" customHeight="false" outlineLevel="0" collapsed="false">
      <c r="A345" s="11" t="str">
        <f aca="false">Apontamentos!C345</f>
        <v/>
      </c>
      <c r="B345" s="11" t="str">
        <f aca="false">IF(Apontamentos!$C345="","",Apontamentos!D345&amp;"")</f>
        <v/>
      </c>
      <c r="C345" s="11" t="str">
        <f aca="false">IF(Apontamentos!$C345="","",Apontamentos!E345&amp;"")</f>
        <v/>
      </c>
      <c r="D345" s="10" t="str">
        <f aca="false">IF(Apontamentos!$C345="","",Apontamentos!F345&amp;"")</f>
        <v/>
      </c>
      <c r="E345" s="10" t="str">
        <f aca="false">IF(Apontamentos!$C345="","",Apontamentos!G345&amp;"")</f>
        <v/>
      </c>
      <c r="F345" s="14"/>
      <c r="G345" s="14"/>
      <c r="H345" s="14"/>
      <c r="I345" s="14"/>
      <c r="J345" s="13"/>
      <c r="K345" s="13"/>
    </row>
    <row r="346" customFormat="false" ht="15" hidden="false" customHeight="false" outlineLevel="0" collapsed="false">
      <c r="A346" s="11" t="str">
        <f aca="false">Apontamentos!C346</f>
        <v/>
      </c>
      <c r="B346" s="11" t="str">
        <f aca="false">IF(Apontamentos!$C346="","",Apontamentos!D346&amp;"")</f>
        <v/>
      </c>
      <c r="C346" s="11" t="str">
        <f aca="false">IF(Apontamentos!$C346="","",Apontamentos!E346&amp;"")</f>
        <v/>
      </c>
      <c r="D346" s="10" t="str">
        <f aca="false">IF(Apontamentos!$C346="","",Apontamentos!F346&amp;"")</f>
        <v/>
      </c>
      <c r="E346" s="10" t="str">
        <f aca="false">IF(Apontamentos!$C346="","",Apontamentos!G346&amp;"")</f>
        <v/>
      </c>
      <c r="F346" s="14"/>
      <c r="G346" s="14"/>
      <c r="H346" s="14"/>
      <c r="I346" s="14"/>
      <c r="J346" s="13"/>
      <c r="K346" s="13"/>
    </row>
    <row r="347" customFormat="false" ht="15" hidden="false" customHeight="false" outlineLevel="0" collapsed="false">
      <c r="A347" s="11" t="str">
        <f aca="false">Apontamentos!C347</f>
        <v/>
      </c>
      <c r="B347" s="11" t="str">
        <f aca="false">IF(Apontamentos!$C347="","",Apontamentos!D347&amp;"")</f>
        <v/>
      </c>
      <c r="C347" s="11" t="str">
        <f aca="false">IF(Apontamentos!$C347="","",Apontamentos!E347&amp;"")</f>
        <v/>
      </c>
      <c r="D347" s="10" t="str">
        <f aca="false">IF(Apontamentos!$C347="","",Apontamentos!F347&amp;"")</f>
        <v/>
      </c>
      <c r="E347" s="10" t="str">
        <f aca="false">IF(Apontamentos!$C347="","",Apontamentos!G347&amp;"")</f>
        <v/>
      </c>
      <c r="F347" s="14"/>
      <c r="G347" s="14"/>
      <c r="H347" s="14"/>
      <c r="I347" s="14"/>
      <c r="J347" s="13"/>
      <c r="K347" s="13"/>
    </row>
    <row r="348" customFormat="false" ht="15" hidden="false" customHeight="false" outlineLevel="0" collapsed="false">
      <c r="A348" s="11" t="str">
        <f aca="false">Apontamentos!C348</f>
        <v/>
      </c>
      <c r="B348" s="11" t="str">
        <f aca="false">IF(Apontamentos!$C348="","",Apontamentos!D348&amp;"")</f>
        <v/>
      </c>
      <c r="C348" s="11" t="str">
        <f aca="false">IF(Apontamentos!$C348="","",Apontamentos!E348&amp;"")</f>
        <v/>
      </c>
      <c r="D348" s="10" t="str">
        <f aca="false">IF(Apontamentos!$C348="","",Apontamentos!F348&amp;"")</f>
        <v/>
      </c>
      <c r="E348" s="10" t="str">
        <f aca="false">IF(Apontamentos!$C348="","",Apontamentos!G348&amp;"")</f>
        <v/>
      </c>
      <c r="F348" s="14"/>
      <c r="G348" s="14"/>
      <c r="H348" s="14"/>
      <c r="I348" s="14"/>
      <c r="J348" s="13"/>
      <c r="K348" s="13"/>
    </row>
    <row r="349" customFormat="false" ht="15" hidden="false" customHeight="false" outlineLevel="0" collapsed="false">
      <c r="A349" s="11" t="str">
        <f aca="false">Apontamentos!C349</f>
        <v/>
      </c>
      <c r="B349" s="11" t="str">
        <f aca="false">IF(Apontamentos!$C349="","",Apontamentos!D349&amp;"")</f>
        <v/>
      </c>
      <c r="C349" s="11" t="str">
        <f aca="false">IF(Apontamentos!$C349="","",Apontamentos!E349&amp;"")</f>
        <v/>
      </c>
      <c r="D349" s="10" t="str">
        <f aca="false">IF(Apontamentos!$C349="","",Apontamentos!F349&amp;"")</f>
        <v/>
      </c>
      <c r="E349" s="10" t="str">
        <f aca="false">IF(Apontamentos!$C349="","",Apontamentos!G349&amp;"")</f>
        <v/>
      </c>
      <c r="F349" s="14"/>
      <c r="G349" s="14"/>
      <c r="H349" s="14"/>
      <c r="I349" s="14"/>
      <c r="J349" s="13"/>
      <c r="K349" s="13"/>
    </row>
    <row r="350" customFormat="false" ht="15" hidden="false" customHeight="false" outlineLevel="0" collapsed="false">
      <c r="A350" s="11" t="str">
        <f aca="false">Apontamentos!C350</f>
        <v/>
      </c>
      <c r="B350" s="11" t="str">
        <f aca="false">IF(Apontamentos!$C350="","",Apontamentos!D350&amp;"")</f>
        <v/>
      </c>
      <c r="C350" s="11" t="str">
        <f aca="false">IF(Apontamentos!$C350="","",Apontamentos!E350&amp;"")</f>
        <v/>
      </c>
      <c r="D350" s="10" t="str">
        <f aca="false">IF(Apontamentos!$C350="","",Apontamentos!F350&amp;"")</f>
        <v/>
      </c>
      <c r="E350" s="10" t="str">
        <f aca="false">IF(Apontamentos!$C350="","",Apontamentos!G350&amp;"")</f>
        <v/>
      </c>
      <c r="F350" s="14"/>
      <c r="G350" s="14"/>
      <c r="H350" s="14"/>
      <c r="I350" s="14"/>
      <c r="J350" s="13"/>
      <c r="K350" s="13"/>
    </row>
    <row r="351" customFormat="false" ht="15" hidden="false" customHeight="false" outlineLevel="0" collapsed="false">
      <c r="A351" s="11" t="str">
        <f aca="false">Apontamentos!C351</f>
        <v/>
      </c>
      <c r="B351" s="11" t="str">
        <f aca="false">IF(Apontamentos!$C351="","",Apontamentos!D351&amp;"")</f>
        <v/>
      </c>
      <c r="C351" s="11" t="str">
        <f aca="false">IF(Apontamentos!$C351="","",Apontamentos!E351&amp;"")</f>
        <v/>
      </c>
      <c r="D351" s="10" t="str">
        <f aca="false">IF(Apontamentos!$C351="","",Apontamentos!F351&amp;"")</f>
        <v/>
      </c>
      <c r="E351" s="10" t="str">
        <f aca="false">IF(Apontamentos!$C351="","",Apontamentos!G351&amp;"")</f>
        <v/>
      </c>
      <c r="F351" s="14"/>
      <c r="G351" s="14"/>
      <c r="H351" s="14"/>
      <c r="I351" s="14"/>
      <c r="J351" s="13"/>
      <c r="K351" s="13"/>
    </row>
    <row r="352" customFormat="false" ht="15" hidden="false" customHeight="false" outlineLevel="0" collapsed="false">
      <c r="A352" s="11" t="str">
        <f aca="false">Apontamentos!C352</f>
        <v/>
      </c>
      <c r="B352" s="11" t="str">
        <f aca="false">IF(Apontamentos!$C352="","",Apontamentos!D352&amp;"")</f>
        <v/>
      </c>
      <c r="C352" s="11" t="str">
        <f aca="false">IF(Apontamentos!$C352="","",Apontamentos!E352&amp;"")</f>
        <v/>
      </c>
      <c r="D352" s="10" t="str">
        <f aca="false">IF(Apontamentos!$C352="","",Apontamentos!F352&amp;"")</f>
        <v/>
      </c>
      <c r="E352" s="10" t="str">
        <f aca="false">IF(Apontamentos!$C352="","",Apontamentos!G352&amp;"")</f>
        <v/>
      </c>
      <c r="F352" s="14"/>
      <c r="G352" s="14"/>
      <c r="H352" s="14"/>
      <c r="I352" s="14"/>
      <c r="J352" s="13"/>
      <c r="K352" s="13"/>
    </row>
    <row r="353" customFormat="false" ht="15" hidden="false" customHeight="false" outlineLevel="0" collapsed="false">
      <c r="A353" s="11" t="str">
        <f aca="false">Apontamentos!C353</f>
        <v/>
      </c>
      <c r="B353" s="11" t="str">
        <f aca="false">IF(Apontamentos!$C353="","",Apontamentos!D353&amp;"")</f>
        <v/>
      </c>
      <c r="C353" s="11" t="str">
        <f aca="false">IF(Apontamentos!$C353="","",Apontamentos!E353&amp;"")</f>
        <v/>
      </c>
      <c r="D353" s="10" t="str">
        <f aca="false">IF(Apontamentos!$C353="","",Apontamentos!F353&amp;"")</f>
        <v/>
      </c>
      <c r="E353" s="10" t="str">
        <f aca="false">IF(Apontamentos!$C353="","",Apontamentos!G353&amp;"")</f>
        <v/>
      </c>
      <c r="F353" s="14"/>
      <c r="G353" s="14"/>
      <c r="H353" s="14"/>
      <c r="I353" s="14"/>
      <c r="J353" s="13"/>
      <c r="K353" s="13"/>
    </row>
    <row r="354" customFormat="false" ht="15" hidden="false" customHeight="false" outlineLevel="0" collapsed="false">
      <c r="A354" s="11" t="str">
        <f aca="false">Apontamentos!C354</f>
        <v/>
      </c>
      <c r="B354" s="11" t="str">
        <f aca="false">IF(Apontamentos!$C354="","",Apontamentos!D354&amp;"")</f>
        <v/>
      </c>
      <c r="C354" s="11" t="str">
        <f aca="false">IF(Apontamentos!$C354="","",Apontamentos!E354&amp;"")</f>
        <v/>
      </c>
      <c r="D354" s="10" t="str">
        <f aca="false">IF(Apontamentos!$C354="","",Apontamentos!F354&amp;"")</f>
        <v/>
      </c>
      <c r="E354" s="10" t="str">
        <f aca="false">IF(Apontamentos!$C354="","",Apontamentos!G354&amp;"")</f>
        <v/>
      </c>
      <c r="F354" s="14"/>
      <c r="G354" s="14"/>
      <c r="H354" s="14"/>
      <c r="I354" s="14"/>
      <c r="J354" s="13"/>
      <c r="K354" s="13"/>
    </row>
    <row r="355" customFormat="false" ht="15" hidden="false" customHeight="false" outlineLevel="0" collapsed="false">
      <c r="A355" s="11" t="str">
        <f aca="false">Apontamentos!C355</f>
        <v/>
      </c>
      <c r="B355" s="11" t="str">
        <f aca="false">IF(Apontamentos!$C355="","",Apontamentos!D355&amp;"")</f>
        <v/>
      </c>
      <c r="C355" s="11" t="str">
        <f aca="false">IF(Apontamentos!$C355="","",Apontamentos!E355&amp;"")</f>
        <v/>
      </c>
      <c r="D355" s="10" t="str">
        <f aca="false">IF(Apontamentos!$C355="","",Apontamentos!F355&amp;"")</f>
        <v/>
      </c>
      <c r="E355" s="10" t="str">
        <f aca="false">IF(Apontamentos!$C355="","",Apontamentos!G355&amp;"")</f>
        <v/>
      </c>
      <c r="F355" s="14"/>
      <c r="G355" s="14"/>
      <c r="H355" s="14"/>
      <c r="I355" s="14"/>
      <c r="J355" s="13"/>
      <c r="K355" s="13"/>
    </row>
    <row r="356" customFormat="false" ht="15" hidden="false" customHeight="false" outlineLevel="0" collapsed="false">
      <c r="A356" s="11" t="str">
        <f aca="false">Apontamentos!C356</f>
        <v/>
      </c>
      <c r="B356" s="11" t="str">
        <f aca="false">IF(Apontamentos!$C356="","",Apontamentos!D356&amp;"")</f>
        <v/>
      </c>
      <c r="C356" s="11" t="str">
        <f aca="false">IF(Apontamentos!$C356="","",Apontamentos!E356&amp;"")</f>
        <v/>
      </c>
      <c r="D356" s="10" t="str">
        <f aca="false">IF(Apontamentos!$C356="","",Apontamentos!F356&amp;"")</f>
        <v/>
      </c>
      <c r="E356" s="10" t="str">
        <f aca="false">IF(Apontamentos!$C356="","",Apontamentos!G356&amp;"")</f>
        <v/>
      </c>
      <c r="F356" s="14"/>
      <c r="G356" s="14"/>
      <c r="H356" s="14"/>
      <c r="I356" s="14"/>
      <c r="J356" s="13"/>
      <c r="K356" s="13"/>
    </row>
    <row r="357" customFormat="false" ht="15" hidden="false" customHeight="false" outlineLevel="0" collapsed="false">
      <c r="A357" s="11" t="str">
        <f aca="false">Apontamentos!C357</f>
        <v/>
      </c>
      <c r="B357" s="11" t="str">
        <f aca="false">IF(Apontamentos!$C357="","",Apontamentos!D357&amp;"")</f>
        <v/>
      </c>
      <c r="C357" s="11" t="str">
        <f aca="false">IF(Apontamentos!$C357="","",Apontamentos!E357&amp;"")</f>
        <v/>
      </c>
      <c r="D357" s="10" t="str">
        <f aca="false">IF(Apontamentos!$C357="","",Apontamentos!F357&amp;"")</f>
        <v/>
      </c>
      <c r="E357" s="10" t="str">
        <f aca="false">IF(Apontamentos!$C357="","",Apontamentos!G357&amp;"")</f>
        <v/>
      </c>
      <c r="F357" s="14"/>
      <c r="G357" s="14"/>
      <c r="H357" s="14"/>
      <c r="I357" s="14"/>
      <c r="J357" s="13"/>
      <c r="K357" s="13"/>
    </row>
    <row r="358" customFormat="false" ht="15" hidden="false" customHeight="false" outlineLevel="0" collapsed="false">
      <c r="A358" s="11" t="str">
        <f aca="false">Apontamentos!C358</f>
        <v/>
      </c>
      <c r="B358" s="11" t="str">
        <f aca="false">IF(Apontamentos!$C358="","",Apontamentos!D358&amp;"")</f>
        <v/>
      </c>
      <c r="C358" s="11" t="str">
        <f aca="false">IF(Apontamentos!$C358="","",Apontamentos!E358&amp;"")</f>
        <v/>
      </c>
      <c r="D358" s="10" t="str">
        <f aca="false">IF(Apontamentos!$C358="","",Apontamentos!F358&amp;"")</f>
        <v/>
      </c>
      <c r="E358" s="10" t="str">
        <f aca="false">IF(Apontamentos!$C358="","",Apontamentos!G358&amp;"")</f>
        <v/>
      </c>
      <c r="F358" s="14"/>
      <c r="G358" s="14"/>
      <c r="H358" s="14"/>
      <c r="I358" s="14"/>
      <c r="J358" s="13"/>
      <c r="K358" s="13"/>
    </row>
    <row r="359" customFormat="false" ht="15" hidden="false" customHeight="false" outlineLevel="0" collapsed="false">
      <c r="A359" s="11" t="str">
        <f aca="false">Apontamentos!C359</f>
        <v/>
      </c>
      <c r="B359" s="11" t="str">
        <f aca="false">IF(Apontamentos!$C359="","",Apontamentos!D359&amp;"")</f>
        <v/>
      </c>
      <c r="C359" s="11" t="str">
        <f aca="false">IF(Apontamentos!$C359="","",Apontamentos!E359&amp;"")</f>
        <v/>
      </c>
      <c r="D359" s="10" t="str">
        <f aca="false">IF(Apontamentos!$C359="","",Apontamentos!F359&amp;"")</f>
        <v/>
      </c>
      <c r="E359" s="10" t="str">
        <f aca="false">IF(Apontamentos!$C359="","",Apontamentos!G359&amp;"")</f>
        <v/>
      </c>
      <c r="F359" s="14"/>
      <c r="G359" s="14"/>
      <c r="H359" s="14"/>
      <c r="I359" s="14"/>
      <c r="J359" s="13"/>
      <c r="K359" s="13"/>
    </row>
    <row r="360" customFormat="false" ht="15" hidden="false" customHeight="false" outlineLevel="0" collapsed="false">
      <c r="A360" s="11" t="str">
        <f aca="false">Apontamentos!C360</f>
        <v/>
      </c>
      <c r="B360" s="11" t="str">
        <f aca="false">IF(Apontamentos!$C360="","",Apontamentos!D360&amp;"")</f>
        <v/>
      </c>
      <c r="C360" s="11" t="str">
        <f aca="false">IF(Apontamentos!$C360="","",Apontamentos!E360&amp;"")</f>
        <v/>
      </c>
      <c r="D360" s="10" t="str">
        <f aca="false">IF(Apontamentos!$C360="","",Apontamentos!F360&amp;"")</f>
        <v/>
      </c>
      <c r="E360" s="10" t="str">
        <f aca="false">IF(Apontamentos!$C360="","",Apontamentos!G360&amp;"")</f>
        <v/>
      </c>
      <c r="F360" s="14"/>
      <c r="G360" s="14"/>
      <c r="H360" s="14"/>
      <c r="I360" s="14"/>
      <c r="J360" s="13"/>
      <c r="K360" s="13"/>
    </row>
    <row r="361" customFormat="false" ht="15" hidden="false" customHeight="false" outlineLevel="0" collapsed="false">
      <c r="A361" s="11" t="str">
        <f aca="false">Apontamentos!C361</f>
        <v/>
      </c>
      <c r="B361" s="11" t="str">
        <f aca="false">IF(Apontamentos!$C361="","",Apontamentos!D361&amp;"")</f>
        <v/>
      </c>
      <c r="C361" s="11" t="str">
        <f aca="false">IF(Apontamentos!$C361="","",Apontamentos!E361&amp;"")</f>
        <v/>
      </c>
      <c r="D361" s="10" t="str">
        <f aca="false">IF(Apontamentos!$C361="","",Apontamentos!F361&amp;"")</f>
        <v/>
      </c>
      <c r="E361" s="10" t="str">
        <f aca="false">IF(Apontamentos!$C361="","",Apontamentos!G361&amp;"")</f>
        <v/>
      </c>
      <c r="F361" s="14"/>
      <c r="G361" s="14"/>
      <c r="H361" s="14"/>
      <c r="I361" s="14"/>
      <c r="J361" s="13"/>
      <c r="K361" s="13"/>
    </row>
    <row r="362" customFormat="false" ht="15" hidden="false" customHeight="false" outlineLevel="0" collapsed="false">
      <c r="A362" s="11" t="str">
        <f aca="false">Apontamentos!C362</f>
        <v/>
      </c>
      <c r="B362" s="11" t="str">
        <f aca="false">IF(Apontamentos!$C362="","",Apontamentos!D362&amp;"")</f>
        <v/>
      </c>
      <c r="C362" s="11" t="str">
        <f aca="false">IF(Apontamentos!$C362="","",Apontamentos!E362&amp;"")</f>
        <v/>
      </c>
      <c r="D362" s="10" t="str">
        <f aca="false">IF(Apontamentos!$C362="","",Apontamentos!F362&amp;"")</f>
        <v/>
      </c>
      <c r="E362" s="10" t="str">
        <f aca="false">IF(Apontamentos!$C362="","",Apontamentos!G362&amp;"")</f>
        <v/>
      </c>
      <c r="F362" s="14"/>
      <c r="G362" s="14"/>
      <c r="H362" s="14"/>
      <c r="I362" s="14"/>
      <c r="J362" s="13"/>
      <c r="K362" s="13"/>
    </row>
    <row r="363" customFormat="false" ht="15" hidden="false" customHeight="false" outlineLevel="0" collapsed="false">
      <c r="A363" s="11" t="str">
        <f aca="false">Apontamentos!C363</f>
        <v/>
      </c>
      <c r="B363" s="11" t="str">
        <f aca="false">IF(Apontamentos!$C363="","",Apontamentos!D363&amp;"")</f>
        <v/>
      </c>
      <c r="C363" s="11" t="str">
        <f aca="false">IF(Apontamentos!$C363="","",Apontamentos!E363&amp;"")</f>
        <v/>
      </c>
      <c r="D363" s="10" t="str">
        <f aca="false">IF(Apontamentos!$C363="","",Apontamentos!F363&amp;"")</f>
        <v/>
      </c>
      <c r="E363" s="10" t="str">
        <f aca="false">IF(Apontamentos!$C363="","",Apontamentos!G363&amp;"")</f>
        <v/>
      </c>
      <c r="F363" s="14"/>
      <c r="G363" s="14"/>
      <c r="H363" s="14"/>
      <c r="I363" s="14"/>
      <c r="J363" s="13"/>
      <c r="K363" s="13"/>
    </row>
    <row r="364" customFormat="false" ht="15" hidden="false" customHeight="false" outlineLevel="0" collapsed="false">
      <c r="A364" s="11" t="str">
        <f aca="false">Apontamentos!C364</f>
        <v/>
      </c>
      <c r="B364" s="11" t="str">
        <f aca="false">IF(Apontamentos!$C364="","",Apontamentos!D364&amp;"")</f>
        <v/>
      </c>
      <c r="C364" s="11" t="str">
        <f aca="false">IF(Apontamentos!$C364="","",Apontamentos!E364&amp;"")</f>
        <v/>
      </c>
      <c r="D364" s="10" t="str">
        <f aca="false">IF(Apontamentos!$C364="","",Apontamentos!F364&amp;"")</f>
        <v/>
      </c>
      <c r="E364" s="10" t="str">
        <f aca="false">IF(Apontamentos!$C364="","",Apontamentos!G364&amp;"")</f>
        <v/>
      </c>
      <c r="F364" s="14"/>
      <c r="G364" s="14"/>
      <c r="H364" s="14"/>
      <c r="I364" s="14"/>
      <c r="J364" s="13"/>
      <c r="K364" s="13"/>
    </row>
    <row r="365" customFormat="false" ht="15" hidden="false" customHeight="false" outlineLevel="0" collapsed="false">
      <c r="A365" s="11" t="str">
        <f aca="false">Apontamentos!C365</f>
        <v/>
      </c>
      <c r="B365" s="11" t="str">
        <f aca="false">IF(Apontamentos!$C365="","",Apontamentos!D365&amp;"")</f>
        <v/>
      </c>
      <c r="C365" s="11" t="str">
        <f aca="false">IF(Apontamentos!$C365="","",Apontamentos!E365&amp;"")</f>
        <v/>
      </c>
      <c r="D365" s="10" t="str">
        <f aca="false">IF(Apontamentos!$C365="","",Apontamentos!F365&amp;"")</f>
        <v/>
      </c>
      <c r="E365" s="10" t="str">
        <f aca="false">IF(Apontamentos!$C365="","",Apontamentos!G365&amp;"")</f>
        <v/>
      </c>
      <c r="F365" s="14"/>
      <c r="G365" s="14"/>
      <c r="H365" s="14"/>
      <c r="I365" s="14"/>
      <c r="J365" s="13"/>
      <c r="K365" s="13"/>
    </row>
    <row r="366" customFormat="false" ht="15" hidden="false" customHeight="false" outlineLevel="0" collapsed="false">
      <c r="A366" s="11" t="str">
        <f aca="false">Apontamentos!C366</f>
        <v/>
      </c>
      <c r="B366" s="11" t="str">
        <f aca="false">IF(Apontamentos!$C366="","",Apontamentos!D366&amp;"")</f>
        <v/>
      </c>
      <c r="C366" s="11" t="str">
        <f aca="false">IF(Apontamentos!$C366="","",Apontamentos!E366&amp;"")</f>
        <v/>
      </c>
      <c r="D366" s="10" t="str">
        <f aca="false">IF(Apontamentos!$C366="","",Apontamentos!F366&amp;"")</f>
        <v/>
      </c>
      <c r="E366" s="10" t="str">
        <f aca="false">IF(Apontamentos!$C366="","",Apontamentos!G366&amp;"")</f>
        <v/>
      </c>
      <c r="F366" s="14"/>
      <c r="G366" s="14"/>
      <c r="H366" s="14"/>
      <c r="I366" s="14"/>
      <c r="J366" s="13"/>
      <c r="K366" s="13"/>
    </row>
    <row r="367" customFormat="false" ht="15" hidden="false" customHeight="false" outlineLevel="0" collapsed="false">
      <c r="A367" s="11" t="str">
        <f aca="false">Apontamentos!C367</f>
        <v/>
      </c>
      <c r="B367" s="11" t="str">
        <f aca="false">IF(Apontamentos!$C367="","",Apontamentos!D367&amp;"")</f>
        <v/>
      </c>
      <c r="C367" s="11" t="str">
        <f aca="false">IF(Apontamentos!$C367="","",Apontamentos!E367&amp;"")</f>
        <v/>
      </c>
      <c r="D367" s="10" t="str">
        <f aca="false">IF(Apontamentos!$C367="","",Apontamentos!F367&amp;"")</f>
        <v/>
      </c>
      <c r="E367" s="10" t="str">
        <f aca="false">IF(Apontamentos!$C367="","",Apontamentos!G367&amp;"")</f>
        <v/>
      </c>
      <c r="F367" s="14"/>
      <c r="G367" s="14"/>
      <c r="H367" s="14"/>
      <c r="I367" s="14"/>
      <c r="J367" s="13"/>
      <c r="K367" s="13"/>
    </row>
    <row r="368" customFormat="false" ht="15" hidden="false" customHeight="false" outlineLevel="0" collapsed="false">
      <c r="A368" s="11" t="str">
        <f aca="false">Apontamentos!C368</f>
        <v/>
      </c>
      <c r="B368" s="11" t="str">
        <f aca="false">IF(Apontamentos!$C368="","",Apontamentos!D368&amp;"")</f>
        <v/>
      </c>
      <c r="C368" s="11" t="str">
        <f aca="false">IF(Apontamentos!$C368="","",Apontamentos!E368&amp;"")</f>
        <v/>
      </c>
      <c r="D368" s="10" t="str">
        <f aca="false">IF(Apontamentos!$C368="","",Apontamentos!F368&amp;"")</f>
        <v/>
      </c>
      <c r="E368" s="10" t="str">
        <f aca="false">IF(Apontamentos!$C368="","",Apontamentos!G368&amp;"")</f>
        <v/>
      </c>
      <c r="F368" s="14"/>
      <c r="G368" s="14"/>
      <c r="H368" s="14"/>
      <c r="I368" s="14"/>
      <c r="J368" s="13"/>
      <c r="K368" s="13"/>
    </row>
    <row r="369" customFormat="false" ht="15" hidden="false" customHeight="false" outlineLevel="0" collapsed="false">
      <c r="A369" s="11" t="str">
        <f aca="false">Apontamentos!C369</f>
        <v/>
      </c>
      <c r="B369" s="11" t="str">
        <f aca="false">IF(Apontamentos!$C369="","",Apontamentos!D369&amp;"")</f>
        <v/>
      </c>
      <c r="C369" s="11" t="str">
        <f aca="false">IF(Apontamentos!$C369="","",Apontamentos!E369&amp;"")</f>
        <v/>
      </c>
      <c r="D369" s="10" t="str">
        <f aca="false">IF(Apontamentos!$C369="","",Apontamentos!F369&amp;"")</f>
        <v/>
      </c>
      <c r="E369" s="10" t="str">
        <f aca="false">IF(Apontamentos!$C369="","",Apontamentos!G369&amp;"")</f>
        <v/>
      </c>
      <c r="F369" s="14"/>
      <c r="G369" s="14"/>
      <c r="H369" s="14"/>
      <c r="I369" s="14"/>
      <c r="J369" s="13"/>
      <c r="K369" s="13"/>
    </row>
    <row r="370" customFormat="false" ht="15" hidden="false" customHeight="false" outlineLevel="0" collapsed="false">
      <c r="A370" s="11" t="str">
        <f aca="false">Apontamentos!C370</f>
        <v/>
      </c>
      <c r="B370" s="11" t="str">
        <f aca="false">IF(Apontamentos!$C370="","",Apontamentos!D370&amp;"")</f>
        <v/>
      </c>
      <c r="C370" s="11" t="str">
        <f aca="false">IF(Apontamentos!$C370="","",Apontamentos!E370&amp;"")</f>
        <v/>
      </c>
      <c r="D370" s="10" t="str">
        <f aca="false">IF(Apontamentos!$C370="","",Apontamentos!F370&amp;"")</f>
        <v/>
      </c>
      <c r="E370" s="10" t="str">
        <f aca="false">IF(Apontamentos!$C370="","",Apontamentos!G370&amp;"")</f>
        <v/>
      </c>
      <c r="F370" s="14"/>
      <c r="G370" s="14"/>
      <c r="H370" s="14"/>
      <c r="I370" s="14"/>
      <c r="J370" s="13"/>
      <c r="K370" s="13"/>
    </row>
    <row r="371" customFormat="false" ht="15" hidden="false" customHeight="false" outlineLevel="0" collapsed="false">
      <c r="A371" s="11" t="str">
        <f aca="false">Apontamentos!C371</f>
        <v/>
      </c>
      <c r="B371" s="11" t="str">
        <f aca="false">IF(Apontamentos!$C371="","",Apontamentos!D371&amp;"")</f>
        <v/>
      </c>
      <c r="C371" s="11" t="str">
        <f aca="false">IF(Apontamentos!$C371="","",Apontamentos!E371&amp;"")</f>
        <v/>
      </c>
      <c r="D371" s="10" t="str">
        <f aca="false">IF(Apontamentos!$C371="","",Apontamentos!F371&amp;"")</f>
        <v/>
      </c>
      <c r="E371" s="10" t="str">
        <f aca="false">IF(Apontamentos!$C371="","",Apontamentos!G371&amp;"")</f>
        <v/>
      </c>
      <c r="F371" s="14"/>
      <c r="G371" s="14"/>
      <c r="H371" s="14"/>
      <c r="I371" s="14"/>
      <c r="J371" s="13"/>
      <c r="K371" s="13"/>
    </row>
    <row r="372" customFormat="false" ht="15" hidden="false" customHeight="false" outlineLevel="0" collapsed="false">
      <c r="A372" s="11" t="str">
        <f aca="false">Apontamentos!C372</f>
        <v/>
      </c>
      <c r="B372" s="11" t="str">
        <f aca="false">IF(Apontamentos!$C372="","",Apontamentos!D372&amp;"")</f>
        <v/>
      </c>
      <c r="C372" s="11" t="str">
        <f aca="false">IF(Apontamentos!$C372="","",Apontamentos!E372&amp;"")</f>
        <v/>
      </c>
      <c r="D372" s="10" t="str">
        <f aca="false">IF(Apontamentos!$C372="","",Apontamentos!F372&amp;"")</f>
        <v/>
      </c>
      <c r="E372" s="10" t="str">
        <f aca="false">IF(Apontamentos!$C372="","",Apontamentos!G372&amp;"")</f>
        <v/>
      </c>
      <c r="F372" s="14"/>
      <c r="G372" s="14"/>
      <c r="H372" s="14"/>
      <c r="I372" s="14"/>
      <c r="J372" s="13"/>
      <c r="K372" s="13"/>
    </row>
    <row r="373" customFormat="false" ht="15" hidden="false" customHeight="false" outlineLevel="0" collapsed="false">
      <c r="A373" s="11" t="str">
        <f aca="false">Apontamentos!C373</f>
        <v/>
      </c>
      <c r="B373" s="11" t="str">
        <f aca="false">IF(Apontamentos!$C373="","",Apontamentos!D373&amp;"")</f>
        <v/>
      </c>
      <c r="C373" s="11" t="str">
        <f aca="false">IF(Apontamentos!$C373="","",Apontamentos!E373&amp;"")</f>
        <v/>
      </c>
      <c r="D373" s="10" t="str">
        <f aca="false">IF(Apontamentos!$C373="","",Apontamentos!F373&amp;"")</f>
        <v/>
      </c>
      <c r="E373" s="10" t="str">
        <f aca="false">IF(Apontamentos!$C373="","",Apontamentos!G373&amp;"")</f>
        <v/>
      </c>
      <c r="F373" s="14"/>
      <c r="G373" s="14"/>
      <c r="H373" s="14"/>
      <c r="I373" s="14"/>
      <c r="J373" s="13"/>
      <c r="K373" s="13"/>
    </row>
    <row r="374" customFormat="false" ht="15" hidden="false" customHeight="false" outlineLevel="0" collapsed="false">
      <c r="A374" s="11" t="str">
        <f aca="false">Apontamentos!C374</f>
        <v/>
      </c>
      <c r="B374" s="11" t="str">
        <f aca="false">IF(Apontamentos!$C374="","",Apontamentos!D374&amp;"")</f>
        <v/>
      </c>
      <c r="C374" s="11" t="str">
        <f aca="false">IF(Apontamentos!$C374="","",Apontamentos!E374&amp;"")</f>
        <v/>
      </c>
      <c r="D374" s="10" t="str">
        <f aca="false">IF(Apontamentos!$C374="","",Apontamentos!F374&amp;"")</f>
        <v/>
      </c>
      <c r="E374" s="10" t="str">
        <f aca="false">IF(Apontamentos!$C374="","",Apontamentos!G374&amp;"")</f>
        <v/>
      </c>
      <c r="F374" s="14"/>
      <c r="G374" s="14"/>
      <c r="H374" s="14"/>
      <c r="I374" s="14"/>
      <c r="J374" s="13"/>
      <c r="K374" s="13"/>
    </row>
    <row r="375" customFormat="false" ht="15" hidden="false" customHeight="false" outlineLevel="0" collapsed="false">
      <c r="A375" s="11" t="str">
        <f aca="false">Apontamentos!C375</f>
        <v/>
      </c>
      <c r="B375" s="11" t="str">
        <f aca="false">IF(Apontamentos!$C375="","",Apontamentos!D375&amp;"")</f>
        <v/>
      </c>
      <c r="C375" s="11" t="str">
        <f aca="false">IF(Apontamentos!$C375="","",Apontamentos!E375&amp;"")</f>
        <v/>
      </c>
      <c r="D375" s="10" t="str">
        <f aca="false">IF(Apontamentos!$C375="","",Apontamentos!F375&amp;"")</f>
        <v/>
      </c>
      <c r="E375" s="10" t="str">
        <f aca="false">IF(Apontamentos!$C375="","",Apontamentos!G375&amp;"")</f>
        <v/>
      </c>
      <c r="F375" s="14"/>
      <c r="G375" s="14"/>
      <c r="H375" s="14"/>
      <c r="I375" s="14"/>
      <c r="J375" s="13"/>
      <c r="K375" s="13"/>
    </row>
    <row r="376" customFormat="false" ht="15" hidden="false" customHeight="false" outlineLevel="0" collapsed="false">
      <c r="A376" s="11" t="str">
        <f aca="false">Apontamentos!C376</f>
        <v/>
      </c>
      <c r="B376" s="11" t="str">
        <f aca="false">IF(Apontamentos!$C376="","",Apontamentos!D376&amp;"")</f>
        <v/>
      </c>
      <c r="C376" s="11" t="str">
        <f aca="false">IF(Apontamentos!$C376="","",Apontamentos!E376&amp;"")</f>
        <v/>
      </c>
      <c r="D376" s="10" t="str">
        <f aca="false">IF(Apontamentos!$C376="","",Apontamentos!F376&amp;"")</f>
        <v/>
      </c>
      <c r="E376" s="10" t="str">
        <f aca="false">IF(Apontamentos!$C376="","",Apontamentos!G376&amp;"")</f>
        <v/>
      </c>
      <c r="F376" s="14"/>
      <c r="G376" s="14"/>
      <c r="H376" s="14"/>
      <c r="I376" s="14"/>
      <c r="J376" s="13"/>
      <c r="K376" s="13"/>
    </row>
    <row r="377" customFormat="false" ht="15" hidden="false" customHeight="false" outlineLevel="0" collapsed="false">
      <c r="A377" s="11" t="str">
        <f aca="false">Apontamentos!C377</f>
        <v/>
      </c>
      <c r="B377" s="11" t="str">
        <f aca="false">IF(Apontamentos!$C377="","",Apontamentos!D377&amp;"")</f>
        <v/>
      </c>
      <c r="C377" s="11" t="str">
        <f aca="false">IF(Apontamentos!$C377="","",Apontamentos!E377&amp;"")</f>
        <v/>
      </c>
      <c r="D377" s="10" t="str">
        <f aca="false">IF(Apontamentos!$C377="","",Apontamentos!F377&amp;"")</f>
        <v/>
      </c>
      <c r="E377" s="10" t="str">
        <f aca="false">IF(Apontamentos!$C377="","",Apontamentos!G377&amp;"")</f>
        <v/>
      </c>
      <c r="F377" s="14"/>
      <c r="G377" s="14"/>
      <c r="H377" s="14"/>
      <c r="I377" s="14"/>
      <c r="J377" s="13"/>
      <c r="K377" s="13"/>
    </row>
    <row r="378" customFormat="false" ht="15" hidden="false" customHeight="false" outlineLevel="0" collapsed="false">
      <c r="A378" s="11" t="str">
        <f aca="false">Apontamentos!C378</f>
        <v/>
      </c>
      <c r="B378" s="11" t="str">
        <f aca="false">IF(Apontamentos!$C378="","",Apontamentos!D378&amp;"")</f>
        <v/>
      </c>
      <c r="C378" s="11" t="str">
        <f aca="false">IF(Apontamentos!$C378="","",Apontamentos!E378&amp;"")</f>
        <v/>
      </c>
      <c r="D378" s="10" t="str">
        <f aca="false">IF(Apontamentos!$C378="","",Apontamentos!F378&amp;"")</f>
        <v/>
      </c>
      <c r="E378" s="10" t="str">
        <f aca="false">IF(Apontamentos!$C378="","",Apontamentos!G378&amp;"")</f>
        <v/>
      </c>
      <c r="F378" s="14"/>
      <c r="G378" s="14"/>
      <c r="H378" s="14"/>
      <c r="I378" s="14"/>
      <c r="J378" s="13"/>
      <c r="K378" s="13"/>
    </row>
    <row r="379" customFormat="false" ht="15" hidden="false" customHeight="false" outlineLevel="0" collapsed="false">
      <c r="A379" s="11" t="str">
        <f aca="false">Apontamentos!C379</f>
        <v/>
      </c>
      <c r="B379" s="11" t="str">
        <f aca="false">IF(Apontamentos!$C379="","",Apontamentos!D379&amp;"")</f>
        <v/>
      </c>
      <c r="C379" s="11" t="str">
        <f aca="false">IF(Apontamentos!$C379="","",Apontamentos!E379&amp;"")</f>
        <v/>
      </c>
      <c r="D379" s="10" t="str">
        <f aca="false">IF(Apontamentos!$C379="","",Apontamentos!F379&amp;"")</f>
        <v/>
      </c>
      <c r="E379" s="10" t="str">
        <f aca="false">IF(Apontamentos!$C379="","",Apontamentos!G379&amp;"")</f>
        <v/>
      </c>
      <c r="F379" s="14"/>
      <c r="G379" s="14"/>
      <c r="H379" s="14"/>
      <c r="I379" s="14"/>
      <c r="J379" s="13"/>
      <c r="K379" s="13"/>
    </row>
    <row r="380" customFormat="false" ht="15" hidden="false" customHeight="false" outlineLevel="0" collapsed="false">
      <c r="A380" s="11" t="str">
        <f aca="false">Apontamentos!C380</f>
        <v/>
      </c>
      <c r="B380" s="11" t="str">
        <f aca="false">IF(Apontamentos!$C380="","",Apontamentos!D380&amp;"")</f>
        <v/>
      </c>
      <c r="C380" s="11" t="str">
        <f aca="false">IF(Apontamentos!$C380="","",Apontamentos!E380&amp;"")</f>
        <v/>
      </c>
      <c r="D380" s="10" t="str">
        <f aca="false">IF(Apontamentos!$C380="","",Apontamentos!F380&amp;"")</f>
        <v/>
      </c>
      <c r="E380" s="10" t="str">
        <f aca="false">IF(Apontamentos!$C380="","",Apontamentos!G380&amp;"")</f>
        <v/>
      </c>
      <c r="F380" s="14"/>
      <c r="G380" s="14"/>
      <c r="H380" s="14"/>
      <c r="I380" s="14"/>
      <c r="J380" s="13"/>
      <c r="K380" s="13"/>
    </row>
    <row r="381" customFormat="false" ht="15" hidden="false" customHeight="false" outlineLevel="0" collapsed="false">
      <c r="A381" s="11" t="str">
        <f aca="false">Apontamentos!C381</f>
        <v/>
      </c>
      <c r="B381" s="11" t="str">
        <f aca="false">IF(Apontamentos!$C381="","",Apontamentos!D381&amp;"")</f>
        <v/>
      </c>
      <c r="C381" s="11" t="str">
        <f aca="false">IF(Apontamentos!$C381="","",Apontamentos!E381&amp;"")</f>
        <v/>
      </c>
      <c r="D381" s="10" t="str">
        <f aca="false">IF(Apontamentos!$C381="","",Apontamentos!F381&amp;"")</f>
        <v/>
      </c>
      <c r="E381" s="10" t="str">
        <f aca="false">IF(Apontamentos!$C381="","",Apontamentos!G381&amp;"")</f>
        <v/>
      </c>
      <c r="F381" s="14"/>
      <c r="G381" s="14"/>
      <c r="H381" s="14"/>
      <c r="I381" s="14"/>
      <c r="J381" s="13"/>
      <c r="K381" s="13"/>
    </row>
    <row r="382" customFormat="false" ht="15" hidden="false" customHeight="false" outlineLevel="0" collapsed="false">
      <c r="A382" s="11" t="str">
        <f aca="false">Apontamentos!C382</f>
        <v/>
      </c>
      <c r="B382" s="11" t="str">
        <f aca="false">IF(Apontamentos!$C382="","",Apontamentos!D382&amp;"")</f>
        <v/>
      </c>
      <c r="C382" s="11" t="str">
        <f aca="false">IF(Apontamentos!$C382="","",Apontamentos!E382&amp;"")</f>
        <v/>
      </c>
      <c r="D382" s="10" t="str">
        <f aca="false">IF(Apontamentos!$C382="","",Apontamentos!F382&amp;"")</f>
        <v/>
      </c>
      <c r="E382" s="10" t="str">
        <f aca="false">IF(Apontamentos!$C382="","",Apontamentos!G382&amp;"")</f>
        <v/>
      </c>
      <c r="F382" s="14"/>
      <c r="G382" s="14"/>
      <c r="H382" s="14"/>
      <c r="I382" s="14"/>
      <c r="J382" s="13"/>
      <c r="K382" s="13"/>
    </row>
    <row r="383" customFormat="false" ht="15" hidden="false" customHeight="false" outlineLevel="0" collapsed="false">
      <c r="A383" s="11" t="str">
        <f aca="false">Apontamentos!C383</f>
        <v/>
      </c>
      <c r="B383" s="11" t="str">
        <f aca="false">IF(Apontamentos!$C383="","",Apontamentos!D383&amp;"")</f>
        <v/>
      </c>
      <c r="C383" s="11" t="str">
        <f aca="false">IF(Apontamentos!$C383="","",Apontamentos!E383&amp;"")</f>
        <v/>
      </c>
      <c r="D383" s="10" t="str">
        <f aca="false">IF(Apontamentos!$C383="","",Apontamentos!F383&amp;"")</f>
        <v/>
      </c>
      <c r="E383" s="10" t="str">
        <f aca="false">IF(Apontamentos!$C383="","",Apontamentos!G383&amp;"")</f>
        <v/>
      </c>
      <c r="F383" s="14"/>
      <c r="G383" s="14"/>
      <c r="H383" s="14"/>
      <c r="I383" s="14"/>
      <c r="J383" s="13"/>
      <c r="K383" s="13"/>
    </row>
    <row r="384" customFormat="false" ht="15" hidden="false" customHeight="false" outlineLevel="0" collapsed="false">
      <c r="A384" s="11" t="str">
        <f aca="false">Apontamentos!C384</f>
        <v/>
      </c>
      <c r="B384" s="11" t="str">
        <f aca="false">IF(Apontamentos!$C384="","",Apontamentos!D384&amp;"")</f>
        <v/>
      </c>
      <c r="C384" s="11" t="str">
        <f aca="false">IF(Apontamentos!$C384="","",Apontamentos!E384&amp;"")</f>
        <v/>
      </c>
      <c r="D384" s="10" t="str">
        <f aca="false">IF(Apontamentos!$C384="","",Apontamentos!F384&amp;"")</f>
        <v/>
      </c>
      <c r="E384" s="10" t="str">
        <f aca="false">IF(Apontamentos!$C384="","",Apontamentos!G384&amp;"")</f>
        <v/>
      </c>
      <c r="F384" s="14"/>
      <c r="G384" s="14"/>
      <c r="H384" s="14"/>
      <c r="I384" s="14"/>
      <c r="J384" s="13"/>
      <c r="K384" s="13"/>
    </row>
    <row r="385" customFormat="false" ht="15" hidden="false" customHeight="false" outlineLevel="0" collapsed="false">
      <c r="A385" s="11" t="str">
        <f aca="false">Apontamentos!C385</f>
        <v/>
      </c>
      <c r="B385" s="11" t="str">
        <f aca="false">IF(Apontamentos!$C385="","",Apontamentos!D385&amp;"")</f>
        <v/>
      </c>
      <c r="C385" s="11" t="str">
        <f aca="false">IF(Apontamentos!$C385="","",Apontamentos!E385&amp;"")</f>
        <v/>
      </c>
      <c r="D385" s="10" t="str">
        <f aca="false">IF(Apontamentos!$C385="","",Apontamentos!F385&amp;"")</f>
        <v/>
      </c>
      <c r="E385" s="10" t="str">
        <f aca="false">IF(Apontamentos!$C385="","",Apontamentos!G385&amp;"")</f>
        <v/>
      </c>
      <c r="F385" s="14"/>
      <c r="G385" s="14"/>
      <c r="H385" s="14"/>
      <c r="I385" s="14"/>
      <c r="J385" s="13"/>
      <c r="K385" s="13"/>
    </row>
    <row r="386" customFormat="false" ht="15" hidden="false" customHeight="false" outlineLevel="0" collapsed="false">
      <c r="A386" s="11" t="str">
        <f aca="false">Apontamentos!C386</f>
        <v/>
      </c>
      <c r="B386" s="11" t="str">
        <f aca="false">IF(Apontamentos!$C386="","",Apontamentos!D386&amp;"")</f>
        <v/>
      </c>
      <c r="C386" s="11" t="str">
        <f aca="false">IF(Apontamentos!$C386="","",Apontamentos!E386&amp;"")</f>
        <v/>
      </c>
      <c r="D386" s="10" t="str">
        <f aca="false">IF(Apontamentos!$C386="","",Apontamentos!F386&amp;"")</f>
        <v/>
      </c>
      <c r="E386" s="10" t="str">
        <f aca="false">IF(Apontamentos!$C386="","",Apontamentos!G386&amp;"")</f>
        <v/>
      </c>
      <c r="F386" s="14"/>
      <c r="G386" s="14"/>
      <c r="H386" s="14"/>
      <c r="I386" s="14"/>
      <c r="J386" s="13"/>
      <c r="K386" s="13"/>
    </row>
    <row r="387" customFormat="false" ht="15" hidden="false" customHeight="false" outlineLevel="0" collapsed="false">
      <c r="A387" s="11" t="str">
        <f aca="false">Apontamentos!C387</f>
        <v/>
      </c>
      <c r="B387" s="11" t="str">
        <f aca="false">IF(Apontamentos!$C387="","",Apontamentos!D387&amp;"")</f>
        <v/>
      </c>
      <c r="C387" s="11" t="str">
        <f aca="false">IF(Apontamentos!$C387="","",Apontamentos!E387&amp;"")</f>
        <v/>
      </c>
      <c r="D387" s="10" t="str">
        <f aca="false">IF(Apontamentos!$C387="","",Apontamentos!F387&amp;"")</f>
        <v/>
      </c>
      <c r="E387" s="10" t="str">
        <f aca="false">IF(Apontamentos!$C387="","",Apontamentos!G387&amp;"")</f>
        <v/>
      </c>
      <c r="F387" s="14"/>
      <c r="G387" s="14"/>
      <c r="H387" s="14"/>
      <c r="I387" s="14"/>
      <c r="J387" s="13"/>
      <c r="K387" s="13"/>
    </row>
    <row r="388" customFormat="false" ht="15" hidden="false" customHeight="false" outlineLevel="0" collapsed="false">
      <c r="A388" s="11" t="str">
        <f aca="false">Apontamentos!C388</f>
        <v/>
      </c>
      <c r="B388" s="11" t="str">
        <f aca="false">IF(Apontamentos!$C388="","",Apontamentos!D388&amp;"")</f>
        <v/>
      </c>
      <c r="C388" s="11" t="str">
        <f aca="false">IF(Apontamentos!$C388="","",Apontamentos!E388&amp;"")</f>
        <v/>
      </c>
      <c r="D388" s="10" t="str">
        <f aca="false">IF(Apontamentos!$C388="","",Apontamentos!F388&amp;"")</f>
        <v/>
      </c>
      <c r="E388" s="10" t="str">
        <f aca="false">IF(Apontamentos!$C388="","",Apontamentos!G388&amp;"")</f>
        <v/>
      </c>
      <c r="F388" s="14"/>
      <c r="G388" s="14"/>
      <c r="H388" s="14"/>
      <c r="I388" s="14"/>
      <c r="J388" s="13"/>
      <c r="K388" s="13"/>
    </row>
    <row r="389" customFormat="false" ht="15" hidden="false" customHeight="false" outlineLevel="0" collapsed="false">
      <c r="A389" s="11" t="str">
        <f aca="false">Apontamentos!C389</f>
        <v/>
      </c>
      <c r="B389" s="11" t="str">
        <f aca="false">IF(Apontamentos!$C389="","",Apontamentos!D389&amp;"")</f>
        <v/>
      </c>
      <c r="C389" s="11" t="str">
        <f aca="false">IF(Apontamentos!$C389="","",Apontamentos!E389&amp;"")</f>
        <v/>
      </c>
      <c r="D389" s="10" t="str">
        <f aca="false">IF(Apontamentos!$C389="","",Apontamentos!F389&amp;"")</f>
        <v/>
      </c>
      <c r="E389" s="10" t="str">
        <f aca="false">IF(Apontamentos!$C389="","",Apontamentos!G389&amp;"")</f>
        <v/>
      </c>
      <c r="F389" s="14"/>
      <c r="G389" s="14"/>
      <c r="H389" s="14"/>
      <c r="I389" s="14"/>
      <c r="J389" s="13"/>
      <c r="K389" s="13"/>
    </row>
    <row r="390" customFormat="false" ht="15" hidden="false" customHeight="false" outlineLevel="0" collapsed="false">
      <c r="A390" s="11" t="str">
        <f aca="false">Apontamentos!C390</f>
        <v/>
      </c>
      <c r="B390" s="11" t="str">
        <f aca="false">IF(Apontamentos!$C390="","",Apontamentos!D390&amp;"")</f>
        <v/>
      </c>
      <c r="C390" s="11" t="str">
        <f aca="false">IF(Apontamentos!$C390="","",Apontamentos!E390&amp;"")</f>
        <v/>
      </c>
      <c r="D390" s="10" t="str">
        <f aca="false">IF(Apontamentos!$C390="","",Apontamentos!F390&amp;"")</f>
        <v/>
      </c>
      <c r="E390" s="10" t="str">
        <f aca="false">IF(Apontamentos!$C390="","",Apontamentos!G390&amp;"")</f>
        <v/>
      </c>
      <c r="F390" s="14"/>
      <c r="G390" s="14"/>
      <c r="H390" s="14"/>
      <c r="I390" s="14"/>
      <c r="J390" s="13"/>
      <c r="K390" s="13"/>
    </row>
    <row r="391" customFormat="false" ht="15" hidden="false" customHeight="false" outlineLevel="0" collapsed="false">
      <c r="A391" s="11" t="str">
        <f aca="false">Apontamentos!C391</f>
        <v/>
      </c>
      <c r="B391" s="11" t="str">
        <f aca="false">IF(Apontamentos!$C391="","",Apontamentos!D391&amp;"")</f>
        <v/>
      </c>
      <c r="C391" s="11" t="str">
        <f aca="false">IF(Apontamentos!$C391="","",Apontamentos!E391&amp;"")</f>
        <v/>
      </c>
      <c r="D391" s="10" t="str">
        <f aca="false">IF(Apontamentos!$C391="","",Apontamentos!F391&amp;"")</f>
        <v/>
      </c>
      <c r="E391" s="10" t="str">
        <f aca="false">IF(Apontamentos!$C391="","",Apontamentos!G391&amp;"")</f>
        <v/>
      </c>
      <c r="F391" s="14"/>
      <c r="G391" s="14"/>
      <c r="H391" s="14"/>
      <c r="I391" s="14"/>
      <c r="J391" s="13"/>
      <c r="K391" s="13"/>
    </row>
    <row r="392" customFormat="false" ht="15" hidden="false" customHeight="false" outlineLevel="0" collapsed="false">
      <c r="A392" s="11" t="str">
        <f aca="false">Apontamentos!C392</f>
        <v/>
      </c>
      <c r="B392" s="11" t="str">
        <f aca="false">IF(Apontamentos!$C392="","",Apontamentos!D392&amp;"")</f>
        <v/>
      </c>
      <c r="C392" s="11" t="str">
        <f aca="false">IF(Apontamentos!$C392="","",Apontamentos!E392&amp;"")</f>
        <v/>
      </c>
      <c r="D392" s="10" t="str">
        <f aca="false">IF(Apontamentos!$C392="","",Apontamentos!F392&amp;"")</f>
        <v/>
      </c>
      <c r="E392" s="10" t="str">
        <f aca="false">IF(Apontamentos!$C392="","",Apontamentos!G392&amp;"")</f>
        <v/>
      </c>
      <c r="F392" s="14"/>
      <c r="G392" s="14"/>
      <c r="H392" s="14"/>
      <c r="I392" s="14"/>
      <c r="J392" s="13"/>
      <c r="K392" s="13"/>
    </row>
    <row r="393" customFormat="false" ht="15" hidden="false" customHeight="false" outlineLevel="0" collapsed="false">
      <c r="A393" s="11" t="str">
        <f aca="false">Apontamentos!C393</f>
        <v/>
      </c>
      <c r="B393" s="11" t="str">
        <f aca="false">IF(Apontamentos!$C393="","",Apontamentos!D393&amp;"")</f>
        <v/>
      </c>
      <c r="C393" s="11" t="str">
        <f aca="false">IF(Apontamentos!$C393="","",Apontamentos!E393&amp;"")</f>
        <v/>
      </c>
      <c r="D393" s="10" t="str">
        <f aca="false">IF(Apontamentos!$C393="","",Apontamentos!F393&amp;"")</f>
        <v/>
      </c>
      <c r="E393" s="10" t="str">
        <f aca="false">IF(Apontamentos!$C393="","",Apontamentos!G393&amp;"")</f>
        <v/>
      </c>
      <c r="F393" s="14"/>
      <c r="G393" s="14"/>
      <c r="H393" s="14"/>
      <c r="I393" s="14"/>
      <c r="J393" s="13"/>
      <c r="K393" s="13"/>
    </row>
    <row r="394" customFormat="false" ht="15" hidden="false" customHeight="false" outlineLevel="0" collapsed="false">
      <c r="A394" s="11" t="str">
        <f aca="false">Apontamentos!C394</f>
        <v/>
      </c>
      <c r="B394" s="11" t="str">
        <f aca="false">IF(Apontamentos!$C394="","",Apontamentos!D394&amp;"")</f>
        <v/>
      </c>
      <c r="C394" s="11" t="str">
        <f aca="false">IF(Apontamentos!$C394="","",Apontamentos!E394&amp;"")</f>
        <v/>
      </c>
      <c r="D394" s="10" t="str">
        <f aca="false">IF(Apontamentos!$C394="","",Apontamentos!F394&amp;"")</f>
        <v/>
      </c>
      <c r="E394" s="10" t="str">
        <f aca="false">IF(Apontamentos!$C394="","",Apontamentos!G394&amp;"")</f>
        <v/>
      </c>
      <c r="F394" s="14"/>
      <c r="G394" s="14"/>
      <c r="H394" s="14"/>
      <c r="I394" s="14"/>
      <c r="J394" s="13"/>
      <c r="K394" s="13"/>
    </row>
    <row r="395" customFormat="false" ht="15" hidden="false" customHeight="false" outlineLevel="0" collapsed="false">
      <c r="A395" s="11" t="str">
        <f aca="false">Apontamentos!C395</f>
        <v/>
      </c>
      <c r="B395" s="11" t="str">
        <f aca="false">IF(Apontamentos!$C395="","",Apontamentos!D395&amp;"")</f>
        <v/>
      </c>
      <c r="C395" s="11" t="str">
        <f aca="false">IF(Apontamentos!$C395="","",Apontamentos!E395&amp;"")</f>
        <v/>
      </c>
      <c r="D395" s="10" t="str">
        <f aca="false">IF(Apontamentos!$C395="","",Apontamentos!F395&amp;"")</f>
        <v/>
      </c>
      <c r="E395" s="10" t="str">
        <f aca="false">IF(Apontamentos!$C395="","",Apontamentos!G395&amp;"")</f>
        <v/>
      </c>
      <c r="F395" s="14"/>
      <c r="G395" s="14"/>
      <c r="H395" s="14"/>
      <c r="I395" s="14"/>
      <c r="J395" s="13"/>
      <c r="K395" s="13"/>
    </row>
    <row r="396" customFormat="false" ht="15" hidden="false" customHeight="false" outlineLevel="0" collapsed="false">
      <c r="A396" s="11" t="str">
        <f aca="false">Apontamentos!C396</f>
        <v/>
      </c>
      <c r="B396" s="11" t="str">
        <f aca="false">IF(Apontamentos!$C396="","",Apontamentos!D396&amp;"")</f>
        <v/>
      </c>
      <c r="C396" s="11" t="str">
        <f aca="false">IF(Apontamentos!$C396="","",Apontamentos!E396&amp;"")</f>
        <v/>
      </c>
      <c r="D396" s="10" t="str">
        <f aca="false">IF(Apontamentos!$C396="","",Apontamentos!F396&amp;"")</f>
        <v/>
      </c>
      <c r="E396" s="10" t="str">
        <f aca="false">IF(Apontamentos!$C396="","",Apontamentos!G396&amp;"")</f>
        <v/>
      </c>
      <c r="F396" s="14"/>
      <c r="G396" s="14"/>
      <c r="H396" s="14"/>
      <c r="I396" s="14"/>
      <c r="J396" s="13"/>
      <c r="K396" s="13"/>
    </row>
    <row r="397" customFormat="false" ht="15" hidden="false" customHeight="false" outlineLevel="0" collapsed="false">
      <c r="A397" s="11" t="str">
        <f aca="false">Apontamentos!C397</f>
        <v/>
      </c>
      <c r="B397" s="11" t="str">
        <f aca="false">IF(Apontamentos!$C397="","",Apontamentos!D397&amp;"")</f>
        <v/>
      </c>
      <c r="C397" s="11" t="str">
        <f aca="false">IF(Apontamentos!$C397="","",Apontamentos!E397&amp;"")</f>
        <v/>
      </c>
      <c r="D397" s="10" t="str">
        <f aca="false">IF(Apontamentos!$C397="","",Apontamentos!F397&amp;"")</f>
        <v/>
      </c>
      <c r="E397" s="10" t="str">
        <f aca="false">IF(Apontamentos!$C397="","",Apontamentos!G397&amp;"")</f>
        <v/>
      </c>
      <c r="F397" s="14"/>
      <c r="G397" s="14"/>
      <c r="H397" s="14"/>
      <c r="I397" s="14"/>
      <c r="J397" s="13"/>
      <c r="K397" s="13"/>
    </row>
    <row r="398" customFormat="false" ht="15" hidden="false" customHeight="false" outlineLevel="0" collapsed="false">
      <c r="A398" s="11" t="str">
        <f aca="false">Apontamentos!C398</f>
        <v/>
      </c>
      <c r="B398" s="11" t="str">
        <f aca="false">IF(Apontamentos!$C398="","",Apontamentos!D398&amp;"")</f>
        <v/>
      </c>
      <c r="C398" s="11" t="str">
        <f aca="false">IF(Apontamentos!$C398="","",Apontamentos!E398&amp;"")</f>
        <v/>
      </c>
      <c r="D398" s="10" t="str">
        <f aca="false">IF(Apontamentos!$C398="","",Apontamentos!F398&amp;"")</f>
        <v/>
      </c>
      <c r="E398" s="10" t="str">
        <f aca="false">IF(Apontamentos!$C398="","",Apontamentos!G398&amp;"")</f>
        <v/>
      </c>
      <c r="F398" s="14"/>
      <c r="G398" s="14"/>
      <c r="H398" s="14"/>
      <c r="I398" s="14"/>
      <c r="J398" s="13"/>
      <c r="K398" s="13"/>
    </row>
    <row r="399" customFormat="false" ht="15" hidden="false" customHeight="false" outlineLevel="0" collapsed="false">
      <c r="A399" s="11" t="str">
        <f aca="false">Apontamentos!C399</f>
        <v/>
      </c>
      <c r="B399" s="11" t="str">
        <f aca="false">IF(Apontamentos!$C399="","",Apontamentos!D399&amp;"")</f>
        <v/>
      </c>
      <c r="C399" s="11" t="str">
        <f aca="false">IF(Apontamentos!$C399="","",Apontamentos!E399&amp;"")</f>
        <v/>
      </c>
      <c r="D399" s="10" t="str">
        <f aca="false">IF(Apontamentos!$C399="","",Apontamentos!F399&amp;"")</f>
        <v/>
      </c>
      <c r="E399" s="10" t="str">
        <f aca="false">IF(Apontamentos!$C399="","",Apontamentos!G399&amp;"")</f>
        <v/>
      </c>
      <c r="F399" s="14"/>
      <c r="G399" s="14"/>
      <c r="H399" s="14"/>
      <c r="I399" s="14"/>
      <c r="J399" s="13"/>
      <c r="K399" s="13"/>
    </row>
    <row r="400" customFormat="false" ht="15" hidden="false" customHeight="false" outlineLevel="0" collapsed="false">
      <c r="A400" s="11" t="str">
        <f aca="false">Apontamentos!C400</f>
        <v/>
      </c>
      <c r="B400" s="11" t="str">
        <f aca="false">IF(Apontamentos!$C400="","",Apontamentos!D400&amp;"")</f>
        <v/>
      </c>
      <c r="C400" s="11" t="str">
        <f aca="false">IF(Apontamentos!$C400="","",Apontamentos!E400&amp;"")</f>
        <v/>
      </c>
      <c r="D400" s="10" t="str">
        <f aca="false">IF(Apontamentos!$C400="","",Apontamentos!F400&amp;"")</f>
        <v/>
      </c>
      <c r="E400" s="10" t="str">
        <f aca="false">IF(Apontamentos!$C400="","",Apontamentos!G400&amp;"")</f>
        <v/>
      </c>
      <c r="F400" s="14"/>
      <c r="G400" s="14"/>
      <c r="H400" s="14"/>
      <c r="I400" s="14"/>
      <c r="J400" s="13"/>
      <c r="K400" s="13"/>
    </row>
    <row r="401" customFormat="false" ht="15" hidden="false" customHeight="false" outlineLevel="0" collapsed="false">
      <c r="A401" s="11" t="str">
        <f aca="false">Apontamentos!C401</f>
        <v/>
      </c>
      <c r="B401" s="11" t="str">
        <f aca="false">IF(Apontamentos!$C401="","",Apontamentos!D401&amp;"")</f>
        <v/>
      </c>
      <c r="C401" s="11" t="str">
        <f aca="false">IF(Apontamentos!$C401="","",Apontamentos!E401&amp;"")</f>
        <v/>
      </c>
      <c r="D401" s="10" t="str">
        <f aca="false">IF(Apontamentos!$C401="","",Apontamentos!F401&amp;"")</f>
        <v/>
      </c>
      <c r="E401" s="10" t="str">
        <f aca="false">IF(Apontamentos!$C401="","",Apontamentos!G401&amp;"")</f>
        <v/>
      </c>
      <c r="F401" s="14"/>
      <c r="G401" s="14"/>
      <c r="H401" s="14"/>
      <c r="I401" s="14"/>
      <c r="J401" s="13"/>
      <c r="K401" s="13"/>
    </row>
    <row r="402" customFormat="false" ht="15" hidden="false" customHeight="false" outlineLevel="0" collapsed="false">
      <c r="A402" s="11" t="str">
        <f aca="false">Apontamentos!C402</f>
        <v/>
      </c>
      <c r="B402" s="11" t="str">
        <f aca="false">IF(Apontamentos!$C402="","",Apontamentos!D402&amp;"")</f>
        <v/>
      </c>
      <c r="C402" s="11" t="str">
        <f aca="false">IF(Apontamentos!$C402="","",Apontamentos!E402&amp;"")</f>
        <v/>
      </c>
      <c r="D402" s="10" t="str">
        <f aca="false">IF(Apontamentos!$C402="","",Apontamentos!F402&amp;"")</f>
        <v/>
      </c>
      <c r="E402" s="10" t="str">
        <f aca="false">IF(Apontamentos!$C402="","",Apontamentos!G402&amp;"")</f>
        <v/>
      </c>
      <c r="F402" s="14"/>
      <c r="G402" s="14"/>
      <c r="H402" s="14"/>
      <c r="I402" s="14"/>
      <c r="J402" s="13"/>
      <c r="K402" s="13"/>
    </row>
    <row r="403" customFormat="false" ht="15" hidden="false" customHeight="false" outlineLevel="0" collapsed="false">
      <c r="A403" s="11" t="str">
        <f aca="false">Apontamentos!C403</f>
        <v/>
      </c>
      <c r="B403" s="11" t="str">
        <f aca="false">IF(Apontamentos!$C403="","",Apontamentos!D403&amp;"")</f>
        <v/>
      </c>
      <c r="C403" s="11" t="str">
        <f aca="false">IF(Apontamentos!$C403="","",Apontamentos!E403&amp;"")</f>
        <v/>
      </c>
      <c r="D403" s="10" t="str">
        <f aca="false">IF(Apontamentos!$C403="","",Apontamentos!F403&amp;"")</f>
        <v/>
      </c>
      <c r="E403" s="10" t="str">
        <f aca="false">IF(Apontamentos!$C403="","",Apontamentos!G403&amp;"")</f>
        <v/>
      </c>
      <c r="F403" s="14"/>
      <c r="G403" s="14"/>
      <c r="H403" s="14"/>
      <c r="I403" s="14"/>
      <c r="J403" s="13"/>
      <c r="K403" s="13"/>
    </row>
    <row r="404" customFormat="false" ht="15" hidden="false" customHeight="false" outlineLevel="0" collapsed="false">
      <c r="A404" s="11" t="str">
        <f aca="false">Apontamentos!C404</f>
        <v/>
      </c>
      <c r="B404" s="11" t="str">
        <f aca="false">IF(Apontamentos!$C404="","",Apontamentos!D404&amp;"")</f>
        <v/>
      </c>
      <c r="C404" s="11" t="str">
        <f aca="false">IF(Apontamentos!$C404="","",Apontamentos!E404&amp;"")</f>
        <v/>
      </c>
      <c r="D404" s="10" t="str">
        <f aca="false">IF(Apontamentos!$C404="","",Apontamentos!F404&amp;"")</f>
        <v/>
      </c>
      <c r="E404" s="10" t="str">
        <f aca="false">IF(Apontamentos!$C404="","",Apontamentos!G404&amp;"")</f>
        <v/>
      </c>
      <c r="F404" s="14"/>
      <c r="G404" s="14"/>
      <c r="H404" s="14"/>
      <c r="I404" s="14"/>
      <c r="J404" s="13"/>
      <c r="K404" s="13"/>
    </row>
    <row r="405" customFormat="false" ht="15" hidden="false" customHeight="false" outlineLevel="0" collapsed="false">
      <c r="A405" s="11" t="str">
        <f aca="false">Apontamentos!C405</f>
        <v/>
      </c>
      <c r="B405" s="11" t="str">
        <f aca="false">IF(Apontamentos!$C405="","",Apontamentos!D405&amp;"")</f>
        <v/>
      </c>
      <c r="C405" s="11" t="str">
        <f aca="false">IF(Apontamentos!$C405="","",Apontamentos!E405&amp;"")</f>
        <v/>
      </c>
      <c r="D405" s="10" t="str">
        <f aca="false">IF(Apontamentos!$C405="","",Apontamentos!F405&amp;"")</f>
        <v/>
      </c>
      <c r="E405" s="10" t="str">
        <f aca="false">IF(Apontamentos!$C405="","",Apontamentos!G405&amp;"")</f>
        <v/>
      </c>
      <c r="F405" s="14"/>
      <c r="G405" s="14"/>
      <c r="H405" s="14"/>
      <c r="I405" s="14"/>
      <c r="J405" s="13"/>
      <c r="K405" s="13"/>
    </row>
    <row r="406" customFormat="false" ht="15" hidden="false" customHeight="false" outlineLevel="0" collapsed="false">
      <c r="A406" s="11" t="str">
        <f aca="false">Apontamentos!C406</f>
        <v/>
      </c>
      <c r="B406" s="11" t="str">
        <f aca="false">IF(Apontamentos!$C406="","",Apontamentos!D406&amp;"")</f>
        <v/>
      </c>
      <c r="C406" s="11" t="str">
        <f aca="false">IF(Apontamentos!$C406="","",Apontamentos!E406&amp;"")</f>
        <v/>
      </c>
      <c r="D406" s="10" t="str">
        <f aca="false">IF(Apontamentos!$C406="","",Apontamentos!F406&amp;"")</f>
        <v/>
      </c>
      <c r="E406" s="10" t="str">
        <f aca="false">IF(Apontamentos!$C406="","",Apontamentos!G406&amp;"")</f>
        <v/>
      </c>
      <c r="F406" s="14"/>
      <c r="G406" s="14"/>
      <c r="H406" s="14"/>
      <c r="I406" s="14"/>
      <c r="J406" s="13"/>
      <c r="K406" s="13"/>
    </row>
    <row r="407" customFormat="false" ht="15" hidden="false" customHeight="false" outlineLevel="0" collapsed="false">
      <c r="A407" s="11" t="str">
        <f aca="false">Apontamentos!C407</f>
        <v/>
      </c>
      <c r="B407" s="11" t="str">
        <f aca="false">IF(Apontamentos!$C407="","",Apontamentos!D407&amp;"")</f>
        <v/>
      </c>
      <c r="C407" s="11" t="str">
        <f aca="false">IF(Apontamentos!$C407="","",Apontamentos!E407&amp;"")</f>
        <v/>
      </c>
      <c r="D407" s="10" t="str">
        <f aca="false">IF(Apontamentos!$C407="","",Apontamentos!F407&amp;"")</f>
        <v/>
      </c>
      <c r="E407" s="10" t="str">
        <f aca="false">IF(Apontamentos!$C407="","",Apontamentos!G407&amp;"")</f>
        <v/>
      </c>
      <c r="F407" s="14"/>
      <c r="G407" s="14"/>
      <c r="H407" s="14"/>
      <c r="I407" s="14"/>
      <c r="J407" s="13"/>
      <c r="K407" s="13"/>
    </row>
    <row r="408" customFormat="false" ht="15" hidden="false" customHeight="false" outlineLevel="0" collapsed="false">
      <c r="A408" s="11" t="str">
        <f aca="false">Apontamentos!C408</f>
        <v/>
      </c>
      <c r="B408" s="11" t="str">
        <f aca="false">IF(Apontamentos!$C408="","",Apontamentos!D408&amp;"")</f>
        <v/>
      </c>
      <c r="C408" s="11" t="str">
        <f aca="false">IF(Apontamentos!$C408="","",Apontamentos!E408&amp;"")</f>
        <v/>
      </c>
      <c r="D408" s="10" t="str">
        <f aca="false">IF(Apontamentos!$C408="","",Apontamentos!F408&amp;"")</f>
        <v/>
      </c>
      <c r="E408" s="10" t="str">
        <f aca="false">IF(Apontamentos!$C408="","",Apontamentos!G408&amp;"")</f>
        <v/>
      </c>
      <c r="F408" s="14"/>
      <c r="G408" s="14"/>
      <c r="H408" s="14"/>
      <c r="I408" s="14"/>
      <c r="J408" s="13"/>
      <c r="K408" s="13"/>
    </row>
    <row r="409" customFormat="false" ht="15" hidden="false" customHeight="false" outlineLevel="0" collapsed="false">
      <c r="A409" s="11" t="str">
        <f aca="false">Apontamentos!C409</f>
        <v/>
      </c>
      <c r="B409" s="11" t="str">
        <f aca="false">IF(Apontamentos!$C409="","",Apontamentos!D409&amp;"")</f>
        <v/>
      </c>
      <c r="C409" s="11" t="str">
        <f aca="false">IF(Apontamentos!$C409="","",Apontamentos!E409&amp;"")</f>
        <v/>
      </c>
      <c r="D409" s="10" t="str">
        <f aca="false">IF(Apontamentos!$C409="","",Apontamentos!F409&amp;"")</f>
        <v/>
      </c>
      <c r="E409" s="10" t="str">
        <f aca="false">IF(Apontamentos!$C409="","",Apontamentos!G409&amp;"")</f>
        <v/>
      </c>
      <c r="F409" s="14"/>
      <c r="G409" s="14"/>
      <c r="H409" s="14"/>
      <c r="I409" s="14"/>
      <c r="J409" s="13"/>
      <c r="K409" s="13"/>
    </row>
    <row r="410" customFormat="false" ht="15" hidden="false" customHeight="false" outlineLevel="0" collapsed="false">
      <c r="A410" s="11" t="str">
        <f aca="false">Apontamentos!C410</f>
        <v/>
      </c>
      <c r="B410" s="11" t="str">
        <f aca="false">IF(Apontamentos!$C410="","",Apontamentos!D410&amp;"")</f>
        <v/>
      </c>
      <c r="C410" s="11" t="str">
        <f aca="false">IF(Apontamentos!$C410="","",Apontamentos!E410&amp;"")</f>
        <v/>
      </c>
      <c r="D410" s="10" t="str">
        <f aca="false">IF(Apontamentos!$C410="","",Apontamentos!F410&amp;"")</f>
        <v/>
      </c>
      <c r="E410" s="10" t="str">
        <f aca="false">IF(Apontamentos!$C410="","",Apontamentos!G410&amp;"")</f>
        <v/>
      </c>
      <c r="F410" s="14"/>
      <c r="G410" s="14"/>
      <c r="H410" s="14"/>
      <c r="I410" s="14"/>
      <c r="J410" s="13"/>
      <c r="K410" s="13"/>
    </row>
    <row r="411" customFormat="false" ht="15" hidden="false" customHeight="false" outlineLevel="0" collapsed="false">
      <c r="A411" s="11" t="str">
        <f aca="false">Apontamentos!C411</f>
        <v/>
      </c>
      <c r="B411" s="11" t="str">
        <f aca="false">IF(Apontamentos!$C411="","",Apontamentos!D411&amp;"")</f>
        <v/>
      </c>
      <c r="C411" s="11" t="str">
        <f aca="false">IF(Apontamentos!$C411="","",Apontamentos!E411&amp;"")</f>
        <v/>
      </c>
      <c r="D411" s="10" t="str">
        <f aca="false">IF(Apontamentos!$C411="","",Apontamentos!F411&amp;"")</f>
        <v/>
      </c>
      <c r="E411" s="10" t="str">
        <f aca="false">IF(Apontamentos!$C411="","",Apontamentos!G411&amp;"")</f>
        <v/>
      </c>
      <c r="F411" s="14"/>
      <c r="G411" s="14"/>
      <c r="H411" s="14"/>
      <c r="I411" s="14"/>
      <c r="J411" s="13"/>
      <c r="K411" s="13"/>
    </row>
    <row r="412" customFormat="false" ht="15" hidden="false" customHeight="false" outlineLevel="0" collapsed="false">
      <c r="A412" s="11" t="str">
        <f aca="false">Apontamentos!C412</f>
        <v/>
      </c>
      <c r="B412" s="11" t="str">
        <f aca="false">IF(Apontamentos!$C412="","",Apontamentos!D412&amp;"")</f>
        <v/>
      </c>
      <c r="C412" s="11" t="str">
        <f aca="false">IF(Apontamentos!$C412="","",Apontamentos!E412&amp;"")</f>
        <v/>
      </c>
      <c r="D412" s="10" t="str">
        <f aca="false">IF(Apontamentos!$C412="","",Apontamentos!F412&amp;"")</f>
        <v/>
      </c>
      <c r="E412" s="10" t="str">
        <f aca="false">IF(Apontamentos!$C412="","",Apontamentos!G412&amp;"")</f>
        <v/>
      </c>
      <c r="F412" s="14"/>
      <c r="G412" s="14"/>
      <c r="H412" s="14"/>
      <c r="I412" s="14"/>
      <c r="J412" s="13"/>
      <c r="K412" s="13"/>
    </row>
    <row r="413" customFormat="false" ht="15" hidden="false" customHeight="false" outlineLevel="0" collapsed="false">
      <c r="A413" s="11" t="str">
        <f aca="false">Apontamentos!C413</f>
        <v/>
      </c>
      <c r="B413" s="11" t="str">
        <f aca="false">IF(Apontamentos!$C413="","",Apontamentos!D413&amp;"")</f>
        <v/>
      </c>
      <c r="C413" s="11" t="str">
        <f aca="false">IF(Apontamentos!$C413="","",Apontamentos!E413&amp;"")</f>
        <v/>
      </c>
      <c r="D413" s="10" t="str">
        <f aca="false">IF(Apontamentos!$C413="","",Apontamentos!F413&amp;"")</f>
        <v/>
      </c>
      <c r="E413" s="10" t="str">
        <f aca="false">IF(Apontamentos!$C413="","",Apontamentos!G413&amp;"")</f>
        <v/>
      </c>
      <c r="F413" s="14"/>
      <c r="G413" s="14"/>
      <c r="H413" s="14"/>
      <c r="I413" s="14"/>
      <c r="J413" s="13"/>
      <c r="K413" s="13"/>
    </row>
    <row r="414" customFormat="false" ht="15" hidden="false" customHeight="false" outlineLevel="0" collapsed="false">
      <c r="A414" s="11" t="str">
        <f aca="false">Apontamentos!C414</f>
        <v/>
      </c>
      <c r="B414" s="11" t="str">
        <f aca="false">IF(Apontamentos!$C414="","",Apontamentos!D414&amp;"")</f>
        <v/>
      </c>
      <c r="C414" s="11" t="str">
        <f aca="false">IF(Apontamentos!$C414="","",Apontamentos!E414&amp;"")</f>
        <v/>
      </c>
      <c r="D414" s="10" t="str">
        <f aca="false">IF(Apontamentos!$C414="","",Apontamentos!F414&amp;"")</f>
        <v/>
      </c>
      <c r="E414" s="10" t="str">
        <f aca="false">IF(Apontamentos!$C414="","",Apontamentos!G414&amp;"")</f>
        <v/>
      </c>
      <c r="F414" s="14"/>
      <c r="G414" s="14"/>
      <c r="H414" s="14"/>
      <c r="I414" s="14"/>
      <c r="J414" s="13"/>
      <c r="K414" s="13"/>
    </row>
    <row r="415" customFormat="false" ht="15" hidden="false" customHeight="false" outlineLevel="0" collapsed="false">
      <c r="A415" s="11" t="str">
        <f aca="false">Apontamentos!C415</f>
        <v/>
      </c>
      <c r="B415" s="11" t="str">
        <f aca="false">IF(Apontamentos!$C415="","",Apontamentos!D415&amp;"")</f>
        <v/>
      </c>
      <c r="C415" s="11" t="str">
        <f aca="false">IF(Apontamentos!$C415="","",Apontamentos!E415&amp;"")</f>
        <v/>
      </c>
      <c r="D415" s="10" t="str">
        <f aca="false">IF(Apontamentos!$C415="","",Apontamentos!F415&amp;"")</f>
        <v/>
      </c>
      <c r="E415" s="10" t="str">
        <f aca="false">IF(Apontamentos!$C415="","",Apontamentos!G415&amp;"")</f>
        <v/>
      </c>
      <c r="F415" s="14"/>
      <c r="G415" s="14"/>
      <c r="H415" s="14"/>
      <c r="I415" s="14"/>
      <c r="J415" s="13"/>
      <c r="K415" s="13"/>
    </row>
    <row r="416" customFormat="false" ht="15" hidden="false" customHeight="false" outlineLevel="0" collapsed="false">
      <c r="A416" s="11" t="str">
        <f aca="false">Apontamentos!C416</f>
        <v/>
      </c>
      <c r="B416" s="11" t="str">
        <f aca="false">IF(Apontamentos!$C416="","",Apontamentos!D416&amp;"")</f>
        <v/>
      </c>
      <c r="C416" s="11" t="str">
        <f aca="false">IF(Apontamentos!$C416="","",Apontamentos!E416&amp;"")</f>
        <v/>
      </c>
      <c r="D416" s="10" t="str">
        <f aca="false">IF(Apontamentos!$C416="","",Apontamentos!F416&amp;"")</f>
        <v/>
      </c>
      <c r="E416" s="10" t="str">
        <f aca="false">IF(Apontamentos!$C416="","",Apontamentos!G416&amp;"")</f>
        <v/>
      </c>
      <c r="F416" s="14"/>
      <c r="G416" s="14"/>
      <c r="H416" s="14"/>
      <c r="I416" s="14"/>
      <c r="J416" s="13"/>
      <c r="K416" s="13"/>
    </row>
    <row r="417" customFormat="false" ht="15" hidden="false" customHeight="false" outlineLevel="0" collapsed="false">
      <c r="A417" s="11" t="str">
        <f aca="false">Apontamentos!C417</f>
        <v/>
      </c>
      <c r="B417" s="11" t="str">
        <f aca="false">IF(Apontamentos!$C417="","",Apontamentos!D417&amp;"")</f>
        <v/>
      </c>
      <c r="C417" s="11" t="str">
        <f aca="false">IF(Apontamentos!$C417="","",Apontamentos!E417&amp;"")</f>
        <v/>
      </c>
      <c r="D417" s="10" t="str">
        <f aca="false">IF(Apontamentos!$C417="","",Apontamentos!F417&amp;"")</f>
        <v/>
      </c>
      <c r="E417" s="10" t="str">
        <f aca="false">IF(Apontamentos!$C417="","",Apontamentos!G417&amp;"")</f>
        <v/>
      </c>
      <c r="F417" s="14"/>
      <c r="G417" s="14"/>
      <c r="H417" s="14"/>
      <c r="I417" s="14"/>
      <c r="J417" s="13"/>
      <c r="K417" s="13"/>
    </row>
    <row r="418" customFormat="false" ht="15" hidden="false" customHeight="false" outlineLevel="0" collapsed="false">
      <c r="A418" s="11" t="str">
        <f aca="false">Apontamentos!C418</f>
        <v/>
      </c>
      <c r="B418" s="11" t="str">
        <f aca="false">IF(Apontamentos!$C418="","",Apontamentos!D418&amp;"")</f>
        <v/>
      </c>
      <c r="C418" s="11" t="str">
        <f aca="false">IF(Apontamentos!$C418="","",Apontamentos!E418&amp;"")</f>
        <v/>
      </c>
      <c r="D418" s="10" t="str">
        <f aca="false">IF(Apontamentos!$C418="","",Apontamentos!F418&amp;"")</f>
        <v/>
      </c>
      <c r="E418" s="10" t="str">
        <f aca="false">IF(Apontamentos!$C418="","",Apontamentos!G418&amp;"")</f>
        <v/>
      </c>
      <c r="F418" s="14"/>
      <c r="G418" s="14"/>
      <c r="H418" s="14"/>
      <c r="I418" s="14"/>
      <c r="J418" s="13"/>
      <c r="K418" s="13"/>
    </row>
    <row r="419" customFormat="false" ht="15" hidden="false" customHeight="false" outlineLevel="0" collapsed="false">
      <c r="A419" s="11" t="str">
        <f aca="false">Apontamentos!C419</f>
        <v/>
      </c>
      <c r="B419" s="11" t="str">
        <f aca="false">IF(Apontamentos!$C419="","",Apontamentos!D419&amp;"")</f>
        <v/>
      </c>
      <c r="C419" s="11" t="str">
        <f aca="false">IF(Apontamentos!$C419="","",Apontamentos!E419&amp;"")</f>
        <v/>
      </c>
      <c r="D419" s="10" t="str">
        <f aca="false">IF(Apontamentos!$C419="","",Apontamentos!F419&amp;"")</f>
        <v/>
      </c>
      <c r="E419" s="10" t="str">
        <f aca="false">IF(Apontamentos!$C419="","",Apontamentos!G419&amp;"")</f>
        <v/>
      </c>
      <c r="F419" s="14"/>
      <c r="G419" s="14"/>
      <c r="H419" s="14"/>
      <c r="I419" s="14"/>
      <c r="J419" s="13"/>
      <c r="K419" s="13"/>
    </row>
    <row r="420" customFormat="false" ht="15" hidden="false" customHeight="false" outlineLevel="0" collapsed="false">
      <c r="A420" s="11" t="str">
        <f aca="false">Apontamentos!C420</f>
        <v/>
      </c>
      <c r="B420" s="11" t="str">
        <f aca="false">IF(Apontamentos!$C420="","",Apontamentos!D420&amp;"")</f>
        <v/>
      </c>
      <c r="C420" s="11" t="str">
        <f aca="false">IF(Apontamentos!$C420="","",Apontamentos!E420&amp;"")</f>
        <v/>
      </c>
      <c r="D420" s="10" t="str">
        <f aca="false">IF(Apontamentos!$C420="","",Apontamentos!F420&amp;"")</f>
        <v/>
      </c>
      <c r="E420" s="10" t="str">
        <f aca="false">IF(Apontamentos!$C420="","",Apontamentos!G420&amp;"")</f>
        <v/>
      </c>
      <c r="F420" s="14"/>
      <c r="G420" s="14"/>
      <c r="H420" s="14"/>
      <c r="I420" s="14"/>
      <c r="J420" s="13"/>
      <c r="K420" s="13"/>
    </row>
    <row r="421" customFormat="false" ht="15" hidden="false" customHeight="false" outlineLevel="0" collapsed="false">
      <c r="A421" s="11" t="str">
        <f aca="false">Apontamentos!C421</f>
        <v/>
      </c>
      <c r="B421" s="11" t="str">
        <f aca="false">IF(Apontamentos!$C421="","",Apontamentos!D421&amp;"")</f>
        <v/>
      </c>
      <c r="C421" s="11" t="str">
        <f aca="false">IF(Apontamentos!$C421="","",Apontamentos!E421&amp;"")</f>
        <v/>
      </c>
      <c r="D421" s="10" t="str">
        <f aca="false">IF(Apontamentos!$C421="","",Apontamentos!F421&amp;"")</f>
        <v/>
      </c>
      <c r="E421" s="10" t="str">
        <f aca="false">IF(Apontamentos!$C421="","",Apontamentos!G421&amp;"")</f>
        <v/>
      </c>
      <c r="F421" s="14"/>
      <c r="G421" s="14"/>
      <c r="H421" s="14"/>
      <c r="I421" s="14"/>
      <c r="J421" s="13"/>
      <c r="K421" s="13"/>
    </row>
    <row r="422" customFormat="false" ht="15" hidden="false" customHeight="false" outlineLevel="0" collapsed="false">
      <c r="A422" s="11" t="str">
        <f aca="false">Apontamentos!C422</f>
        <v/>
      </c>
      <c r="B422" s="11" t="str">
        <f aca="false">IF(Apontamentos!$C422="","",Apontamentos!D422&amp;"")</f>
        <v/>
      </c>
      <c r="C422" s="11" t="str">
        <f aca="false">IF(Apontamentos!$C422="","",Apontamentos!E422&amp;"")</f>
        <v/>
      </c>
      <c r="D422" s="10" t="str">
        <f aca="false">IF(Apontamentos!$C422="","",Apontamentos!F422&amp;"")</f>
        <v/>
      </c>
      <c r="E422" s="10" t="str">
        <f aca="false">IF(Apontamentos!$C422="","",Apontamentos!G422&amp;"")</f>
        <v/>
      </c>
      <c r="F422" s="14"/>
      <c r="G422" s="14"/>
      <c r="H422" s="14"/>
      <c r="I422" s="14"/>
      <c r="J422" s="13"/>
      <c r="K422" s="13"/>
    </row>
    <row r="423" customFormat="false" ht="15" hidden="false" customHeight="false" outlineLevel="0" collapsed="false">
      <c r="A423" s="11" t="str">
        <f aca="false">Apontamentos!C423</f>
        <v/>
      </c>
      <c r="B423" s="11" t="str">
        <f aca="false">IF(Apontamentos!$C423="","",Apontamentos!D423&amp;"")</f>
        <v/>
      </c>
      <c r="C423" s="11" t="str">
        <f aca="false">IF(Apontamentos!$C423="","",Apontamentos!E423&amp;"")</f>
        <v/>
      </c>
      <c r="D423" s="10" t="str">
        <f aca="false">IF(Apontamentos!$C423="","",Apontamentos!F423&amp;"")</f>
        <v/>
      </c>
      <c r="E423" s="10" t="str">
        <f aca="false">IF(Apontamentos!$C423="","",Apontamentos!G423&amp;"")</f>
        <v/>
      </c>
      <c r="F423" s="14"/>
      <c r="G423" s="14"/>
      <c r="H423" s="14"/>
      <c r="I423" s="14"/>
      <c r="J423" s="13"/>
      <c r="K423" s="13"/>
    </row>
    <row r="424" customFormat="false" ht="15" hidden="false" customHeight="false" outlineLevel="0" collapsed="false">
      <c r="A424" s="11" t="str">
        <f aca="false">Apontamentos!C424</f>
        <v/>
      </c>
      <c r="B424" s="11" t="str">
        <f aca="false">IF(Apontamentos!$C424="","",Apontamentos!D424&amp;"")</f>
        <v/>
      </c>
      <c r="C424" s="11" t="str">
        <f aca="false">IF(Apontamentos!$C424="","",Apontamentos!E424&amp;"")</f>
        <v/>
      </c>
      <c r="D424" s="10" t="str">
        <f aca="false">IF(Apontamentos!$C424="","",Apontamentos!F424&amp;"")</f>
        <v/>
      </c>
      <c r="E424" s="10" t="str">
        <f aca="false">IF(Apontamentos!$C424="","",Apontamentos!G424&amp;"")</f>
        <v/>
      </c>
      <c r="F424" s="14"/>
      <c r="G424" s="14"/>
      <c r="H424" s="14"/>
      <c r="I424" s="14"/>
      <c r="J424" s="13"/>
      <c r="K424" s="13"/>
    </row>
    <row r="425" customFormat="false" ht="15" hidden="false" customHeight="false" outlineLevel="0" collapsed="false">
      <c r="A425" s="11" t="str">
        <f aca="false">Apontamentos!C425</f>
        <v/>
      </c>
      <c r="B425" s="11" t="str">
        <f aca="false">IF(Apontamentos!$C425="","",Apontamentos!D425&amp;"")</f>
        <v/>
      </c>
      <c r="C425" s="11" t="str">
        <f aca="false">IF(Apontamentos!$C425="","",Apontamentos!E425&amp;"")</f>
        <v/>
      </c>
      <c r="D425" s="10" t="str">
        <f aca="false">IF(Apontamentos!$C425="","",Apontamentos!F425&amp;"")</f>
        <v/>
      </c>
      <c r="E425" s="10" t="str">
        <f aca="false">IF(Apontamentos!$C425="","",Apontamentos!G425&amp;"")</f>
        <v/>
      </c>
      <c r="F425" s="14"/>
      <c r="G425" s="14"/>
      <c r="H425" s="14"/>
      <c r="I425" s="14"/>
      <c r="J425" s="13"/>
      <c r="K425" s="13"/>
    </row>
    <row r="426" customFormat="false" ht="15" hidden="false" customHeight="false" outlineLevel="0" collapsed="false">
      <c r="A426" s="11" t="str">
        <f aca="false">Apontamentos!C426</f>
        <v/>
      </c>
      <c r="B426" s="11" t="str">
        <f aca="false">IF(Apontamentos!$C426="","",Apontamentos!D426&amp;"")</f>
        <v/>
      </c>
      <c r="C426" s="11" t="str">
        <f aca="false">IF(Apontamentos!$C426="","",Apontamentos!E426&amp;"")</f>
        <v/>
      </c>
      <c r="D426" s="10" t="str">
        <f aca="false">IF(Apontamentos!$C426="","",Apontamentos!F426&amp;"")</f>
        <v/>
      </c>
      <c r="E426" s="10" t="str">
        <f aca="false">IF(Apontamentos!$C426="","",Apontamentos!G426&amp;"")</f>
        <v/>
      </c>
      <c r="F426" s="14"/>
      <c r="G426" s="14"/>
      <c r="H426" s="14"/>
      <c r="I426" s="14"/>
      <c r="J426" s="13"/>
      <c r="K426" s="13"/>
    </row>
    <row r="427" customFormat="false" ht="15" hidden="false" customHeight="false" outlineLevel="0" collapsed="false">
      <c r="A427" s="11" t="str">
        <f aca="false">Apontamentos!C427</f>
        <v/>
      </c>
      <c r="B427" s="11" t="str">
        <f aca="false">IF(Apontamentos!$C427="","",Apontamentos!D427&amp;"")</f>
        <v/>
      </c>
      <c r="C427" s="11" t="str">
        <f aca="false">IF(Apontamentos!$C427="","",Apontamentos!E427&amp;"")</f>
        <v/>
      </c>
      <c r="D427" s="10" t="str">
        <f aca="false">IF(Apontamentos!$C427="","",Apontamentos!F427&amp;"")</f>
        <v/>
      </c>
      <c r="E427" s="10" t="str">
        <f aca="false">IF(Apontamentos!$C427="","",Apontamentos!G427&amp;"")</f>
        <v/>
      </c>
      <c r="F427" s="14"/>
      <c r="G427" s="14"/>
      <c r="H427" s="14"/>
      <c r="I427" s="14"/>
      <c r="J427" s="13"/>
      <c r="K427" s="13"/>
    </row>
    <row r="428" customFormat="false" ht="15" hidden="false" customHeight="false" outlineLevel="0" collapsed="false">
      <c r="A428" s="11" t="str">
        <f aca="false">Apontamentos!C428</f>
        <v/>
      </c>
      <c r="B428" s="11" t="str">
        <f aca="false">IF(Apontamentos!$C428="","",Apontamentos!D428&amp;"")</f>
        <v/>
      </c>
      <c r="C428" s="11" t="str">
        <f aca="false">IF(Apontamentos!$C428="","",Apontamentos!E428&amp;"")</f>
        <v/>
      </c>
      <c r="D428" s="10" t="str">
        <f aca="false">IF(Apontamentos!$C428="","",Apontamentos!F428&amp;"")</f>
        <v/>
      </c>
      <c r="E428" s="10" t="str">
        <f aca="false">IF(Apontamentos!$C428="","",Apontamentos!G428&amp;"")</f>
        <v/>
      </c>
      <c r="F428" s="14"/>
      <c r="G428" s="14"/>
      <c r="H428" s="14"/>
      <c r="I428" s="14"/>
      <c r="J428" s="13"/>
      <c r="K428" s="13"/>
    </row>
    <row r="429" customFormat="false" ht="15" hidden="false" customHeight="false" outlineLevel="0" collapsed="false">
      <c r="A429" s="11" t="str">
        <f aca="false">Apontamentos!C429</f>
        <v/>
      </c>
      <c r="B429" s="11" t="str">
        <f aca="false">IF(Apontamentos!$C429="","",Apontamentos!D429&amp;"")</f>
        <v/>
      </c>
      <c r="C429" s="11" t="str">
        <f aca="false">IF(Apontamentos!$C429="","",Apontamentos!E429&amp;"")</f>
        <v/>
      </c>
      <c r="D429" s="10" t="str">
        <f aca="false">IF(Apontamentos!$C429="","",Apontamentos!F429&amp;"")</f>
        <v/>
      </c>
      <c r="E429" s="10" t="str">
        <f aca="false">IF(Apontamentos!$C429="","",Apontamentos!G429&amp;"")</f>
        <v/>
      </c>
      <c r="F429" s="14"/>
      <c r="G429" s="14"/>
      <c r="H429" s="14"/>
      <c r="I429" s="14"/>
      <c r="J429" s="13"/>
      <c r="K429" s="13"/>
    </row>
    <row r="430" customFormat="false" ht="15" hidden="false" customHeight="false" outlineLevel="0" collapsed="false">
      <c r="A430" s="11" t="str">
        <f aca="false">Apontamentos!C430</f>
        <v/>
      </c>
      <c r="B430" s="11" t="str">
        <f aca="false">IF(Apontamentos!$C430="","",Apontamentos!D430&amp;"")</f>
        <v/>
      </c>
      <c r="C430" s="11" t="str">
        <f aca="false">IF(Apontamentos!$C430="","",Apontamentos!E430&amp;"")</f>
        <v/>
      </c>
      <c r="D430" s="10" t="str">
        <f aca="false">IF(Apontamentos!$C430="","",Apontamentos!F430&amp;"")</f>
        <v/>
      </c>
      <c r="E430" s="10" t="str">
        <f aca="false">IF(Apontamentos!$C430="","",Apontamentos!G430&amp;"")</f>
        <v/>
      </c>
      <c r="F430" s="14"/>
      <c r="G430" s="14"/>
      <c r="H430" s="14"/>
      <c r="I430" s="14"/>
      <c r="J430" s="13"/>
      <c r="K430" s="13"/>
    </row>
    <row r="431" customFormat="false" ht="15" hidden="false" customHeight="false" outlineLevel="0" collapsed="false">
      <c r="A431" s="11" t="str">
        <f aca="false">Apontamentos!C431</f>
        <v/>
      </c>
      <c r="B431" s="11" t="str">
        <f aca="false">IF(Apontamentos!$C431="","",Apontamentos!D431&amp;"")</f>
        <v/>
      </c>
      <c r="C431" s="11" t="str">
        <f aca="false">IF(Apontamentos!$C431="","",Apontamentos!E431&amp;"")</f>
        <v/>
      </c>
      <c r="D431" s="10" t="str">
        <f aca="false">IF(Apontamentos!$C431="","",Apontamentos!F431&amp;"")</f>
        <v/>
      </c>
      <c r="E431" s="10" t="str">
        <f aca="false">IF(Apontamentos!$C431="","",Apontamentos!G431&amp;"")</f>
        <v/>
      </c>
      <c r="F431" s="14"/>
      <c r="G431" s="14"/>
      <c r="H431" s="14"/>
      <c r="I431" s="14"/>
      <c r="J431" s="13"/>
      <c r="K431" s="13"/>
    </row>
    <row r="432" customFormat="false" ht="15" hidden="false" customHeight="false" outlineLevel="0" collapsed="false">
      <c r="A432" s="11" t="str">
        <f aca="false">Apontamentos!C432</f>
        <v/>
      </c>
      <c r="B432" s="11" t="str">
        <f aca="false">IF(Apontamentos!$C432="","",Apontamentos!D432&amp;"")</f>
        <v/>
      </c>
      <c r="C432" s="11" t="str">
        <f aca="false">IF(Apontamentos!$C432="","",Apontamentos!E432&amp;"")</f>
        <v/>
      </c>
      <c r="D432" s="10" t="str">
        <f aca="false">IF(Apontamentos!$C432="","",Apontamentos!F432&amp;"")</f>
        <v/>
      </c>
      <c r="E432" s="10" t="str">
        <f aca="false">IF(Apontamentos!$C432="","",Apontamentos!G432&amp;"")</f>
        <v/>
      </c>
      <c r="F432" s="14"/>
      <c r="G432" s="14"/>
      <c r="H432" s="14"/>
      <c r="I432" s="14"/>
      <c r="J432" s="13"/>
      <c r="K432" s="13"/>
    </row>
    <row r="433" customFormat="false" ht="15" hidden="false" customHeight="false" outlineLevel="0" collapsed="false">
      <c r="A433" s="11" t="str">
        <f aca="false">Apontamentos!C433</f>
        <v/>
      </c>
      <c r="B433" s="11" t="str">
        <f aca="false">IF(Apontamentos!$C433="","",Apontamentos!D433&amp;"")</f>
        <v/>
      </c>
      <c r="C433" s="11" t="str">
        <f aca="false">IF(Apontamentos!$C433="","",Apontamentos!E433&amp;"")</f>
        <v/>
      </c>
      <c r="D433" s="10" t="str">
        <f aca="false">IF(Apontamentos!$C433="","",Apontamentos!F433&amp;"")</f>
        <v/>
      </c>
      <c r="E433" s="10" t="str">
        <f aca="false">IF(Apontamentos!$C433="","",Apontamentos!G433&amp;"")</f>
        <v/>
      </c>
      <c r="F433" s="14"/>
      <c r="G433" s="14"/>
      <c r="H433" s="14"/>
      <c r="I433" s="14"/>
      <c r="J433" s="13"/>
      <c r="K433" s="13"/>
    </row>
    <row r="434" customFormat="false" ht="15" hidden="false" customHeight="false" outlineLevel="0" collapsed="false">
      <c r="A434" s="11" t="str">
        <f aca="false">Apontamentos!C434</f>
        <v/>
      </c>
      <c r="B434" s="11" t="str">
        <f aca="false">IF(Apontamentos!$C434="","",Apontamentos!D434&amp;"")</f>
        <v/>
      </c>
      <c r="C434" s="11" t="str">
        <f aca="false">IF(Apontamentos!$C434="","",Apontamentos!E434&amp;"")</f>
        <v/>
      </c>
      <c r="D434" s="10" t="str">
        <f aca="false">IF(Apontamentos!$C434="","",Apontamentos!F434&amp;"")</f>
        <v/>
      </c>
      <c r="E434" s="10" t="str">
        <f aca="false">IF(Apontamentos!$C434="","",Apontamentos!G434&amp;"")</f>
        <v/>
      </c>
      <c r="F434" s="14"/>
      <c r="G434" s="14"/>
      <c r="H434" s="14"/>
      <c r="I434" s="14"/>
      <c r="J434" s="13"/>
      <c r="K434" s="13"/>
    </row>
    <row r="435" customFormat="false" ht="15" hidden="false" customHeight="false" outlineLevel="0" collapsed="false">
      <c r="A435" s="11" t="str">
        <f aca="false">Apontamentos!C435</f>
        <v/>
      </c>
      <c r="B435" s="11" t="str">
        <f aca="false">IF(Apontamentos!$C435="","",Apontamentos!D435&amp;"")</f>
        <v/>
      </c>
      <c r="C435" s="11" t="str">
        <f aca="false">IF(Apontamentos!$C435="","",Apontamentos!E435&amp;"")</f>
        <v/>
      </c>
      <c r="D435" s="10" t="str">
        <f aca="false">IF(Apontamentos!$C435="","",Apontamentos!F435&amp;"")</f>
        <v/>
      </c>
      <c r="E435" s="10" t="str">
        <f aca="false">IF(Apontamentos!$C435="","",Apontamentos!G435&amp;"")</f>
        <v/>
      </c>
      <c r="F435" s="14"/>
      <c r="G435" s="14"/>
      <c r="H435" s="14"/>
      <c r="I435" s="14"/>
      <c r="J435" s="13"/>
      <c r="K435" s="13"/>
    </row>
    <row r="436" customFormat="false" ht="15" hidden="false" customHeight="false" outlineLevel="0" collapsed="false">
      <c r="A436" s="11" t="str">
        <f aca="false">Apontamentos!C436</f>
        <v/>
      </c>
      <c r="B436" s="11" t="str">
        <f aca="false">IF(Apontamentos!$C436="","",Apontamentos!D436&amp;"")</f>
        <v/>
      </c>
      <c r="C436" s="11" t="str">
        <f aca="false">IF(Apontamentos!$C436="","",Apontamentos!E436&amp;"")</f>
        <v/>
      </c>
      <c r="D436" s="10" t="str">
        <f aca="false">IF(Apontamentos!$C436="","",Apontamentos!F436&amp;"")</f>
        <v/>
      </c>
      <c r="E436" s="10" t="str">
        <f aca="false">IF(Apontamentos!$C436="","",Apontamentos!G436&amp;"")</f>
        <v/>
      </c>
      <c r="F436" s="14"/>
      <c r="G436" s="14"/>
      <c r="H436" s="14"/>
      <c r="I436" s="14"/>
      <c r="J436" s="13"/>
      <c r="K436" s="13"/>
    </row>
    <row r="437" customFormat="false" ht="15" hidden="false" customHeight="false" outlineLevel="0" collapsed="false">
      <c r="A437" s="11" t="str">
        <f aca="false">Apontamentos!C437</f>
        <v/>
      </c>
      <c r="B437" s="11" t="str">
        <f aca="false">IF(Apontamentos!$C437="","",Apontamentos!D437&amp;"")</f>
        <v/>
      </c>
      <c r="C437" s="11" t="str">
        <f aca="false">IF(Apontamentos!$C437="","",Apontamentos!E437&amp;"")</f>
        <v/>
      </c>
      <c r="D437" s="10" t="str">
        <f aca="false">IF(Apontamentos!$C437="","",Apontamentos!F437&amp;"")</f>
        <v/>
      </c>
      <c r="E437" s="10" t="str">
        <f aca="false">IF(Apontamentos!$C437="","",Apontamentos!G437&amp;"")</f>
        <v/>
      </c>
      <c r="F437" s="14"/>
      <c r="G437" s="14"/>
      <c r="H437" s="14"/>
      <c r="I437" s="14"/>
      <c r="J437" s="13"/>
      <c r="K437" s="13"/>
    </row>
    <row r="438" customFormat="false" ht="15" hidden="false" customHeight="false" outlineLevel="0" collapsed="false">
      <c r="A438" s="11" t="str">
        <f aca="false">Apontamentos!C438</f>
        <v/>
      </c>
      <c r="B438" s="11" t="str">
        <f aca="false">IF(Apontamentos!$C438="","",Apontamentos!D438&amp;"")</f>
        <v/>
      </c>
      <c r="C438" s="11" t="str">
        <f aca="false">IF(Apontamentos!$C438="","",Apontamentos!E438&amp;"")</f>
        <v/>
      </c>
      <c r="D438" s="10" t="str">
        <f aca="false">IF(Apontamentos!$C438="","",Apontamentos!F438&amp;"")</f>
        <v/>
      </c>
      <c r="E438" s="10" t="str">
        <f aca="false">IF(Apontamentos!$C438="","",Apontamentos!G438&amp;"")</f>
        <v/>
      </c>
      <c r="F438" s="14"/>
      <c r="G438" s="14"/>
      <c r="H438" s="14"/>
      <c r="I438" s="14"/>
      <c r="J438" s="13"/>
      <c r="K438" s="13"/>
    </row>
    <row r="439" customFormat="false" ht="15" hidden="false" customHeight="false" outlineLevel="0" collapsed="false">
      <c r="A439" s="11" t="str">
        <f aca="false">Apontamentos!C439</f>
        <v/>
      </c>
      <c r="B439" s="11" t="str">
        <f aca="false">IF(Apontamentos!$C439="","",Apontamentos!D439&amp;"")</f>
        <v/>
      </c>
      <c r="C439" s="11" t="str">
        <f aca="false">IF(Apontamentos!$C439="","",Apontamentos!E439&amp;"")</f>
        <v/>
      </c>
      <c r="D439" s="10" t="str">
        <f aca="false">IF(Apontamentos!$C439="","",Apontamentos!F439&amp;"")</f>
        <v/>
      </c>
      <c r="E439" s="10" t="str">
        <f aca="false">IF(Apontamentos!$C439="","",Apontamentos!G439&amp;"")</f>
        <v/>
      </c>
      <c r="F439" s="14"/>
      <c r="G439" s="14"/>
      <c r="H439" s="14"/>
      <c r="I439" s="14"/>
      <c r="J439" s="13"/>
      <c r="K439" s="13"/>
    </row>
    <row r="440" customFormat="false" ht="15" hidden="false" customHeight="false" outlineLevel="0" collapsed="false">
      <c r="A440" s="11" t="str">
        <f aca="false">Apontamentos!C440</f>
        <v/>
      </c>
      <c r="B440" s="11" t="str">
        <f aca="false">IF(Apontamentos!$C440="","",Apontamentos!D440&amp;"")</f>
        <v/>
      </c>
      <c r="C440" s="11" t="str">
        <f aca="false">IF(Apontamentos!$C440="","",Apontamentos!E440&amp;"")</f>
        <v/>
      </c>
      <c r="D440" s="10" t="str">
        <f aca="false">IF(Apontamentos!$C440="","",Apontamentos!F440&amp;"")</f>
        <v/>
      </c>
      <c r="E440" s="10" t="str">
        <f aca="false">IF(Apontamentos!$C440="","",Apontamentos!G440&amp;"")</f>
        <v/>
      </c>
      <c r="F440" s="14"/>
      <c r="G440" s="14"/>
      <c r="H440" s="14"/>
      <c r="I440" s="14"/>
      <c r="J440" s="13"/>
      <c r="K440" s="13"/>
    </row>
    <row r="441" customFormat="false" ht="15" hidden="false" customHeight="false" outlineLevel="0" collapsed="false">
      <c r="A441" s="11" t="str">
        <f aca="false">Apontamentos!C441</f>
        <v/>
      </c>
      <c r="B441" s="11" t="str">
        <f aca="false">IF(Apontamentos!$C441="","",Apontamentos!D441&amp;"")</f>
        <v/>
      </c>
      <c r="C441" s="11" t="str">
        <f aca="false">IF(Apontamentos!$C441="","",Apontamentos!E441&amp;"")</f>
        <v/>
      </c>
      <c r="D441" s="10" t="str">
        <f aca="false">IF(Apontamentos!$C441="","",Apontamentos!F441&amp;"")</f>
        <v/>
      </c>
      <c r="E441" s="10" t="str">
        <f aca="false">IF(Apontamentos!$C441="","",Apontamentos!G441&amp;"")</f>
        <v/>
      </c>
      <c r="F441" s="14"/>
      <c r="G441" s="14"/>
      <c r="H441" s="14"/>
      <c r="I441" s="14"/>
      <c r="J441" s="13"/>
      <c r="K441" s="13"/>
    </row>
    <row r="442" customFormat="false" ht="15" hidden="false" customHeight="false" outlineLevel="0" collapsed="false">
      <c r="A442" s="11" t="str">
        <f aca="false">Apontamentos!C442</f>
        <v/>
      </c>
      <c r="B442" s="11" t="str">
        <f aca="false">IF(Apontamentos!$C442="","",Apontamentos!D442&amp;"")</f>
        <v/>
      </c>
      <c r="C442" s="11" t="str">
        <f aca="false">IF(Apontamentos!$C442="","",Apontamentos!E442&amp;"")</f>
        <v/>
      </c>
      <c r="D442" s="10" t="str">
        <f aca="false">IF(Apontamentos!$C442="","",Apontamentos!F442&amp;"")</f>
        <v/>
      </c>
      <c r="E442" s="10" t="str">
        <f aca="false">IF(Apontamentos!$C442="","",Apontamentos!G442&amp;"")</f>
        <v/>
      </c>
      <c r="F442" s="14"/>
      <c r="G442" s="14"/>
      <c r="H442" s="14"/>
      <c r="I442" s="14"/>
      <c r="J442" s="13"/>
      <c r="K442" s="13"/>
    </row>
    <row r="443" customFormat="false" ht="15" hidden="false" customHeight="false" outlineLevel="0" collapsed="false">
      <c r="A443" s="11" t="str">
        <f aca="false">Apontamentos!C443</f>
        <v/>
      </c>
      <c r="B443" s="11" t="str">
        <f aca="false">IF(Apontamentos!$C443="","",Apontamentos!D443&amp;"")</f>
        <v/>
      </c>
      <c r="C443" s="11" t="str">
        <f aca="false">IF(Apontamentos!$C443="","",Apontamentos!E443&amp;"")</f>
        <v/>
      </c>
      <c r="D443" s="10" t="str">
        <f aca="false">IF(Apontamentos!$C443="","",Apontamentos!F443&amp;"")</f>
        <v/>
      </c>
      <c r="E443" s="10" t="str">
        <f aca="false">IF(Apontamentos!$C443="","",Apontamentos!G443&amp;"")</f>
        <v/>
      </c>
      <c r="F443" s="14"/>
      <c r="G443" s="14"/>
      <c r="H443" s="14"/>
      <c r="I443" s="14"/>
      <c r="J443" s="13"/>
      <c r="K443" s="13"/>
    </row>
    <row r="444" customFormat="false" ht="15" hidden="false" customHeight="false" outlineLevel="0" collapsed="false">
      <c r="A444" s="11" t="str">
        <f aca="false">Apontamentos!C444</f>
        <v/>
      </c>
      <c r="B444" s="11" t="str">
        <f aca="false">IF(Apontamentos!$C444="","",Apontamentos!D444&amp;"")</f>
        <v/>
      </c>
      <c r="C444" s="11" t="str">
        <f aca="false">IF(Apontamentos!$C444="","",Apontamentos!E444&amp;"")</f>
        <v/>
      </c>
      <c r="D444" s="10" t="str">
        <f aca="false">IF(Apontamentos!$C444="","",Apontamentos!F444&amp;"")</f>
        <v/>
      </c>
      <c r="E444" s="10" t="str">
        <f aca="false">IF(Apontamentos!$C444="","",Apontamentos!G444&amp;"")</f>
        <v/>
      </c>
      <c r="F444" s="14"/>
      <c r="G444" s="14"/>
      <c r="H444" s="14"/>
      <c r="I444" s="14"/>
      <c r="J444" s="13"/>
      <c r="K444" s="13"/>
    </row>
    <row r="445" customFormat="false" ht="15" hidden="false" customHeight="false" outlineLevel="0" collapsed="false">
      <c r="A445" s="11" t="str">
        <f aca="false">Apontamentos!C445</f>
        <v/>
      </c>
      <c r="B445" s="11" t="str">
        <f aca="false">IF(Apontamentos!$C445="","",Apontamentos!D445&amp;"")</f>
        <v/>
      </c>
      <c r="C445" s="11" t="str">
        <f aca="false">IF(Apontamentos!$C445="","",Apontamentos!E445&amp;"")</f>
        <v/>
      </c>
      <c r="D445" s="10" t="str">
        <f aca="false">IF(Apontamentos!$C445="","",Apontamentos!F445&amp;"")</f>
        <v/>
      </c>
      <c r="E445" s="10" t="str">
        <f aca="false">IF(Apontamentos!$C445="","",Apontamentos!G445&amp;"")</f>
        <v/>
      </c>
      <c r="F445" s="14"/>
      <c r="G445" s="14"/>
      <c r="H445" s="14"/>
      <c r="I445" s="14"/>
      <c r="J445" s="13"/>
      <c r="K445" s="13"/>
    </row>
    <row r="446" customFormat="false" ht="15" hidden="false" customHeight="false" outlineLevel="0" collapsed="false">
      <c r="A446" s="11" t="str">
        <f aca="false">Apontamentos!C446</f>
        <v/>
      </c>
      <c r="B446" s="11" t="str">
        <f aca="false">IF(Apontamentos!$C446="","",Apontamentos!D446&amp;"")</f>
        <v/>
      </c>
      <c r="C446" s="11" t="str">
        <f aca="false">IF(Apontamentos!$C446="","",Apontamentos!E446&amp;"")</f>
        <v/>
      </c>
      <c r="D446" s="10" t="str">
        <f aca="false">IF(Apontamentos!$C446="","",Apontamentos!F446&amp;"")</f>
        <v/>
      </c>
      <c r="E446" s="10" t="str">
        <f aca="false">IF(Apontamentos!$C446="","",Apontamentos!G446&amp;"")</f>
        <v/>
      </c>
      <c r="F446" s="14"/>
      <c r="G446" s="14"/>
      <c r="H446" s="14"/>
      <c r="I446" s="14"/>
      <c r="J446" s="13"/>
      <c r="K446" s="13"/>
    </row>
    <row r="447" customFormat="false" ht="15" hidden="false" customHeight="false" outlineLevel="0" collapsed="false">
      <c r="A447" s="11" t="str">
        <f aca="false">Apontamentos!C447</f>
        <v/>
      </c>
      <c r="B447" s="11" t="str">
        <f aca="false">IF(Apontamentos!$C447="","",Apontamentos!D447&amp;"")</f>
        <v/>
      </c>
      <c r="C447" s="11" t="str">
        <f aca="false">IF(Apontamentos!$C447="","",Apontamentos!E447&amp;"")</f>
        <v/>
      </c>
      <c r="D447" s="10" t="str">
        <f aca="false">IF(Apontamentos!$C447="","",Apontamentos!F447&amp;"")</f>
        <v/>
      </c>
      <c r="E447" s="10" t="str">
        <f aca="false">IF(Apontamentos!$C447="","",Apontamentos!G447&amp;"")</f>
        <v/>
      </c>
      <c r="F447" s="14"/>
      <c r="G447" s="14"/>
      <c r="H447" s="14"/>
      <c r="I447" s="14"/>
      <c r="J447" s="13"/>
      <c r="K447" s="13"/>
    </row>
    <row r="448" customFormat="false" ht="15" hidden="false" customHeight="false" outlineLevel="0" collapsed="false">
      <c r="A448" s="11" t="str">
        <f aca="false">Apontamentos!C448</f>
        <v/>
      </c>
      <c r="B448" s="11" t="str">
        <f aca="false">IF(Apontamentos!$C448="","",Apontamentos!D448&amp;"")</f>
        <v/>
      </c>
      <c r="C448" s="11" t="str">
        <f aca="false">IF(Apontamentos!$C448="","",Apontamentos!E448&amp;"")</f>
        <v/>
      </c>
      <c r="D448" s="10" t="str">
        <f aca="false">IF(Apontamentos!$C448="","",Apontamentos!F448&amp;"")</f>
        <v/>
      </c>
      <c r="E448" s="10" t="str">
        <f aca="false">IF(Apontamentos!$C448="","",Apontamentos!G448&amp;"")</f>
        <v/>
      </c>
      <c r="F448" s="14"/>
      <c r="G448" s="14"/>
      <c r="H448" s="14"/>
      <c r="I448" s="14"/>
      <c r="J448" s="13"/>
      <c r="K448" s="13"/>
    </row>
    <row r="449" customFormat="false" ht="15" hidden="false" customHeight="false" outlineLevel="0" collapsed="false">
      <c r="A449" s="11" t="str">
        <f aca="false">Apontamentos!C449</f>
        <v/>
      </c>
      <c r="B449" s="11" t="str">
        <f aca="false">IF(Apontamentos!$C449="","",Apontamentos!D449&amp;"")</f>
        <v/>
      </c>
      <c r="C449" s="11" t="str">
        <f aca="false">IF(Apontamentos!$C449="","",Apontamentos!E449&amp;"")</f>
        <v/>
      </c>
      <c r="D449" s="10" t="str">
        <f aca="false">IF(Apontamentos!$C449="","",Apontamentos!F449&amp;"")</f>
        <v/>
      </c>
      <c r="E449" s="10" t="str">
        <f aca="false">IF(Apontamentos!$C449="","",Apontamentos!G449&amp;"")</f>
        <v/>
      </c>
      <c r="F449" s="14"/>
      <c r="G449" s="14"/>
      <c r="H449" s="14"/>
      <c r="I449" s="14"/>
      <c r="J449" s="13"/>
      <c r="K449" s="13"/>
    </row>
    <row r="450" customFormat="false" ht="15" hidden="false" customHeight="false" outlineLevel="0" collapsed="false">
      <c r="A450" s="11" t="str">
        <f aca="false">Apontamentos!C450</f>
        <v/>
      </c>
      <c r="B450" s="11" t="str">
        <f aca="false">IF(Apontamentos!$C450="","",Apontamentos!D450&amp;"")</f>
        <v/>
      </c>
      <c r="C450" s="11" t="str">
        <f aca="false">IF(Apontamentos!$C450="","",Apontamentos!E450&amp;"")</f>
        <v/>
      </c>
      <c r="D450" s="10" t="str">
        <f aca="false">IF(Apontamentos!$C450="","",Apontamentos!F450&amp;"")</f>
        <v/>
      </c>
      <c r="E450" s="10" t="str">
        <f aca="false">IF(Apontamentos!$C450="","",Apontamentos!G450&amp;"")</f>
        <v/>
      </c>
      <c r="F450" s="14"/>
      <c r="G450" s="14"/>
      <c r="H450" s="14"/>
      <c r="I450" s="14"/>
      <c r="J450" s="13"/>
      <c r="K450" s="13"/>
    </row>
    <row r="451" customFormat="false" ht="15" hidden="false" customHeight="false" outlineLevel="0" collapsed="false">
      <c r="A451" s="11" t="str">
        <f aca="false">Apontamentos!C451</f>
        <v/>
      </c>
      <c r="B451" s="11" t="str">
        <f aca="false">IF(Apontamentos!$C451="","",Apontamentos!D451&amp;"")</f>
        <v/>
      </c>
      <c r="C451" s="11" t="str">
        <f aca="false">IF(Apontamentos!$C451="","",Apontamentos!E451&amp;"")</f>
        <v/>
      </c>
      <c r="D451" s="10" t="str">
        <f aca="false">IF(Apontamentos!$C451="","",Apontamentos!F451&amp;"")</f>
        <v/>
      </c>
      <c r="E451" s="10" t="str">
        <f aca="false">IF(Apontamentos!$C451="","",Apontamentos!G451&amp;"")</f>
        <v/>
      </c>
      <c r="F451" s="14"/>
      <c r="G451" s="14"/>
      <c r="H451" s="14"/>
      <c r="I451" s="14"/>
      <c r="J451" s="13"/>
      <c r="K451" s="13"/>
    </row>
    <row r="452" customFormat="false" ht="15" hidden="false" customHeight="false" outlineLevel="0" collapsed="false">
      <c r="A452" s="11" t="str">
        <f aca="false">Apontamentos!C452</f>
        <v/>
      </c>
      <c r="B452" s="11" t="str">
        <f aca="false">IF(Apontamentos!$C452="","",Apontamentos!D452&amp;"")</f>
        <v/>
      </c>
      <c r="C452" s="11" t="str">
        <f aca="false">IF(Apontamentos!$C452="","",Apontamentos!E452&amp;"")</f>
        <v/>
      </c>
      <c r="D452" s="10" t="str">
        <f aca="false">IF(Apontamentos!$C452="","",Apontamentos!F452&amp;"")</f>
        <v/>
      </c>
      <c r="E452" s="10" t="str">
        <f aca="false">IF(Apontamentos!$C452="","",Apontamentos!G452&amp;"")</f>
        <v/>
      </c>
      <c r="F452" s="14"/>
      <c r="G452" s="14"/>
      <c r="H452" s="14"/>
      <c r="I452" s="14"/>
      <c r="J452" s="13"/>
      <c r="K452" s="13"/>
    </row>
    <row r="453" customFormat="false" ht="15" hidden="false" customHeight="false" outlineLevel="0" collapsed="false">
      <c r="A453" s="11" t="str">
        <f aca="false">Apontamentos!C453</f>
        <v/>
      </c>
      <c r="B453" s="11" t="str">
        <f aca="false">IF(Apontamentos!$C453="","",Apontamentos!D453&amp;"")</f>
        <v/>
      </c>
      <c r="C453" s="11" t="str">
        <f aca="false">IF(Apontamentos!$C453="","",Apontamentos!E453&amp;"")</f>
        <v/>
      </c>
      <c r="D453" s="10" t="str">
        <f aca="false">IF(Apontamentos!$C453="","",Apontamentos!F453&amp;"")</f>
        <v/>
      </c>
      <c r="E453" s="10" t="str">
        <f aca="false">IF(Apontamentos!$C453="","",Apontamentos!G453&amp;"")</f>
        <v/>
      </c>
      <c r="F453" s="14"/>
      <c r="G453" s="14"/>
      <c r="H453" s="14"/>
      <c r="I453" s="14"/>
      <c r="J453" s="13"/>
      <c r="K453" s="13"/>
    </row>
    <row r="454" customFormat="false" ht="15" hidden="false" customHeight="false" outlineLevel="0" collapsed="false">
      <c r="A454" s="11" t="str">
        <f aca="false">Apontamentos!C454</f>
        <v/>
      </c>
      <c r="B454" s="11" t="str">
        <f aca="false">IF(Apontamentos!$C454="","",Apontamentos!D454&amp;"")</f>
        <v/>
      </c>
      <c r="C454" s="11" t="str">
        <f aca="false">IF(Apontamentos!$C454="","",Apontamentos!E454&amp;"")</f>
        <v/>
      </c>
      <c r="D454" s="10" t="str">
        <f aca="false">IF(Apontamentos!$C454="","",Apontamentos!F454&amp;"")</f>
        <v/>
      </c>
      <c r="E454" s="10" t="str">
        <f aca="false">IF(Apontamentos!$C454="","",Apontamentos!G454&amp;"")</f>
        <v/>
      </c>
      <c r="F454" s="14"/>
      <c r="G454" s="14"/>
      <c r="H454" s="14"/>
      <c r="I454" s="14"/>
      <c r="J454" s="13"/>
      <c r="K454" s="13"/>
    </row>
    <row r="455" customFormat="false" ht="15" hidden="false" customHeight="false" outlineLevel="0" collapsed="false">
      <c r="A455" s="11" t="str">
        <f aca="false">Apontamentos!C455</f>
        <v/>
      </c>
      <c r="B455" s="11" t="str">
        <f aca="false">IF(Apontamentos!$C455="","",Apontamentos!D455&amp;"")</f>
        <v/>
      </c>
      <c r="C455" s="11" t="str">
        <f aca="false">IF(Apontamentos!$C455="","",Apontamentos!E455&amp;"")</f>
        <v/>
      </c>
      <c r="D455" s="10" t="str">
        <f aca="false">IF(Apontamentos!$C455="","",Apontamentos!F455&amp;"")</f>
        <v/>
      </c>
      <c r="E455" s="10" t="str">
        <f aca="false">IF(Apontamentos!$C455="","",Apontamentos!G455&amp;"")</f>
        <v/>
      </c>
      <c r="F455" s="14"/>
      <c r="G455" s="14"/>
      <c r="H455" s="14"/>
      <c r="I455" s="14"/>
      <c r="J455" s="13"/>
      <c r="K455" s="13"/>
    </row>
    <row r="456" customFormat="false" ht="15" hidden="false" customHeight="false" outlineLevel="0" collapsed="false">
      <c r="A456" s="11" t="str">
        <f aca="false">Apontamentos!C456</f>
        <v/>
      </c>
      <c r="B456" s="11" t="str">
        <f aca="false">IF(Apontamentos!$C456="","",Apontamentos!D456&amp;"")</f>
        <v/>
      </c>
      <c r="C456" s="11" t="str">
        <f aca="false">IF(Apontamentos!$C456="","",Apontamentos!E456&amp;"")</f>
        <v/>
      </c>
      <c r="D456" s="10" t="str">
        <f aca="false">IF(Apontamentos!$C456="","",Apontamentos!F456&amp;"")</f>
        <v/>
      </c>
      <c r="E456" s="10" t="str">
        <f aca="false">IF(Apontamentos!$C456="","",Apontamentos!G456&amp;"")</f>
        <v/>
      </c>
      <c r="F456" s="14"/>
      <c r="G456" s="14"/>
      <c r="H456" s="14"/>
      <c r="I456" s="14"/>
      <c r="J456" s="13"/>
      <c r="K456" s="13"/>
    </row>
    <row r="457" customFormat="false" ht="15" hidden="false" customHeight="false" outlineLevel="0" collapsed="false">
      <c r="A457" s="11" t="str">
        <f aca="false">Apontamentos!C457</f>
        <v/>
      </c>
      <c r="B457" s="11" t="str">
        <f aca="false">IF(Apontamentos!$C457="","",Apontamentos!D457&amp;"")</f>
        <v/>
      </c>
      <c r="C457" s="11" t="str">
        <f aca="false">IF(Apontamentos!$C457="","",Apontamentos!E457&amp;"")</f>
        <v/>
      </c>
      <c r="D457" s="10" t="str">
        <f aca="false">IF(Apontamentos!$C457="","",Apontamentos!F457&amp;"")</f>
        <v/>
      </c>
      <c r="E457" s="10" t="str">
        <f aca="false">IF(Apontamentos!$C457="","",Apontamentos!G457&amp;"")</f>
        <v/>
      </c>
      <c r="F457" s="14"/>
      <c r="G457" s="14"/>
      <c r="H457" s="14"/>
      <c r="I457" s="14"/>
      <c r="J457" s="13"/>
      <c r="K457" s="13"/>
    </row>
    <row r="458" customFormat="false" ht="15" hidden="false" customHeight="false" outlineLevel="0" collapsed="false">
      <c r="A458" s="11" t="str">
        <f aca="false">Apontamentos!C458</f>
        <v/>
      </c>
      <c r="B458" s="11" t="str">
        <f aca="false">IF(Apontamentos!$C458="","",Apontamentos!D458&amp;"")</f>
        <v/>
      </c>
      <c r="C458" s="11" t="str">
        <f aca="false">IF(Apontamentos!$C458="","",Apontamentos!E458&amp;"")</f>
        <v/>
      </c>
      <c r="D458" s="10" t="str">
        <f aca="false">IF(Apontamentos!$C458="","",Apontamentos!F458&amp;"")</f>
        <v/>
      </c>
      <c r="E458" s="10" t="str">
        <f aca="false">IF(Apontamentos!$C458="","",Apontamentos!G458&amp;"")</f>
        <v/>
      </c>
      <c r="F458" s="14"/>
      <c r="G458" s="14"/>
      <c r="H458" s="14"/>
      <c r="I458" s="14"/>
      <c r="J458" s="13"/>
      <c r="K458" s="13"/>
    </row>
    <row r="459" customFormat="false" ht="15" hidden="false" customHeight="false" outlineLevel="0" collapsed="false">
      <c r="A459" s="11" t="str">
        <f aca="false">Apontamentos!C459</f>
        <v/>
      </c>
      <c r="B459" s="11" t="str">
        <f aca="false">IF(Apontamentos!$C459="","",Apontamentos!D459&amp;"")</f>
        <v/>
      </c>
      <c r="C459" s="11" t="str">
        <f aca="false">IF(Apontamentos!$C459="","",Apontamentos!E459&amp;"")</f>
        <v/>
      </c>
      <c r="D459" s="10" t="str">
        <f aca="false">IF(Apontamentos!$C459="","",Apontamentos!F459&amp;"")</f>
        <v/>
      </c>
      <c r="E459" s="10" t="str">
        <f aca="false">IF(Apontamentos!$C459="","",Apontamentos!G459&amp;"")</f>
        <v/>
      </c>
      <c r="F459" s="14"/>
      <c r="G459" s="14"/>
      <c r="H459" s="14"/>
      <c r="I459" s="14"/>
      <c r="J459" s="13"/>
      <c r="K459" s="13"/>
    </row>
    <row r="460" customFormat="false" ht="15" hidden="false" customHeight="false" outlineLevel="0" collapsed="false">
      <c r="A460" s="11" t="str">
        <f aca="false">Apontamentos!C460</f>
        <v/>
      </c>
      <c r="B460" s="11" t="str">
        <f aca="false">IF(Apontamentos!$C460="","",Apontamentos!D460&amp;"")</f>
        <v/>
      </c>
      <c r="C460" s="11" t="str">
        <f aca="false">IF(Apontamentos!$C460="","",Apontamentos!E460&amp;"")</f>
        <v/>
      </c>
      <c r="D460" s="10" t="str">
        <f aca="false">IF(Apontamentos!$C460="","",Apontamentos!F460&amp;"")</f>
        <v/>
      </c>
      <c r="E460" s="10" t="str">
        <f aca="false">IF(Apontamentos!$C460="","",Apontamentos!G460&amp;"")</f>
        <v/>
      </c>
      <c r="F460" s="14"/>
      <c r="G460" s="14"/>
      <c r="H460" s="14"/>
      <c r="I460" s="14"/>
      <c r="J460" s="13"/>
      <c r="K460" s="13"/>
    </row>
    <row r="461" customFormat="false" ht="15" hidden="false" customHeight="false" outlineLevel="0" collapsed="false">
      <c r="A461" s="11" t="str">
        <f aca="false">Apontamentos!C461</f>
        <v/>
      </c>
      <c r="B461" s="11" t="str">
        <f aca="false">IF(Apontamentos!$C461="","",Apontamentos!D461&amp;"")</f>
        <v/>
      </c>
      <c r="C461" s="11" t="str">
        <f aca="false">IF(Apontamentos!$C461="","",Apontamentos!E461&amp;"")</f>
        <v/>
      </c>
      <c r="D461" s="10" t="str">
        <f aca="false">IF(Apontamentos!$C461="","",Apontamentos!F461&amp;"")</f>
        <v/>
      </c>
      <c r="E461" s="10" t="str">
        <f aca="false">IF(Apontamentos!$C461="","",Apontamentos!G461&amp;"")</f>
        <v/>
      </c>
      <c r="F461" s="14"/>
      <c r="G461" s="14"/>
      <c r="H461" s="14"/>
      <c r="I461" s="14"/>
      <c r="J461" s="13"/>
      <c r="K461" s="13"/>
    </row>
    <row r="462" customFormat="false" ht="15" hidden="false" customHeight="false" outlineLevel="0" collapsed="false">
      <c r="A462" s="11" t="str">
        <f aca="false">Apontamentos!C462</f>
        <v/>
      </c>
      <c r="B462" s="11" t="str">
        <f aca="false">IF(Apontamentos!$C462="","",Apontamentos!D462&amp;"")</f>
        <v/>
      </c>
      <c r="C462" s="11" t="str">
        <f aca="false">IF(Apontamentos!$C462="","",Apontamentos!E462&amp;"")</f>
        <v/>
      </c>
      <c r="D462" s="10" t="str">
        <f aca="false">IF(Apontamentos!$C462="","",Apontamentos!F462&amp;"")</f>
        <v/>
      </c>
      <c r="E462" s="10" t="str">
        <f aca="false">IF(Apontamentos!$C462="","",Apontamentos!G462&amp;"")</f>
        <v/>
      </c>
      <c r="F462" s="14"/>
      <c r="G462" s="14"/>
      <c r="H462" s="14"/>
      <c r="I462" s="14"/>
      <c r="J462" s="13"/>
      <c r="K462" s="13"/>
    </row>
    <row r="463" customFormat="false" ht="15" hidden="false" customHeight="false" outlineLevel="0" collapsed="false">
      <c r="A463" s="11" t="str">
        <f aca="false">Apontamentos!C463</f>
        <v/>
      </c>
      <c r="B463" s="11" t="str">
        <f aca="false">IF(Apontamentos!$C463="","",Apontamentos!D463&amp;"")</f>
        <v/>
      </c>
      <c r="C463" s="11" t="str">
        <f aca="false">IF(Apontamentos!$C463="","",Apontamentos!E463&amp;"")</f>
        <v/>
      </c>
      <c r="D463" s="10" t="str">
        <f aca="false">IF(Apontamentos!$C463="","",Apontamentos!F463&amp;"")</f>
        <v/>
      </c>
      <c r="E463" s="10" t="str">
        <f aca="false">IF(Apontamentos!$C463="","",Apontamentos!G463&amp;"")</f>
        <v/>
      </c>
      <c r="F463" s="14"/>
      <c r="G463" s="14"/>
      <c r="H463" s="14"/>
      <c r="I463" s="14"/>
      <c r="J463" s="13"/>
      <c r="K463" s="13"/>
    </row>
    <row r="464" customFormat="false" ht="15" hidden="false" customHeight="false" outlineLevel="0" collapsed="false">
      <c r="A464" s="11" t="str">
        <f aca="false">Apontamentos!C464</f>
        <v/>
      </c>
      <c r="B464" s="11" t="str">
        <f aca="false">IF(Apontamentos!$C464="","",Apontamentos!D464&amp;"")</f>
        <v/>
      </c>
      <c r="C464" s="11" t="str">
        <f aca="false">IF(Apontamentos!$C464="","",Apontamentos!E464&amp;"")</f>
        <v/>
      </c>
      <c r="D464" s="10" t="str">
        <f aca="false">IF(Apontamentos!$C464="","",Apontamentos!F464&amp;"")</f>
        <v/>
      </c>
      <c r="E464" s="10" t="str">
        <f aca="false">IF(Apontamentos!$C464="","",Apontamentos!G464&amp;"")</f>
        <v/>
      </c>
      <c r="F464" s="14"/>
      <c r="G464" s="14"/>
      <c r="H464" s="14"/>
      <c r="I464" s="14"/>
      <c r="J464" s="13"/>
      <c r="K464" s="13"/>
    </row>
    <row r="465" customFormat="false" ht="15" hidden="false" customHeight="false" outlineLevel="0" collapsed="false">
      <c r="A465" s="11" t="str">
        <f aca="false">Apontamentos!C465</f>
        <v/>
      </c>
      <c r="B465" s="11" t="str">
        <f aca="false">IF(Apontamentos!$C465="","",Apontamentos!D465&amp;"")</f>
        <v/>
      </c>
      <c r="C465" s="11" t="str">
        <f aca="false">IF(Apontamentos!$C465="","",Apontamentos!E465&amp;"")</f>
        <v/>
      </c>
      <c r="D465" s="10" t="str">
        <f aca="false">IF(Apontamentos!$C465="","",Apontamentos!F465&amp;"")</f>
        <v/>
      </c>
      <c r="E465" s="10" t="str">
        <f aca="false">IF(Apontamentos!$C465="","",Apontamentos!G465&amp;"")</f>
        <v/>
      </c>
      <c r="F465" s="14"/>
      <c r="G465" s="14"/>
      <c r="H465" s="14"/>
      <c r="I465" s="14"/>
      <c r="J465" s="13"/>
      <c r="K465" s="13"/>
    </row>
    <row r="466" customFormat="false" ht="15" hidden="false" customHeight="false" outlineLevel="0" collapsed="false">
      <c r="A466" s="11" t="str">
        <f aca="false">Apontamentos!C466</f>
        <v/>
      </c>
      <c r="B466" s="11" t="str">
        <f aca="false">IF(Apontamentos!$C466="","",Apontamentos!D466&amp;"")</f>
        <v/>
      </c>
      <c r="C466" s="11" t="str">
        <f aca="false">IF(Apontamentos!$C466="","",Apontamentos!E466&amp;"")</f>
        <v/>
      </c>
      <c r="D466" s="10" t="str">
        <f aca="false">IF(Apontamentos!$C466="","",Apontamentos!F466&amp;"")</f>
        <v/>
      </c>
      <c r="E466" s="10" t="str">
        <f aca="false">IF(Apontamentos!$C466="","",Apontamentos!G466&amp;"")</f>
        <v/>
      </c>
      <c r="F466" s="14"/>
      <c r="G466" s="14"/>
      <c r="H466" s="14"/>
      <c r="I466" s="14"/>
      <c r="J466" s="13"/>
      <c r="K466" s="13"/>
    </row>
    <row r="467" customFormat="false" ht="15" hidden="false" customHeight="false" outlineLevel="0" collapsed="false">
      <c r="A467" s="11" t="str">
        <f aca="false">Apontamentos!C467</f>
        <v/>
      </c>
      <c r="B467" s="11" t="str">
        <f aca="false">IF(Apontamentos!$C467="","",Apontamentos!D467&amp;"")</f>
        <v/>
      </c>
      <c r="C467" s="11" t="str">
        <f aca="false">IF(Apontamentos!$C467="","",Apontamentos!E467&amp;"")</f>
        <v/>
      </c>
      <c r="D467" s="10" t="str">
        <f aca="false">IF(Apontamentos!$C467="","",Apontamentos!F467&amp;"")</f>
        <v/>
      </c>
      <c r="E467" s="10" t="str">
        <f aca="false">IF(Apontamentos!$C467="","",Apontamentos!G467&amp;"")</f>
        <v/>
      </c>
      <c r="F467" s="14"/>
      <c r="G467" s="14"/>
      <c r="H467" s="14"/>
      <c r="I467" s="14"/>
      <c r="J467" s="13"/>
      <c r="K467" s="13"/>
    </row>
    <row r="468" customFormat="false" ht="15" hidden="false" customHeight="false" outlineLevel="0" collapsed="false">
      <c r="A468" s="11" t="str">
        <f aca="false">Apontamentos!C468</f>
        <v/>
      </c>
      <c r="B468" s="11" t="str">
        <f aca="false">IF(Apontamentos!$C468="","",Apontamentos!D468&amp;"")</f>
        <v/>
      </c>
      <c r="C468" s="11" t="str">
        <f aca="false">IF(Apontamentos!$C468="","",Apontamentos!E468&amp;"")</f>
        <v/>
      </c>
      <c r="D468" s="10" t="str">
        <f aca="false">IF(Apontamentos!$C468="","",Apontamentos!F468&amp;"")</f>
        <v/>
      </c>
      <c r="E468" s="10" t="str">
        <f aca="false">IF(Apontamentos!$C468="","",Apontamentos!G468&amp;"")</f>
        <v/>
      </c>
      <c r="F468" s="14"/>
      <c r="G468" s="14"/>
      <c r="H468" s="14"/>
      <c r="I468" s="14"/>
      <c r="J468" s="13"/>
      <c r="K468" s="13"/>
    </row>
    <row r="469" customFormat="false" ht="15" hidden="false" customHeight="false" outlineLevel="0" collapsed="false">
      <c r="A469" s="11" t="str">
        <f aca="false">Apontamentos!C469</f>
        <v/>
      </c>
      <c r="B469" s="11" t="str">
        <f aca="false">IF(Apontamentos!$C469="","",Apontamentos!D469&amp;"")</f>
        <v/>
      </c>
      <c r="C469" s="11" t="str">
        <f aca="false">IF(Apontamentos!$C469="","",Apontamentos!E469&amp;"")</f>
        <v/>
      </c>
      <c r="D469" s="10" t="str">
        <f aca="false">IF(Apontamentos!$C469="","",Apontamentos!F469&amp;"")</f>
        <v/>
      </c>
      <c r="E469" s="10" t="str">
        <f aca="false">IF(Apontamentos!$C469="","",Apontamentos!G469&amp;"")</f>
        <v/>
      </c>
      <c r="F469" s="14"/>
      <c r="G469" s="14"/>
      <c r="H469" s="14"/>
      <c r="I469" s="14"/>
      <c r="J469" s="13"/>
      <c r="K469" s="13"/>
    </row>
    <row r="470" customFormat="false" ht="15" hidden="false" customHeight="false" outlineLevel="0" collapsed="false">
      <c r="A470" s="11" t="str">
        <f aca="false">Apontamentos!C470</f>
        <v/>
      </c>
      <c r="B470" s="11" t="str">
        <f aca="false">IF(Apontamentos!$C470="","",Apontamentos!D470&amp;"")</f>
        <v/>
      </c>
      <c r="C470" s="11" t="str">
        <f aca="false">IF(Apontamentos!$C470="","",Apontamentos!E470&amp;"")</f>
        <v/>
      </c>
      <c r="D470" s="10" t="str">
        <f aca="false">IF(Apontamentos!$C470="","",Apontamentos!F470&amp;"")</f>
        <v/>
      </c>
      <c r="E470" s="10" t="str">
        <f aca="false">IF(Apontamentos!$C470="","",Apontamentos!G470&amp;"")</f>
        <v/>
      </c>
      <c r="F470" s="14"/>
      <c r="G470" s="14"/>
      <c r="H470" s="14"/>
      <c r="I470" s="14"/>
      <c r="J470" s="13"/>
      <c r="K470" s="13"/>
    </row>
    <row r="471" customFormat="false" ht="15" hidden="false" customHeight="false" outlineLevel="0" collapsed="false">
      <c r="A471" s="11" t="str">
        <f aca="false">Apontamentos!C471</f>
        <v/>
      </c>
      <c r="B471" s="11" t="str">
        <f aca="false">IF(Apontamentos!$C471="","",Apontamentos!D471&amp;"")</f>
        <v/>
      </c>
      <c r="C471" s="11" t="str">
        <f aca="false">IF(Apontamentos!$C471="","",Apontamentos!E471&amp;"")</f>
        <v/>
      </c>
      <c r="D471" s="10" t="str">
        <f aca="false">IF(Apontamentos!$C471="","",Apontamentos!F471&amp;"")</f>
        <v/>
      </c>
      <c r="E471" s="10" t="str">
        <f aca="false">IF(Apontamentos!$C471="","",Apontamentos!G471&amp;"")</f>
        <v/>
      </c>
      <c r="F471" s="14"/>
      <c r="G471" s="14"/>
      <c r="H471" s="14"/>
      <c r="I471" s="14"/>
      <c r="J471" s="13"/>
      <c r="K471" s="13"/>
    </row>
    <row r="472" customFormat="false" ht="15" hidden="false" customHeight="false" outlineLevel="0" collapsed="false">
      <c r="A472" s="11" t="str">
        <f aca="false">Apontamentos!C472</f>
        <v/>
      </c>
      <c r="B472" s="11" t="str">
        <f aca="false">IF(Apontamentos!$C472="","",Apontamentos!D472&amp;"")</f>
        <v/>
      </c>
      <c r="C472" s="11" t="str">
        <f aca="false">IF(Apontamentos!$C472="","",Apontamentos!E472&amp;"")</f>
        <v/>
      </c>
      <c r="D472" s="10" t="str">
        <f aca="false">IF(Apontamentos!$C472="","",Apontamentos!F472&amp;"")</f>
        <v/>
      </c>
      <c r="E472" s="10" t="str">
        <f aca="false">IF(Apontamentos!$C472="","",Apontamentos!G472&amp;"")</f>
        <v/>
      </c>
      <c r="F472" s="14"/>
      <c r="G472" s="14"/>
      <c r="H472" s="14"/>
      <c r="I472" s="14"/>
      <c r="J472" s="13"/>
      <c r="K472" s="13"/>
    </row>
    <row r="473" customFormat="false" ht="15" hidden="false" customHeight="false" outlineLevel="0" collapsed="false">
      <c r="A473" s="11" t="str">
        <f aca="false">Apontamentos!C473</f>
        <v/>
      </c>
      <c r="B473" s="11" t="str">
        <f aca="false">IF(Apontamentos!$C473="","",Apontamentos!D473&amp;"")</f>
        <v/>
      </c>
      <c r="C473" s="11" t="str">
        <f aca="false">IF(Apontamentos!$C473="","",Apontamentos!E473&amp;"")</f>
        <v/>
      </c>
      <c r="D473" s="10" t="str">
        <f aca="false">IF(Apontamentos!$C473="","",Apontamentos!F473&amp;"")</f>
        <v/>
      </c>
      <c r="E473" s="10" t="str">
        <f aca="false">IF(Apontamentos!$C473="","",Apontamentos!G473&amp;"")</f>
        <v/>
      </c>
      <c r="F473" s="14"/>
      <c r="G473" s="14"/>
      <c r="H473" s="14"/>
      <c r="I473" s="14"/>
      <c r="J473" s="13"/>
      <c r="K473" s="13"/>
    </row>
    <row r="474" customFormat="false" ht="15" hidden="false" customHeight="false" outlineLevel="0" collapsed="false">
      <c r="A474" s="11" t="str">
        <f aca="false">Apontamentos!C474</f>
        <v/>
      </c>
      <c r="B474" s="11" t="str">
        <f aca="false">IF(Apontamentos!$C474="","",Apontamentos!D474&amp;"")</f>
        <v/>
      </c>
      <c r="C474" s="11" t="str">
        <f aca="false">IF(Apontamentos!$C474="","",Apontamentos!E474&amp;"")</f>
        <v/>
      </c>
      <c r="D474" s="10" t="str">
        <f aca="false">IF(Apontamentos!$C474="","",Apontamentos!F474&amp;"")</f>
        <v/>
      </c>
      <c r="E474" s="10" t="str">
        <f aca="false">IF(Apontamentos!$C474="","",Apontamentos!G474&amp;"")</f>
        <v/>
      </c>
      <c r="F474" s="14"/>
      <c r="G474" s="14"/>
      <c r="H474" s="14"/>
      <c r="I474" s="14"/>
      <c r="J474" s="13"/>
      <c r="K474" s="13"/>
    </row>
    <row r="475" customFormat="false" ht="15" hidden="false" customHeight="false" outlineLevel="0" collapsed="false">
      <c r="A475" s="11" t="str">
        <f aca="false">Apontamentos!C475</f>
        <v/>
      </c>
      <c r="B475" s="11" t="str">
        <f aca="false">IF(Apontamentos!$C475="","",Apontamentos!D475&amp;"")</f>
        <v/>
      </c>
      <c r="C475" s="11" t="str">
        <f aca="false">IF(Apontamentos!$C475="","",Apontamentos!E475&amp;"")</f>
        <v/>
      </c>
      <c r="D475" s="10" t="str">
        <f aca="false">IF(Apontamentos!$C475="","",Apontamentos!F475&amp;"")</f>
        <v/>
      </c>
      <c r="E475" s="10" t="str">
        <f aca="false">IF(Apontamentos!$C475="","",Apontamentos!G475&amp;"")</f>
        <v/>
      </c>
      <c r="F475" s="14"/>
      <c r="G475" s="14"/>
      <c r="H475" s="14"/>
      <c r="I475" s="14"/>
      <c r="J475" s="13"/>
      <c r="K475" s="13"/>
    </row>
    <row r="476" customFormat="false" ht="15" hidden="false" customHeight="false" outlineLevel="0" collapsed="false">
      <c r="A476" s="11" t="str">
        <f aca="false">Apontamentos!C476</f>
        <v/>
      </c>
      <c r="B476" s="11" t="str">
        <f aca="false">IF(Apontamentos!$C476="","",Apontamentos!D476&amp;"")</f>
        <v/>
      </c>
      <c r="C476" s="11" t="str">
        <f aca="false">IF(Apontamentos!$C476="","",Apontamentos!E476&amp;"")</f>
        <v/>
      </c>
      <c r="D476" s="10" t="str">
        <f aca="false">IF(Apontamentos!$C476="","",Apontamentos!F476&amp;"")</f>
        <v/>
      </c>
      <c r="E476" s="10" t="str">
        <f aca="false">IF(Apontamentos!$C476="","",Apontamentos!G476&amp;"")</f>
        <v/>
      </c>
      <c r="F476" s="14"/>
      <c r="G476" s="14"/>
      <c r="H476" s="14"/>
      <c r="I476" s="14"/>
      <c r="J476" s="13"/>
      <c r="K476" s="13"/>
    </row>
    <row r="477" customFormat="false" ht="15" hidden="false" customHeight="false" outlineLevel="0" collapsed="false">
      <c r="A477" s="11" t="str">
        <f aca="false">Apontamentos!C477</f>
        <v/>
      </c>
      <c r="B477" s="11" t="str">
        <f aca="false">IF(Apontamentos!$C477="","",Apontamentos!D477&amp;"")</f>
        <v/>
      </c>
      <c r="C477" s="11" t="str">
        <f aca="false">IF(Apontamentos!$C477="","",Apontamentos!E477&amp;"")</f>
        <v/>
      </c>
      <c r="D477" s="10" t="str">
        <f aca="false">IF(Apontamentos!$C477="","",Apontamentos!F477&amp;"")</f>
        <v/>
      </c>
      <c r="E477" s="10" t="str">
        <f aca="false">IF(Apontamentos!$C477="","",Apontamentos!G477&amp;"")</f>
        <v/>
      </c>
      <c r="F477" s="14"/>
      <c r="G477" s="14"/>
      <c r="H477" s="14"/>
      <c r="I477" s="14"/>
      <c r="J477" s="13"/>
      <c r="K477" s="13"/>
    </row>
    <row r="478" customFormat="false" ht="15" hidden="false" customHeight="false" outlineLevel="0" collapsed="false">
      <c r="A478" s="11" t="str">
        <f aca="false">Apontamentos!C478</f>
        <v/>
      </c>
      <c r="B478" s="11" t="str">
        <f aca="false">IF(Apontamentos!$C478="","",Apontamentos!D478&amp;"")</f>
        <v/>
      </c>
      <c r="C478" s="11" t="str">
        <f aca="false">IF(Apontamentos!$C478="","",Apontamentos!E478&amp;"")</f>
        <v/>
      </c>
      <c r="D478" s="10" t="str">
        <f aca="false">IF(Apontamentos!$C478="","",Apontamentos!F478&amp;"")</f>
        <v/>
      </c>
      <c r="E478" s="10" t="str">
        <f aca="false">IF(Apontamentos!$C478="","",Apontamentos!G478&amp;"")</f>
        <v/>
      </c>
      <c r="F478" s="14"/>
      <c r="G478" s="14"/>
      <c r="H478" s="14"/>
      <c r="I478" s="14"/>
      <c r="J478" s="13"/>
      <c r="K478" s="13"/>
    </row>
    <row r="479" customFormat="false" ht="15" hidden="false" customHeight="false" outlineLevel="0" collapsed="false">
      <c r="A479" s="11" t="str">
        <f aca="false">Apontamentos!C479</f>
        <v/>
      </c>
      <c r="B479" s="11" t="str">
        <f aca="false">IF(Apontamentos!$C479="","",Apontamentos!D479&amp;"")</f>
        <v/>
      </c>
      <c r="C479" s="11" t="str">
        <f aca="false">IF(Apontamentos!$C479="","",Apontamentos!E479&amp;"")</f>
        <v/>
      </c>
      <c r="D479" s="10" t="str">
        <f aca="false">IF(Apontamentos!$C479="","",Apontamentos!F479&amp;"")</f>
        <v/>
      </c>
      <c r="E479" s="10" t="str">
        <f aca="false">IF(Apontamentos!$C479="","",Apontamentos!G479&amp;"")</f>
        <v/>
      </c>
      <c r="F479" s="14"/>
      <c r="G479" s="14"/>
      <c r="H479" s="14"/>
      <c r="I479" s="14"/>
      <c r="J479" s="13"/>
      <c r="K479" s="13"/>
    </row>
    <row r="480" customFormat="false" ht="15" hidden="false" customHeight="false" outlineLevel="0" collapsed="false">
      <c r="A480" s="11" t="str">
        <f aca="false">Apontamentos!C480</f>
        <v/>
      </c>
      <c r="B480" s="11" t="str">
        <f aca="false">IF(Apontamentos!$C480="","",Apontamentos!D480&amp;"")</f>
        <v/>
      </c>
      <c r="C480" s="11" t="str">
        <f aca="false">IF(Apontamentos!$C480="","",Apontamentos!E480&amp;"")</f>
        <v/>
      </c>
      <c r="D480" s="10" t="str">
        <f aca="false">IF(Apontamentos!$C480="","",Apontamentos!F480&amp;"")</f>
        <v/>
      </c>
      <c r="E480" s="10" t="str">
        <f aca="false">IF(Apontamentos!$C480="","",Apontamentos!G480&amp;"")</f>
        <v/>
      </c>
      <c r="F480" s="14"/>
      <c r="G480" s="14"/>
      <c r="H480" s="14"/>
      <c r="I480" s="14"/>
      <c r="J480" s="13"/>
      <c r="K480" s="13"/>
    </row>
    <row r="481" customFormat="false" ht="15" hidden="false" customHeight="false" outlineLevel="0" collapsed="false">
      <c r="A481" s="11" t="str">
        <f aca="false">Apontamentos!C481</f>
        <v/>
      </c>
      <c r="B481" s="11" t="str">
        <f aca="false">IF(Apontamentos!$C481="","",Apontamentos!D481&amp;"")</f>
        <v/>
      </c>
      <c r="C481" s="11" t="str">
        <f aca="false">IF(Apontamentos!$C481="","",Apontamentos!E481&amp;"")</f>
        <v/>
      </c>
      <c r="D481" s="10" t="str">
        <f aca="false">IF(Apontamentos!$C481="","",Apontamentos!F481&amp;"")</f>
        <v/>
      </c>
      <c r="E481" s="10" t="str">
        <f aca="false">IF(Apontamentos!$C481="","",Apontamentos!G481&amp;"")</f>
        <v/>
      </c>
      <c r="F481" s="14"/>
      <c r="G481" s="14"/>
      <c r="H481" s="14"/>
      <c r="I481" s="14"/>
      <c r="J481" s="13"/>
      <c r="K481" s="13"/>
    </row>
    <row r="482" customFormat="false" ht="15" hidden="false" customHeight="false" outlineLevel="0" collapsed="false">
      <c r="A482" s="11" t="str">
        <f aca="false">Apontamentos!C482</f>
        <v/>
      </c>
      <c r="B482" s="11" t="str">
        <f aca="false">IF(Apontamentos!$C482="","",Apontamentos!D482&amp;"")</f>
        <v/>
      </c>
      <c r="C482" s="11" t="str">
        <f aca="false">IF(Apontamentos!$C482="","",Apontamentos!E482&amp;"")</f>
        <v/>
      </c>
      <c r="D482" s="10" t="str">
        <f aca="false">IF(Apontamentos!$C482="","",Apontamentos!F482&amp;"")</f>
        <v/>
      </c>
      <c r="E482" s="10" t="str">
        <f aca="false">IF(Apontamentos!$C482="","",Apontamentos!G482&amp;"")</f>
        <v/>
      </c>
      <c r="F482" s="14"/>
      <c r="G482" s="14"/>
      <c r="H482" s="14"/>
      <c r="I482" s="14"/>
      <c r="J482" s="13"/>
      <c r="K482" s="13"/>
    </row>
    <row r="483" customFormat="false" ht="15" hidden="false" customHeight="false" outlineLevel="0" collapsed="false">
      <c r="A483" s="11" t="str">
        <f aca="false">Apontamentos!C483</f>
        <v/>
      </c>
      <c r="B483" s="11" t="str">
        <f aca="false">IF(Apontamentos!$C483="","",Apontamentos!D483&amp;"")</f>
        <v/>
      </c>
      <c r="C483" s="11" t="str">
        <f aca="false">IF(Apontamentos!$C483="","",Apontamentos!E483&amp;"")</f>
        <v/>
      </c>
      <c r="D483" s="10" t="str">
        <f aca="false">IF(Apontamentos!$C483="","",Apontamentos!F483&amp;"")</f>
        <v/>
      </c>
      <c r="E483" s="10" t="str">
        <f aca="false">IF(Apontamentos!$C483="","",Apontamentos!G483&amp;"")</f>
        <v/>
      </c>
      <c r="F483" s="14"/>
      <c r="G483" s="14"/>
      <c r="H483" s="14"/>
      <c r="I483" s="14"/>
      <c r="J483" s="13"/>
      <c r="K483" s="13"/>
    </row>
    <row r="484" customFormat="false" ht="15" hidden="false" customHeight="false" outlineLevel="0" collapsed="false">
      <c r="A484" s="11" t="str">
        <f aca="false">Apontamentos!C484</f>
        <v/>
      </c>
      <c r="B484" s="11" t="str">
        <f aca="false">IF(Apontamentos!$C484="","",Apontamentos!D484&amp;"")</f>
        <v/>
      </c>
      <c r="C484" s="11" t="str">
        <f aca="false">IF(Apontamentos!$C484="","",Apontamentos!E484&amp;"")</f>
        <v/>
      </c>
      <c r="D484" s="10" t="str">
        <f aca="false">IF(Apontamentos!$C484="","",Apontamentos!F484&amp;"")</f>
        <v/>
      </c>
      <c r="E484" s="10" t="str">
        <f aca="false">IF(Apontamentos!$C484="","",Apontamentos!G484&amp;"")</f>
        <v/>
      </c>
      <c r="F484" s="14"/>
      <c r="G484" s="14"/>
      <c r="H484" s="14"/>
      <c r="I484" s="14"/>
      <c r="J484" s="13"/>
      <c r="K484" s="13"/>
    </row>
    <row r="485" customFormat="false" ht="15" hidden="false" customHeight="false" outlineLevel="0" collapsed="false">
      <c r="A485" s="11" t="str">
        <f aca="false">Apontamentos!C485</f>
        <v/>
      </c>
      <c r="B485" s="11" t="str">
        <f aca="false">IF(Apontamentos!$C485="","",Apontamentos!D485&amp;"")</f>
        <v/>
      </c>
      <c r="C485" s="11" t="str">
        <f aca="false">IF(Apontamentos!$C485="","",Apontamentos!E485&amp;"")</f>
        <v/>
      </c>
      <c r="D485" s="10" t="str">
        <f aca="false">IF(Apontamentos!$C485="","",Apontamentos!F485&amp;"")</f>
        <v/>
      </c>
      <c r="E485" s="10" t="str">
        <f aca="false">IF(Apontamentos!$C485="","",Apontamentos!G485&amp;"")</f>
        <v/>
      </c>
      <c r="F485" s="14"/>
      <c r="G485" s="14"/>
      <c r="H485" s="14"/>
      <c r="I485" s="14"/>
      <c r="J485" s="13"/>
      <c r="K485" s="13"/>
    </row>
    <row r="486" customFormat="false" ht="15" hidden="false" customHeight="false" outlineLevel="0" collapsed="false">
      <c r="A486" s="11" t="str">
        <f aca="false">Apontamentos!C486</f>
        <v/>
      </c>
      <c r="B486" s="11" t="str">
        <f aca="false">IF(Apontamentos!$C486="","",Apontamentos!D486&amp;"")</f>
        <v/>
      </c>
      <c r="C486" s="11" t="str">
        <f aca="false">IF(Apontamentos!$C486="","",Apontamentos!E486&amp;"")</f>
        <v/>
      </c>
      <c r="D486" s="10" t="str">
        <f aca="false">IF(Apontamentos!$C486="","",Apontamentos!F486&amp;"")</f>
        <v/>
      </c>
      <c r="E486" s="10" t="str">
        <f aca="false">IF(Apontamentos!$C486="","",Apontamentos!G486&amp;"")</f>
        <v/>
      </c>
      <c r="F486" s="14"/>
      <c r="G486" s="14"/>
      <c r="H486" s="14"/>
      <c r="I486" s="14"/>
      <c r="J486" s="13"/>
      <c r="K486" s="13"/>
    </row>
    <row r="487" customFormat="false" ht="15" hidden="false" customHeight="false" outlineLevel="0" collapsed="false">
      <c r="A487" s="11" t="str">
        <f aca="false">Apontamentos!C487</f>
        <v/>
      </c>
      <c r="B487" s="11" t="str">
        <f aca="false">IF(Apontamentos!$C487="","",Apontamentos!D487&amp;"")</f>
        <v/>
      </c>
      <c r="C487" s="11" t="str">
        <f aca="false">IF(Apontamentos!$C487="","",Apontamentos!E487&amp;"")</f>
        <v/>
      </c>
      <c r="D487" s="10" t="str">
        <f aca="false">IF(Apontamentos!$C487="","",Apontamentos!F487&amp;"")</f>
        <v/>
      </c>
      <c r="E487" s="10" t="str">
        <f aca="false">IF(Apontamentos!$C487="","",Apontamentos!G487&amp;"")</f>
        <v/>
      </c>
      <c r="F487" s="14"/>
      <c r="G487" s="14"/>
      <c r="H487" s="14"/>
      <c r="I487" s="14"/>
      <c r="J487" s="13"/>
      <c r="K487" s="13"/>
    </row>
    <row r="488" customFormat="false" ht="15" hidden="false" customHeight="false" outlineLevel="0" collapsed="false">
      <c r="A488" s="11" t="str">
        <f aca="false">Apontamentos!C488</f>
        <v/>
      </c>
      <c r="B488" s="11" t="str">
        <f aca="false">IF(Apontamentos!$C488="","",Apontamentos!D488&amp;"")</f>
        <v/>
      </c>
      <c r="C488" s="11" t="str">
        <f aca="false">IF(Apontamentos!$C488="","",Apontamentos!E488&amp;"")</f>
        <v/>
      </c>
      <c r="D488" s="10" t="str">
        <f aca="false">IF(Apontamentos!$C488="","",Apontamentos!F488&amp;"")</f>
        <v/>
      </c>
      <c r="E488" s="10" t="str">
        <f aca="false">IF(Apontamentos!$C488="","",Apontamentos!G488&amp;"")</f>
        <v/>
      </c>
      <c r="F488" s="14"/>
      <c r="G488" s="14"/>
      <c r="H488" s="14"/>
      <c r="I488" s="14"/>
      <c r="J488" s="13"/>
      <c r="K488" s="13"/>
    </row>
    <row r="489" customFormat="false" ht="15" hidden="false" customHeight="false" outlineLevel="0" collapsed="false">
      <c r="A489" s="11" t="str">
        <f aca="false">Apontamentos!C489</f>
        <v/>
      </c>
      <c r="B489" s="11" t="str">
        <f aca="false">IF(Apontamentos!$C489="","",Apontamentos!D489&amp;"")</f>
        <v/>
      </c>
      <c r="C489" s="11" t="str">
        <f aca="false">IF(Apontamentos!$C489="","",Apontamentos!E489&amp;"")</f>
        <v/>
      </c>
      <c r="D489" s="10" t="str">
        <f aca="false">IF(Apontamentos!$C489="","",Apontamentos!F489&amp;"")</f>
        <v/>
      </c>
      <c r="E489" s="10" t="str">
        <f aca="false">IF(Apontamentos!$C489="","",Apontamentos!G489&amp;"")</f>
        <v/>
      </c>
      <c r="F489" s="14"/>
      <c r="G489" s="14"/>
      <c r="H489" s="14"/>
      <c r="I489" s="14"/>
      <c r="J489" s="13"/>
      <c r="K489" s="13"/>
    </row>
    <row r="490" customFormat="false" ht="15" hidden="false" customHeight="false" outlineLevel="0" collapsed="false">
      <c r="A490" s="11" t="str">
        <f aca="false">Apontamentos!C490</f>
        <v/>
      </c>
      <c r="B490" s="11" t="str">
        <f aca="false">IF(Apontamentos!$C490="","",Apontamentos!D490&amp;"")</f>
        <v/>
      </c>
      <c r="C490" s="11" t="str">
        <f aca="false">IF(Apontamentos!$C490="","",Apontamentos!E490&amp;"")</f>
        <v/>
      </c>
      <c r="D490" s="10" t="str">
        <f aca="false">IF(Apontamentos!$C490="","",Apontamentos!F490&amp;"")</f>
        <v/>
      </c>
      <c r="E490" s="10" t="str">
        <f aca="false">IF(Apontamentos!$C490="","",Apontamentos!G490&amp;"")</f>
        <v/>
      </c>
      <c r="F490" s="14"/>
      <c r="G490" s="14"/>
      <c r="H490" s="14"/>
      <c r="I490" s="14"/>
      <c r="J490" s="13"/>
      <c r="K490" s="13"/>
    </row>
    <row r="491" customFormat="false" ht="15" hidden="false" customHeight="false" outlineLevel="0" collapsed="false">
      <c r="A491" s="11" t="str">
        <f aca="false">Apontamentos!C491</f>
        <v/>
      </c>
      <c r="B491" s="11" t="str">
        <f aca="false">IF(Apontamentos!$C491="","",Apontamentos!D491&amp;"")</f>
        <v/>
      </c>
      <c r="C491" s="11" t="str">
        <f aca="false">IF(Apontamentos!$C491="","",Apontamentos!E491&amp;"")</f>
        <v/>
      </c>
      <c r="D491" s="10" t="str">
        <f aca="false">IF(Apontamentos!$C491="","",Apontamentos!F491&amp;"")</f>
        <v/>
      </c>
      <c r="E491" s="10" t="str">
        <f aca="false">IF(Apontamentos!$C491="","",Apontamentos!G491&amp;"")</f>
        <v/>
      </c>
      <c r="F491" s="14"/>
      <c r="G491" s="14"/>
      <c r="H491" s="14"/>
      <c r="I491" s="14"/>
      <c r="J491" s="13"/>
      <c r="K491" s="13"/>
    </row>
    <row r="492" customFormat="false" ht="15" hidden="false" customHeight="false" outlineLevel="0" collapsed="false">
      <c r="A492" s="11" t="str">
        <f aca="false">Apontamentos!C492</f>
        <v/>
      </c>
      <c r="B492" s="11" t="str">
        <f aca="false">IF(Apontamentos!$C492="","",Apontamentos!D492&amp;"")</f>
        <v/>
      </c>
      <c r="C492" s="11" t="str">
        <f aca="false">IF(Apontamentos!$C492="","",Apontamentos!E492&amp;"")</f>
        <v/>
      </c>
      <c r="D492" s="10" t="str">
        <f aca="false">IF(Apontamentos!$C492="","",Apontamentos!F492&amp;"")</f>
        <v/>
      </c>
      <c r="E492" s="10" t="str">
        <f aca="false">IF(Apontamentos!$C492="","",Apontamentos!G492&amp;"")</f>
        <v/>
      </c>
      <c r="F492" s="14"/>
      <c r="G492" s="14"/>
      <c r="H492" s="14"/>
      <c r="I492" s="14"/>
      <c r="J492" s="13"/>
      <c r="K492" s="13"/>
    </row>
    <row r="493" customFormat="false" ht="15" hidden="false" customHeight="false" outlineLevel="0" collapsed="false">
      <c r="A493" s="11" t="str">
        <f aca="false">Apontamentos!C493</f>
        <v/>
      </c>
      <c r="B493" s="11" t="str">
        <f aca="false">IF(Apontamentos!$C493="","",Apontamentos!D493&amp;"")</f>
        <v/>
      </c>
      <c r="C493" s="11" t="str">
        <f aca="false">IF(Apontamentos!$C493="","",Apontamentos!E493&amp;"")</f>
        <v/>
      </c>
      <c r="D493" s="10" t="str">
        <f aca="false">IF(Apontamentos!$C493="","",Apontamentos!F493&amp;"")</f>
        <v/>
      </c>
      <c r="E493" s="10" t="str">
        <f aca="false">IF(Apontamentos!$C493="","",Apontamentos!G493&amp;"")</f>
        <v/>
      </c>
      <c r="F493" s="14"/>
      <c r="G493" s="14"/>
      <c r="H493" s="14"/>
      <c r="I493" s="14"/>
      <c r="J493" s="13"/>
      <c r="K493" s="13"/>
    </row>
    <row r="494" customFormat="false" ht="15" hidden="false" customHeight="false" outlineLevel="0" collapsed="false">
      <c r="A494" s="11" t="str">
        <f aca="false">Apontamentos!C494</f>
        <v/>
      </c>
      <c r="B494" s="11" t="str">
        <f aca="false">IF(Apontamentos!$C494="","",Apontamentos!D494&amp;"")</f>
        <v/>
      </c>
      <c r="C494" s="11" t="str">
        <f aca="false">IF(Apontamentos!$C494="","",Apontamentos!E494&amp;"")</f>
        <v/>
      </c>
      <c r="D494" s="10" t="str">
        <f aca="false">IF(Apontamentos!$C494="","",Apontamentos!F494&amp;"")</f>
        <v/>
      </c>
      <c r="E494" s="10" t="str">
        <f aca="false">IF(Apontamentos!$C494="","",Apontamentos!G494&amp;"")</f>
        <v/>
      </c>
      <c r="F494" s="14"/>
      <c r="G494" s="14"/>
      <c r="H494" s="14"/>
      <c r="I494" s="14"/>
      <c r="J494" s="13"/>
      <c r="K494" s="13"/>
    </row>
    <row r="495" customFormat="false" ht="15" hidden="false" customHeight="false" outlineLevel="0" collapsed="false">
      <c r="A495" s="11" t="str">
        <f aca="false">Apontamentos!C495</f>
        <v/>
      </c>
      <c r="B495" s="11" t="str">
        <f aca="false">IF(Apontamentos!$C495="","",Apontamentos!D495&amp;"")</f>
        <v/>
      </c>
      <c r="C495" s="11" t="str">
        <f aca="false">IF(Apontamentos!$C495="","",Apontamentos!E495&amp;"")</f>
        <v/>
      </c>
      <c r="D495" s="10" t="str">
        <f aca="false">IF(Apontamentos!$C495="","",Apontamentos!F495&amp;"")</f>
        <v/>
      </c>
      <c r="E495" s="10" t="str">
        <f aca="false">IF(Apontamentos!$C495="","",Apontamentos!G495&amp;"")</f>
        <v/>
      </c>
      <c r="F495" s="14"/>
      <c r="G495" s="14"/>
      <c r="H495" s="14"/>
      <c r="I495" s="14"/>
      <c r="J495" s="13"/>
      <c r="K495" s="13"/>
    </row>
    <row r="496" customFormat="false" ht="15" hidden="false" customHeight="false" outlineLevel="0" collapsed="false">
      <c r="A496" s="11" t="str">
        <f aca="false">Apontamentos!C496</f>
        <v/>
      </c>
      <c r="B496" s="11" t="str">
        <f aca="false">IF(Apontamentos!$C496="","",Apontamentos!D496&amp;"")</f>
        <v/>
      </c>
      <c r="C496" s="11" t="str">
        <f aca="false">IF(Apontamentos!$C496="","",Apontamentos!E496&amp;"")</f>
        <v/>
      </c>
      <c r="D496" s="10" t="str">
        <f aca="false">IF(Apontamentos!$C496="","",Apontamentos!F496&amp;"")</f>
        <v/>
      </c>
      <c r="E496" s="10" t="str">
        <f aca="false">IF(Apontamentos!$C496="","",Apontamentos!G496&amp;"")</f>
        <v/>
      </c>
      <c r="F496" s="14"/>
      <c r="G496" s="14"/>
      <c r="H496" s="14"/>
      <c r="I496" s="14"/>
      <c r="J496" s="13"/>
      <c r="K496" s="13"/>
    </row>
    <row r="497" customFormat="false" ht="15" hidden="false" customHeight="false" outlineLevel="0" collapsed="false">
      <c r="A497" s="11" t="str">
        <f aca="false">Apontamentos!C497</f>
        <v/>
      </c>
      <c r="B497" s="11" t="str">
        <f aca="false">IF(Apontamentos!$C497="","",Apontamentos!D497&amp;"")</f>
        <v/>
      </c>
      <c r="C497" s="11" t="str">
        <f aca="false">IF(Apontamentos!$C497="","",Apontamentos!E497&amp;"")</f>
        <v/>
      </c>
      <c r="D497" s="10" t="str">
        <f aca="false">IF(Apontamentos!$C497="","",Apontamentos!F497&amp;"")</f>
        <v/>
      </c>
      <c r="E497" s="10" t="str">
        <f aca="false">IF(Apontamentos!$C497="","",Apontamentos!G497&amp;"")</f>
        <v/>
      </c>
      <c r="F497" s="14"/>
      <c r="G497" s="14"/>
      <c r="H497" s="14"/>
      <c r="I497" s="14"/>
      <c r="J497" s="13"/>
      <c r="K497" s="13"/>
    </row>
    <row r="498" customFormat="false" ht="15" hidden="false" customHeight="false" outlineLevel="0" collapsed="false">
      <c r="A498" s="11" t="str">
        <f aca="false">Apontamentos!C498</f>
        <v/>
      </c>
      <c r="B498" s="11" t="str">
        <f aca="false">IF(Apontamentos!$C498="","",Apontamentos!D498&amp;"")</f>
        <v/>
      </c>
      <c r="C498" s="11" t="str">
        <f aca="false">IF(Apontamentos!$C498="","",Apontamentos!E498&amp;"")</f>
        <v/>
      </c>
      <c r="D498" s="10" t="str">
        <f aca="false">IF(Apontamentos!$C498="","",Apontamentos!F498&amp;"")</f>
        <v/>
      </c>
      <c r="E498" s="10" t="str">
        <f aca="false">IF(Apontamentos!$C498="","",Apontamentos!G498&amp;"")</f>
        <v/>
      </c>
      <c r="F498" s="14"/>
      <c r="G498" s="14"/>
      <c r="H498" s="14"/>
      <c r="I498" s="14"/>
      <c r="J498" s="13"/>
      <c r="K498" s="13"/>
    </row>
    <row r="499" customFormat="false" ht="15" hidden="false" customHeight="false" outlineLevel="0" collapsed="false">
      <c r="A499" s="11" t="str">
        <f aca="false">Apontamentos!C499</f>
        <v/>
      </c>
      <c r="B499" s="11" t="str">
        <f aca="false">IF(Apontamentos!$C499="","",Apontamentos!D499&amp;"")</f>
        <v/>
      </c>
      <c r="C499" s="11" t="str">
        <f aca="false">IF(Apontamentos!$C499="","",Apontamentos!E499&amp;"")</f>
        <v/>
      </c>
      <c r="D499" s="10" t="str">
        <f aca="false">IF(Apontamentos!$C499="","",Apontamentos!F499&amp;"")</f>
        <v/>
      </c>
      <c r="E499" s="10" t="str">
        <f aca="false">IF(Apontamentos!$C499="","",Apontamentos!G499&amp;"")</f>
        <v/>
      </c>
      <c r="F499" s="14"/>
      <c r="G499" s="14"/>
      <c r="H499" s="14"/>
      <c r="I499" s="14"/>
      <c r="J499" s="13"/>
      <c r="K499" s="13"/>
    </row>
    <row r="500" customFormat="false" ht="15" hidden="false" customHeight="false" outlineLevel="0" collapsed="false">
      <c r="A500" s="11" t="str">
        <f aca="false">Apontamentos!C500</f>
        <v/>
      </c>
      <c r="B500" s="11" t="str">
        <f aca="false">IF(Apontamentos!$C500="","",Apontamentos!D500&amp;"")</f>
        <v/>
      </c>
      <c r="C500" s="11" t="str">
        <f aca="false">IF(Apontamentos!$C500="","",Apontamentos!E500&amp;"")</f>
        <v/>
      </c>
      <c r="D500" s="10" t="str">
        <f aca="false">IF(Apontamentos!$C500="","",Apontamentos!F500&amp;"")</f>
        <v/>
      </c>
      <c r="E500" s="10" t="str">
        <f aca="false">IF(Apontamentos!$C500="","",Apontamentos!G500&amp;"")</f>
        <v/>
      </c>
      <c r="F500" s="14"/>
      <c r="G500" s="14"/>
      <c r="H500" s="14"/>
      <c r="I500" s="14"/>
      <c r="J500" s="13"/>
      <c r="K500" s="13"/>
    </row>
    <row r="501" customFormat="false" ht="15" hidden="false" customHeight="false" outlineLevel="0" collapsed="false">
      <c r="A501" s="11" t="str">
        <f aca="false">Apontamentos!C501</f>
        <v/>
      </c>
      <c r="B501" s="11" t="str">
        <f aca="false">IF(Apontamentos!$C501="","",Apontamentos!D501&amp;"")</f>
        <v/>
      </c>
      <c r="C501" s="11" t="str">
        <f aca="false">IF(Apontamentos!$C501="","",Apontamentos!E501&amp;"")</f>
        <v/>
      </c>
      <c r="D501" s="10" t="str">
        <f aca="false">IF(Apontamentos!$C501="","",Apontamentos!F501&amp;"")</f>
        <v/>
      </c>
      <c r="E501" s="10" t="str">
        <f aca="false">IF(Apontamentos!$C501="","",Apontamentos!G501&amp;"")</f>
        <v/>
      </c>
      <c r="F501" s="14"/>
      <c r="G501" s="14"/>
      <c r="H501" s="14"/>
      <c r="I501" s="14"/>
      <c r="J501" s="13"/>
      <c r="K501" s="13"/>
    </row>
    <row r="502" customFormat="false" ht="15" hidden="false" customHeight="false" outlineLevel="0" collapsed="false">
      <c r="A502" s="11" t="str">
        <f aca="false">Apontamentos!C502</f>
        <v/>
      </c>
      <c r="B502" s="11" t="str">
        <f aca="false">IF(Apontamentos!$C502="","",Apontamentos!D502&amp;"")</f>
        <v/>
      </c>
      <c r="C502" s="11" t="str">
        <f aca="false">IF(Apontamentos!$C502="","",Apontamentos!E502&amp;"")</f>
        <v/>
      </c>
      <c r="D502" s="10" t="str">
        <f aca="false">IF(Apontamentos!$C502="","",Apontamentos!F502&amp;"")</f>
        <v/>
      </c>
      <c r="E502" s="10" t="str">
        <f aca="false">IF(Apontamentos!$C502="","",Apontamentos!G502&amp;"")</f>
        <v/>
      </c>
      <c r="F502" s="14"/>
      <c r="G502" s="14"/>
      <c r="H502" s="14"/>
      <c r="I502" s="14"/>
      <c r="J502" s="13"/>
      <c r="K502" s="13"/>
    </row>
    <row r="503" customFormat="false" ht="15" hidden="false" customHeight="false" outlineLevel="0" collapsed="false">
      <c r="A503" s="11" t="str">
        <f aca="false">Apontamentos!C503</f>
        <v/>
      </c>
      <c r="B503" s="11" t="str">
        <f aca="false">IF(Apontamentos!$C503="","",Apontamentos!D503&amp;"")</f>
        <v/>
      </c>
      <c r="C503" s="11" t="str">
        <f aca="false">IF(Apontamentos!$C503="","",Apontamentos!E503&amp;"")</f>
        <v/>
      </c>
      <c r="D503" s="10" t="str">
        <f aca="false">IF(Apontamentos!$C503="","",Apontamentos!F503&amp;"")</f>
        <v/>
      </c>
      <c r="E503" s="10" t="str">
        <f aca="false">IF(Apontamentos!$C503="","",Apontamentos!G503&amp;"")</f>
        <v/>
      </c>
      <c r="F503" s="14"/>
      <c r="G503" s="14"/>
      <c r="H503" s="14"/>
      <c r="I503" s="14"/>
      <c r="J503" s="13"/>
      <c r="K503" s="13"/>
    </row>
    <row r="504" customFormat="false" ht="15" hidden="false" customHeight="false" outlineLevel="0" collapsed="false">
      <c r="A504" s="11" t="str">
        <f aca="false">Apontamentos!C504</f>
        <v/>
      </c>
      <c r="B504" s="11" t="str">
        <f aca="false">IF(Apontamentos!$C504="","",Apontamentos!D504&amp;"")</f>
        <v/>
      </c>
      <c r="C504" s="11" t="str">
        <f aca="false">IF(Apontamentos!$C504="","",Apontamentos!E504&amp;"")</f>
        <v/>
      </c>
      <c r="D504" s="10" t="str">
        <f aca="false">IF(Apontamentos!$C504="","",Apontamentos!F504&amp;"")</f>
        <v/>
      </c>
      <c r="E504" s="10" t="str">
        <f aca="false">IF(Apontamentos!$C504="","",Apontamentos!G504&amp;"")</f>
        <v/>
      </c>
      <c r="F504" s="14"/>
      <c r="G504" s="14"/>
      <c r="H504" s="14"/>
      <c r="I504" s="14"/>
      <c r="J504" s="13"/>
      <c r="K504" s="13"/>
    </row>
    <row r="505" customFormat="false" ht="15" hidden="false" customHeight="false" outlineLevel="0" collapsed="false">
      <c r="A505" s="11" t="str">
        <f aca="false">Apontamentos!C505</f>
        <v/>
      </c>
      <c r="B505" s="11" t="str">
        <f aca="false">IF(Apontamentos!$C505="","",Apontamentos!D505&amp;"")</f>
        <v/>
      </c>
      <c r="C505" s="11" t="str">
        <f aca="false">IF(Apontamentos!$C505="","",Apontamentos!E505&amp;"")</f>
        <v/>
      </c>
      <c r="D505" s="10" t="str">
        <f aca="false">IF(Apontamentos!$C505="","",Apontamentos!F505&amp;"")</f>
        <v/>
      </c>
      <c r="E505" s="10" t="str">
        <f aca="false">IF(Apontamentos!$C505="","",Apontamentos!G505&amp;"")</f>
        <v/>
      </c>
      <c r="F505" s="14"/>
      <c r="G505" s="14"/>
      <c r="H505" s="14"/>
      <c r="I505" s="14"/>
      <c r="J505" s="13"/>
      <c r="K505" s="13"/>
    </row>
    <row r="506" customFormat="false" ht="15" hidden="false" customHeight="false" outlineLevel="0" collapsed="false">
      <c r="A506" s="11" t="str">
        <f aca="false">Apontamentos!C506</f>
        <v/>
      </c>
      <c r="B506" s="11" t="str">
        <f aca="false">IF(Apontamentos!$C506="","",Apontamentos!D506&amp;"")</f>
        <v/>
      </c>
      <c r="C506" s="11" t="str">
        <f aca="false">IF(Apontamentos!$C506="","",Apontamentos!E506&amp;"")</f>
        <v/>
      </c>
      <c r="D506" s="10" t="str">
        <f aca="false">IF(Apontamentos!$C506="","",Apontamentos!F506&amp;"")</f>
        <v/>
      </c>
      <c r="E506" s="10" t="str">
        <f aca="false">IF(Apontamentos!$C506="","",Apontamentos!G506&amp;"")</f>
        <v/>
      </c>
      <c r="F506" s="14"/>
      <c r="G506" s="14"/>
      <c r="H506" s="14"/>
      <c r="I506" s="14"/>
      <c r="J506" s="13"/>
      <c r="K506" s="13"/>
    </row>
    <row r="507" customFormat="false" ht="15" hidden="false" customHeight="false" outlineLevel="0" collapsed="false">
      <c r="A507" s="11" t="str">
        <f aca="false">Apontamentos!C507</f>
        <v/>
      </c>
      <c r="B507" s="11" t="str">
        <f aca="false">IF(Apontamentos!$C507="","",Apontamentos!D507&amp;"")</f>
        <v/>
      </c>
      <c r="C507" s="11" t="str">
        <f aca="false">IF(Apontamentos!$C507="","",Apontamentos!E507&amp;"")</f>
        <v/>
      </c>
      <c r="D507" s="10" t="str">
        <f aca="false">IF(Apontamentos!$C507="","",Apontamentos!F507&amp;"")</f>
        <v/>
      </c>
      <c r="E507" s="10" t="str">
        <f aca="false">IF(Apontamentos!$C507="","",Apontamentos!G507&amp;"")</f>
        <v/>
      </c>
      <c r="F507" s="14"/>
      <c r="G507" s="14"/>
      <c r="H507" s="14"/>
      <c r="I507" s="14"/>
      <c r="J507" s="13"/>
      <c r="K507" s="13"/>
    </row>
    <row r="508" customFormat="false" ht="15" hidden="false" customHeight="false" outlineLevel="0" collapsed="false">
      <c r="A508" s="11" t="str">
        <f aca="false">Apontamentos!C508</f>
        <v/>
      </c>
      <c r="B508" s="11" t="str">
        <f aca="false">IF(Apontamentos!$C508="","",Apontamentos!D508&amp;"")</f>
        <v/>
      </c>
      <c r="C508" s="11" t="str">
        <f aca="false">IF(Apontamentos!$C508="","",Apontamentos!E508&amp;"")</f>
        <v/>
      </c>
      <c r="D508" s="10" t="str">
        <f aca="false">IF(Apontamentos!$C508="","",Apontamentos!F508&amp;"")</f>
        <v/>
      </c>
      <c r="E508" s="10" t="str">
        <f aca="false">IF(Apontamentos!$C508="","",Apontamentos!G508&amp;"")</f>
        <v/>
      </c>
      <c r="F508" s="14"/>
      <c r="G508" s="14"/>
      <c r="H508" s="14"/>
      <c r="I508" s="14"/>
      <c r="J508" s="13"/>
      <c r="K508" s="13"/>
    </row>
    <row r="509" customFormat="false" ht="15" hidden="false" customHeight="false" outlineLevel="0" collapsed="false">
      <c r="A509" s="11" t="str">
        <f aca="false">Apontamentos!C509</f>
        <v/>
      </c>
      <c r="B509" s="11" t="str">
        <f aca="false">IF(Apontamentos!$C509="","",Apontamentos!D509&amp;"")</f>
        <v/>
      </c>
      <c r="C509" s="11" t="str">
        <f aca="false">IF(Apontamentos!$C509="","",Apontamentos!E509&amp;"")</f>
        <v/>
      </c>
      <c r="D509" s="10" t="str">
        <f aca="false">IF(Apontamentos!$C509="","",Apontamentos!F509&amp;"")</f>
        <v/>
      </c>
      <c r="E509" s="10" t="str">
        <f aca="false">IF(Apontamentos!$C509="","",Apontamentos!G509&amp;"")</f>
        <v/>
      </c>
      <c r="F509" s="14"/>
      <c r="G509" s="14"/>
      <c r="H509" s="14"/>
      <c r="I509" s="14"/>
      <c r="J509" s="13"/>
      <c r="K509" s="13"/>
    </row>
    <row r="510" customFormat="false" ht="15" hidden="false" customHeight="false" outlineLevel="0" collapsed="false">
      <c r="A510" s="11" t="str">
        <f aca="false">Apontamentos!C510</f>
        <v/>
      </c>
      <c r="B510" s="11" t="str">
        <f aca="false">IF(Apontamentos!$C510="","",Apontamentos!D510&amp;"")</f>
        <v/>
      </c>
      <c r="C510" s="11" t="str">
        <f aca="false">IF(Apontamentos!$C510="","",Apontamentos!E510&amp;"")</f>
        <v/>
      </c>
      <c r="D510" s="10" t="str">
        <f aca="false">IF(Apontamentos!$C510="","",Apontamentos!F510&amp;"")</f>
        <v/>
      </c>
      <c r="E510" s="10" t="str">
        <f aca="false">IF(Apontamentos!$C510="","",Apontamentos!G510&amp;"")</f>
        <v/>
      </c>
      <c r="F510" s="14"/>
      <c r="G510" s="14"/>
      <c r="H510" s="14"/>
      <c r="I510" s="14"/>
      <c r="J510" s="13"/>
      <c r="K510" s="13"/>
    </row>
    <row r="511" customFormat="false" ht="15" hidden="false" customHeight="false" outlineLevel="0" collapsed="false">
      <c r="A511" s="11" t="str">
        <f aca="false">Apontamentos!C511</f>
        <v/>
      </c>
      <c r="B511" s="11" t="str">
        <f aca="false">IF(Apontamentos!$C511="","",Apontamentos!D511&amp;"")</f>
        <v/>
      </c>
      <c r="C511" s="11" t="str">
        <f aca="false">IF(Apontamentos!$C511="","",Apontamentos!E511&amp;"")</f>
        <v/>
      </c>
      <c r="D511" s="10" t="str">
        <f aca="false">IF(Apontamentos!$C511="","",Apontamentos!F511&amp;"")</f>
        <v/>
      </c>
      <c r="E511" s="10" t="str">
        <f aca="false">IF(Apontamentos!$C511="","",Apontamentos!G511&amp;"")</f>
        <v/>
      </c>
      <c r="F511" s="14"/>
      <c r="G511" s="14"/>
      <c r="H511" s="14"/>
      <c r="I511" s="14"/>
      <c r="J511" s="13"/>
      <c r="K511" s="13"/>
    </row>
    <row r="512" customFormat="false" ht="15" hidden="false" customHeight="false" outlineLevel="0" collapsed="false">
      <c r="A512" s="11" t="str">
        <f aca="false">Apontamentos!C512</f>
        <v/>
      </c>
      <c r="B512" s="11" t="str">
        <f aca="false">IF(Apontamentos!$C512="","",Apontamentos!D512&amp;"")</f>
        <v/>
      </c>
      <c r="C512" s="11" t="str">
        <f aca="false">IF(Apontamentos!$C512="","",Apontamentos!E512&amp;"")</f>
        <v/>
      </c>
      <c r="D512" s="10" t="str">
        <f aca="false">IF(Apontamentos!$C512="","",Apontamentos!F512&amp;"")</f>
        <v/>
      </c>
      <c r="E512" s="10" t="str">
        <f aca="false">IF(Apontamentos!$C512="","",Apontamentos!G512&amp;"")</f>
        <v/>
      </c>
      <c r="F512" s="14"/>
      <c r="G512" s="14"/>
      <c r="H512" s="14"/>
      <c r="I512" s="14"/>
      <c r="J512" s="13"/>
      <c r="K512" s="13"/>
    </row>
    <row r="513" customFormat="false" ht="15" hidden="false" customHeight="false" outlineLevel="0" collapsed="false">
      <c r="A513" s="11" t="str">
        <f aca="false">Apontamentos!C513</f>
        <v/>
      </c>
      <c r="B513" s="11" t="str">
        <f aca="false">IF(Apontamentos!$C513="","",Apontamentos!D513&amp;"")</f>
        <v/>
      </c>
      <c r="C513" s="11" t="str">
        <f aca="false">IF(Apontamentos!$C513="","",Apontamentos!E513&amp;"")</f>
        <v/>
      </c>
      <c r="D513" s="10" t="str">
        <f aca="false">IF(Apontamentos!$C513="","",Apontamentos!F513&amp;"")</f>
        <v/>
      </c>
      <c r="E513" s="10" t="str">
        <f aca="false">IF(Apontamentos!$C513="","",Apontamentos!G513&amp;"")</f>
        <v/>
      </c>
      <c r="F513" s="14"/>
      <c r="G513" s="14"/>
      <c r="H513" s="14"/>
      <c r="I513" s="14"/>
      <c r="J513" s="13"/>
      <c r="K513" s="13"/>
    </row>
    <row r="514" customFormat="false" ht="15" hidden="false" customHeight="false" outlineLevel="0" collapsed="false">
      <c r="A514" s="11" t="str">
        <f aca="false">Apontamentos!C514</f>
        <v/>
      </c>
      <c r="B514" s="11" t="str">
        <f aca="false">IF(Apontamentos!$C514="","",Apontamentos!D514&amp;"")</f>
        <v/>
      </c>
      <c r="C514" s="11" t="str">
        <f aca="false">IF(Apontamentos!$C514="","",Apontamentos!E514&amp;"")</f>
        <v/>
      </c>
      <c r="D514" s="10" t="str">
        <f aca="false">IF(Apontamentos!$C514="","",Apontamentos!F514&amp;"")</f>
        <v/>
      </c>
      <c r="E514" s="10" t="str">
        <f aca="false">IF(Apontamentos!$C514="","",Apontamentos!G514&amp;"")</f>
        <v/>
      </c>
      <c r="F514" s="14"/>
      <c r="G514" s="14"/>
      <c r="H514" s="14"/>
      <c r="I514" s="14"/>
      <c r="J514" s="13"/>
      <c r="K514" s="13"/>
    </row>
    <row r="515" customFormat="false" ht="15" hidden="false" customHeight="false" outlineLevel="0" collapsed="false">
      <c r="A515" s="11" t="str">
        <f aca="false">Apontamentos!C515</f>
        <v/>
      </c>
      <c r="B515" s="11" t="str">
        <f aca="false">IF(Apontamentos!$C515="","",Apontamentos!D515&amp;"")</f>
        <v/>
      </c>
      <c r="C515" s="11" t="str">
        <f aca="false">IF(Apontamentos!$C515="","",Apontamentos!E515&amp;"")</f>
        <v/>
      </c>
      <c r="D515" s="10" t="str">
        <f aca="false">IF(Apontamentos!$C515="","",Apontamentos!F515&amp;"")</f>
        <v/>
      </c>
      <c r="E515" s="10" t="str">
        <f aca="false">IF(Apontamentos!$C515="","",Apontamentos!G515&amp;"")</f>
        <v/>
      </c>
      <c r="F515" s="14"/>
      <c r="G515" s="14"/>
      <c r="H515" s="14"/>
      <c r="I515" s="14"/>
      <c r="J515" s="13"/>
      <c r="K515" s="13"/>
    </row>
    <row r="516" customFormat="false" ht="15" hidden="false" customHeight="false" outlineLevel="0" collapsed="false">
      <c r="A516" s="11" t="str">
        <f aca="false">Apontamentos!C516</f>
        <v/>
      </c>
      <c r="B516" s="11" t="str">
        <f aca="false">IF(Apontamentos!$C516="","",Apontamentos!D516&amp;"")</f>
        <v/>
      </c>
      <c r="C516" s="11" t="str">
        <f aca="false">IF(Apontamentos!$C516="","",Apontamentos!E516&amp;"")</f>
        <v/>
      </c>
      <c r="D516" s="10" t="str">
        <f aca="false">IF(Apontamentos!$C516="","",Apontamentos!F516&amp;"")</f>
        <v/>
      </c>
      <c r="E516" s="10" t="str">
        <f aca="false">IF(Apontamentos!$C516="","",Apontamentos!G516&amp;"")</f>
        <v/>
      </c>
      <c r="F516" s="14"/>
      <c r="G516" s="14"/>
      <c r="H516" s="14"/>
      <c r="I516" s="14"/>
      <c r="J516" s="13"/>
      <c r="K516" s="13"/>
    </row>
    <row r="517" customFormat="false" ht="15" hidden="false" customHeight="false" outlineLevel="0" collapsed="false">
      <c r="A517" s="11" t="str">
        <f aca="false">Apontamentos!C517</f>
        <v/>
      </c>
      <c r="B517" s="11" t="str">
        <f aca="false">IF(Apontamentos!$C517="","",Apontamentos!D517&amp;"")</f>
        <v/>
      </c>
      <c r="C517" s="11" t="str">
        <f aca="false">IF(Apontamentos!$C517="","",Apontamentos!E517&amp;"")</f>
        <v/>
      </c>
      <c r="D517" s="10" t="str">
        <f aca="false">IF(Apontamentos!$C517="","",Apontamentos!F517&amp;"")</f>
        <v/>
      </c>
      <c r="E517" s="10" t="str">
        <f aca="false">IF(Apontamentos!$C517="","",Apontamentos!G517&amp;"")</f>
        <v/>
      </c>
      <c r="F517" s="14"/>
      <c r="G517" s="14"/>
      <c r="H517" s="14"/>
      <c r="I517" s="14"/>
      <c r="J517" s="13"/>
      <c r="K517" s="13"/>
    </row>
    <row r="518" customFormat="false" ht="15" hidden="false" customHeight="false" outlineLevel="0" collapsed="false">
      <c r="A518" s="11" t="str">
        <f aca="false">Apontamentos!C518</f>
        <v/>
      </c>
      <c r="B518" s="11" t="str">
        <f aca="false">IF(Apontamentos!$C518="","",Apontamentos!D518&amp;"")</f>
        <v/>
      </c>
      <c r="C518" s="11" t="str">
        <f aca="false">IF(Apontamentos!$C518="","",Apontamentos!E518&amp;"")</f>
        <v/>
      </c>
      <c r="D518" s="10" t="str">
        <f aca="false">IF(Apontamentos!$C518="","",Apontamentos!F518&amp;"")</f>
        <v/>
      </c>
      <c r="E518" s="10" t="str">
        <f aca="false">IF(Apontamentos!$C518="","",Apontamentos!G518&amp;"")</f>
        <v/>
      </c>
      <c r="F518" s="14"/>
      <c r="G518" s="14"/>
      <c r="H518" s="14"/>
      <c r="I518" s="14"/>
      <c r="J518" s="13"/>
      <c r="K518" s="13"/>
    </row>
    <row r="519" customFormat="false" ht="15" hidden="false" customHeight="false" outlineLevel="0" collapsed="false">
      <c r="A519" s="11" t="str">
        <f aca="false">Apontamentos!C519</f>
        <v/>
      </c>
      <c r="B519" s="11" t="str">
        <f aca="false">IF(Apontamentos!$C519="","",Apontamentos!D519&amp;"")</f>
        <v/>
      </c>
      <c r="C519" s="11" t="str">
        <f aca="false">IF(Apontamentos!$C519="","",Apontamentos!E519&amp;"")</f>
        <v/>
      </c>
      <c r="D519" s="10" t="str">
        <f aca="false">IF(Apontamentos!$C519="","",Apontamentos!F519&amp;"")</f>
        <v/>
      </c>
      <c r="E519" s="10" t="str">
        <f aca="false">IF(Apontamentos!$C519="","",Apontamentos!G519&amp;"")</f>
        <v/>
      </c>
      <c r="F519" s="14"/>
      <c r="G519" s="14"/>
      <c r="H519" s="14"/>
      <c r="I519" s="14"/>
      <c r="J519" s="13"/>
      <c r="K519" s="13"/>
    </row>
    <row r="520" customFormat="false" ht="15" hidden="false" customHeight="false" outlineLevel="0" collapsed="false">
      <c r="A520" s="11" t="str">
        <f aca="false">Apontamentos!C520</f>
        <v/>
      </c>
      <c r="B520" s="11" t="str">
        <f aca="false">IF(Apontamentos!$C520="","",Apontamentos!D520&amp;"")</f>
        <v/>
      </c>
      <c r="C520" s="11" t="str">
        <f aca="false">IF(Apontamentos!$C520="","",Apontamentos!E520&amp;"")</f>
        <v/>
      </c>
      <c r="D520" s="10" t="str">
        <f aca="false">IF(Apontamentos!$C520="","",Apontamentos!F520&amp;"")</f>
        <v/>
      </c>
      <c r="E520" s="10" t="str">
        <f aca="false">IF(Apontamentos!$C520="","",Apontamentos!G520&amp;"")</f>
        <v/>
      </c>
      <c r="F520" s="14"/>
      <c r="G520" s="14"/>
      <c r="H520" s="14"/>
      <c r="I520" s="14"/>
      <c r="J520" s="13"/>
      <c r="K520" s="13"/>
    </row>
    <row r="521" customFormat="false" ht="15" hidden="false" customHeight="false" outlineLevel="0" collapsed="false">
      <c r="A521" s="11" t="str">
        <f aca="false">Apontamentos!C521</f>
        <v/>
      </c>
      <c r="B521" s="11" t="str">
        <f aca="false">IF(Apontamentos!$C521="","",Apontamentos!D521&amp;"")</f>
        <v/>
      </c>
      <c r="C521" s="11" t="str">
        <f aca="false">IF(Apontamentos!$C521="","",Apontamentos!E521&amp;"")</f>
        <v/>
      </c>
      <c r="D521" s="10" t="str">
        <f aca="false">IF(Apontamentos!$C521="","",Apontamentos!F521&amp;"")</f>
        <v/>
      </c>
      <c r="E521" s="10" t="str">
        <f aca="false">IF(Apontamentos!$C521="","",Apontamentos!G521&amp;"")</f>
        <v/>
      </c>
      <c r="F521" s="14"/>
      <c r="G521" s="14"/>
      <c r="H521" s="14"/>
      <c r="I521" s="14"/>
      <c r="J521" s="13"/>
      <c r="K521" s="13"/>
    </row>
    <row r="522" customFormat="false" ht="15" hidden="false" customHeight="false" outlineLevel="0" collapsed="false">
      <c r="A522" s="11" t="str">
        <f aca="false">Apontamentos!C522</f>
        <v/>
      </c>
      <c r="B522" s="11" t="str">
        <f aca="false">IF(Apontamentos!$C522="","",Apontamentos!D522&amp;"")</f>
        <v/>
      </c>
      <c r="C522" s="11" t="str">
        <f aca="false">IF(Apontamentos!$C522="","",Apontamentos!E522&amp;"")</f>
        <v/>
      </c>
      <c r="D522" s="10" t="str">
        <f aca="false">IF(Apontamentos!$C522="","",Apontamentos!F522&amp;"")</f>
        <v/>
      </c>
      <c r="E522" s="10" t="str">
        <f aca="false">IF(Apontamentos!$C522="","",Apontamentos!G522&amp;"")</f>
        <v/>
      </c>
      <c r="F522" s="14"/>
      <c r="G522" s="14"/>
      <c r="H522" s="14"/>
      <c r="I522" s="14"/>
      <c r="J522" s="13"/>
      <c r="K522" s="13"/>
    </row>
    <row r="523" customFormat="false" ht="15" hidden="false" customHeight="false" outlineLevel="0" collapsed="false">
      <c r="A523" s="11" t="str">
        <f aca="false">Apontamentos!C523</f>
        <v/>
      </c>
      <c r="B523" s="11" t="str">
        <f aca="false">IF(Apontamentos!$C523="","",Apontamentos!D523&amp;"")</f>
        <v/>
      </c>
      <c r="C523" s="11" t="str">
        <f aca="false">IF(Apontamentos!$C523="","",Apontamentos!E523&amp;"")</f>
        <v/>
      </c>
      <c r="D523" s="10" t="str">
        <f aca="false">IF(Apontamentos!$C523="","",Apontamentos!F523&amp;"")</f>
        <v/>
      </c>
      <c r="E523" s="10" t="str">
        <f aca="false">IF(Apontamentos!$C523="","",Apontamentos!G523&amp;"")</f>
        <v/>
      </c>
      <c r="F523" s="14"/>
      <c r="G523" s="14"/>
      <c r="H523" s="14"/>
      <c r="I523" s="14"/>
      <c r="J523" s="13"/>
      <c r="K523" s="13"/>
    </row>
    <row r="524" customFormat="false" ht="15" hidden="false" customHeight="false" outlineLevel="0" collapsed="false">
      <c r="A524" s="11" t="str">
        <f aca="false">Apontamentos!C524</f>
        <v/>
      </c>
      <c r="B524" s="11" t="str">
        <f aca="false">IF(Apontamentos!$C524="","",Apontamentos!D524&amp;"")</f>
        <v/>
      </c>
      <c r="C524" s="11" t="str">
        <f aca="false">IF(Apontamentos!$C524="","",Apontamentos!E524&amp;"")</f>
        <v/>
      </c>
      <c r="D524" s="10" t="str">
        <f aca="false">IF(Apontamentos!$C524="","",Apontamentos!F524&amp;"")</f>
        <v/>
      </c>
      <c r="E524" s="10" t="str">
        <f aca="false">IF(Apontamentos!$C524="","",Apontamentos!G524&amp;"")</f>
        <v/>
      </c>
      <c r="F524" s="14"/>
      <c r="G524" s="14"/>
      <c r="H524" s="14"/>
      <c r="I524" s="14"/>
      <c r="J524" s="13"/>
      <c r="K524" s="13"/>
    </row>
    <row r="525" customFormat="false" ht="15" hidden="false" customHeight="false" outlineLevel="0" collapsed="false">
      <c r="A525" s="11" t="str">
        <f aca="false">Apontamentos!C525</f>
        <v/>
      </c>
      <c r="B525" s="11" t="str">
        <f aca="false">IF(Apontamentos!$C525="","",Apontamentos!D525&amp;"")</f>
        <v/>
      </c>
      <c r="C525" s="11" t="str">
        <f aca="false">IF(Apontamentos!$C525="","",Apontamentos!E525&amp;"")</f>
        <v/>
      </c>
      <c r="D525" s="10" t="str">
        <f aca="false">IF(Apontamentos!$C525="","",Apontamentos!F525&amp;"")</f>
        <v/>
      </c>
      <c r="E525" s="10" t="str">
        <f aca="false">IF(Apontamentos!$C525="","",Apontamentos!G525&amp;"")</f>
        <v/>
      </c>
      <c r="F525" s="14"/>
      <c r="G525" s="14"/>
      <c r="H525" s="14"/>
      <c r="I525" s="14"/>
      <c r="J525" s="13"/>
      <c r="K525" s="13"/>
    </row>
    <row r="526" customFormat="false" ht="15" hidden="false" customHeight="false" outlineLevel="0" collapsed="false">
      <c r="A526" s="11" t="str">
        <f aca="false">Apontamentos!C526</f>
        <v/>
      </c>
      <c r="B526" s="11" t="str">
        <f aca="false">IF(Apontamentos!$C526="","",Apontamentos!D526&amp;"")</f>
        <v/>
      </c>
      <c r="C526" s="11" t="str">
        <f aca="false">IF(Apontamentos!$C526="","",Apontamentos!E526&amp;"")</f>
        <v/>
      </c>
      <c r="D526" s="10" t="str">
        <f aca="false">IF(Apontamentos!$C526="","",Apontamentos!F526&amp;"")</f>
        <v/>
      </c>
      <c r="E526" s="10" t="str">
        <f aca="false">IF(Apontamentos!$C526="","",Apontamentos!G526&amp;"")</f>
        <v/>
      </c>
      <c r="F526" s="14"/>
      <c r="G526" s="14"/>
      <c r="H526" s="14"/>
      <c r="I526" s="14"/>
      <c r="J526" s="13"/>
      <c r="K526" s="13"/>
    </row>
    <row r="527" customFormat="false" ht="15" hidden="false" customHeight="false" outlineLevel="0" collapsed="false">
      <c r="A527" s="11" t="str">
        <f aca="false">Apontamentos!C527</f>
        <v/>
      </c>
      <c r="B527" s="11" t="str">
        <f aca="false">IF(Apontamentos!$C527="","",Apontamentos!D527&amp;"")</f>
        <v/>
      </c>
      <c r="C527" s="11" t="str">
        <f aca="false">IF(Apontamentos!$C527="","",Apontamentos!E527&amp;"")</f>
        <v/>
      </c>
      <c r="D527" s="10" t="str">
        <f aca="false">IF(Apontamentos!$C527="","",Apontamentos!F527&amp;"")</f>
        <v/>
      </c>
      <c r="E527" s="10" t="str">
        <f aca="false">IF(Apontamentos!$C527="","",Apontamentos!G527&amp;"")</f>
        <v/>
      </c>
      <c r="F527" s="14"/>
      <c r="G527" s="14"/>
      <c r="H527" s="14"/>
      <c r="I527" s="14"/>
      <c r="J527" s="13"/>
      <c r="K527" s="13"/>
    </row>
    <row r="528" customFormat="false" ht="15" hidden="false" customHeight="false" outlineLevel="0" collapsed="false">
      <c r="A528" s="11" t="str">
        <f aca="false">Apontamentos!C528</f>
        <v/>
      </c>
      <c r="B528" s="11" t="str">
        <f aca="false">IF(Apontamentos!$C528="","",Apontamentos!D528&amp;"")</f>
        <v/>
      </c>
      <c r="C528" s="11" t="str">
        <f aca="false">IF(Apontamentos!$C528="","",Apontamentos!E528&amp;"")</f>
        <v/>
      </c>
      <c r="D528" s="10" t="str">
        <f aca="false">IF(Apontamentos!$C528="","",Apontamentos!F528&amp;"")</f>
        <v/>
      </c>
      <c r="E528" s="10" t="str">
        <f aca="false">IF(Apontamentos!$C528="","",Apontamentos!G528&amp;"")</f>
        <v/>
      </c>
      <c r="F528" s="14"/>
      <c r="G528" s="14"/>
      <c r="H528" s="14"/>
      <c r="I528" s="14"/>
      <c r="J528" s="13"/>
      <c r="K528" s="13"/>
    </row>
    <row r="529" customFormat="false" ht="15" hidden="false" customHeight="false" outlineLevel="0" collapsed="false">
      <c r="A529" s="11" t="str">
        <f aca="false">Apontamentos!C529</f>
        <v/>
      </c>
      <c r="B529" s="11" t="str">
        <f aca="false">IF(Apontamentos!$C529="","",Apontamentos!D529&amp;"")</f>
        <v/>
      </c>
      <c r="C529" s="11" t="str">
        <f aca="false">IF(Apontamentos!$C529="","",Apontamentos!E529&amp;"")</f>
        <v/>
      </c>
      <c r="D529" s="10" t="str">
        <f aca="false">IF(Apontamentos!$C529="","",Apontamentos!F529&amp;"")</f>
        <v/>
      </c>
      <c r="E529" s="10" t="str">
        <f aca="false">IF(Apontamentos!$C529="","",Apontamentos!G529&amp;"")</f>
        <v/>
      </c>
      <c r="F529" s="14"/>
      <c r="G529" s="14"/>
      <c r="H529" s="14"/>
      <c r="I529" s="14"/>
      <c r="J529" s="13"/>
      <c r="K529" s="13"/>
    </row>
    <row r="530" customFormat="false" ht="15" hidden="false" customHeight="false" outlineLevel="0" collapsed="false">
      <c r="A530" s="11" t="str">
        <f aca="false">Apontamentos!C530</f>
        <v/>
      </c>
      <c r="B530" s="11" t="str">
        <f aca="false">IF(Apontamentos!$C530="","",Apontamentos!D530&amp;"")</f>
        <v/>
      </c>
      <c r="C530" s="11" t="str">
        <f aca="false">IF(Apontamentos!$C530="","",Apontamentos!E530&amp;"")</f>
        <v/>
      </c>
      <c r="D530" s="10" t="str">
        <f aca="false">IF(Apontamentos!$C530="","",Apontamentos!F530&amp;"")</f>
        <v/>
      </c>
      <c r="E530" s="10" t="str">
        <f aca="false">IF(Apontamentos!$C530="","",Apontamentos!G530&amp;"")</f>
        <v/>
      </c>
      <c r="F530" s="14"/>
      <c r="G530" s="14"/>
      <c r="H530" s="14"/>
      <c r="I530" s="14"/>
      <c r="J530" s="13"/>
      <c r="K530" s="13"/>
    </row>
    <row r="531" customFormat="false" ht="15" hidden="false" customHeight="false" outlineLevel="0" collapsed="false">
      <c r="A531" s="11" t="str">
        <f aca="false">Apontamentos!C531</f>
        <v/>
      </c>
      <c r="B531" s="11" t="str">
        <f aca="false">IF(Apontamentos!$C531="","",Apontamentos!D531&amp;"")</f>
        <v/>
      </c>
      <c r="C531" s="11" t="str">
        <f aca="false">IF(Apontamentos!$C531="","",Apontamentos!E531&amp;"")</f>
        <v/>
      </c>
      <c r="D531" s="10" t="str">
        <f aca="false">IF(Apontamentos!$C531="","",Apontamentos!F531&amp;"")</f>
        <v/>
      </c>
      <c r="E531" s="10" t="str">
        <f aca="false">IF(Apontamentos!$C531="","",Apontamentos!G531&amp;"")</f>
        <v/>
      </c>
      <c r="F531" s="14"/>
      <c r="G531" s="14"/>
      <c r="H531" s="14"/>
      <c r="I531" s="14"/>
      <c r="J531" s="13"/>
      <c r="K531" s="13"/>
    </row>
    <row r="532" customFormat="false" ht="15" hidden="false" customHeight="false" outlineLevel="0" collapsed="false">
      <c r="A532" s="11" t="str">
        <f aca="false">Apontamentos!C532</f>
        <v/>
      </c>
      <c r="B532" s="11" t="str">
        <f aca="false">IF(Apontamentos!$C532="","",Apontamentos!D532&amp;"")</f>
        <v/>
      </c>
      <c r="C532" s="11" t="str">
        <f aca="false">IF(Apontamentos!$C532="","",Apontamentos!E532&amp;"")</f>
        <v/>
      </c>
      <c r="D532" s="10" t="str">
        <f aca="false">IF(Apontamentos!$C532="","",Apontamentos!F532&amp;"")</f>
        <v/>
      </c>
      <c r="E532" s="10" t="str">
        <f aca="false">IF(Apontamentos!$C532="","",Apontamentos!G532&amp;"")</f>
        <v/>
      </c>
      <c r="F532" s="14"/>
      <c r="G532" s="14"/>
      <c r="H532" s="14"/>
      <c r="I532" s="14"/>
      <c r="J532" s="13"/>
      <c r="K532" s="13"/>
    </row>
    <row r="533" customFormat="false" ht="15" hidden="false" customHeight="false" outlineLevel="0" collapsed="false">
      <c r="A533" s="11" t="str">
        <f aca="false">Apontamentos!C533</f>
        <v/>
      </c>
      <c r="B533" s="11" t="str">
        <f aca="false">IF(Apontamentos!$C533="","",Apontamentos!D533&amp;"")</f>
        <v/>
      </c>
      <c r="C533" s="11" t="str">
        <f aca="false">IF(Apontamentos!$C533="","",Apontamentos!E533&amp;"")</f>
        <v/>
      </c>
      <c r="D533" s="10" t="str">
        <f aca="false">IF(Apontamentos!$C533="","",Apontamentos!F533&amp;"")</f>
        <v/>
      </c>
      <c r="E533" s="10" t="str">
        <f aca="false">IF(Apontamentos!$C533="","",Apontamentos!G533&amp;"")</f>
        <v/>
      </c>
      <c r="F533" s="14"/>
      <c r="G533" s="14"/>
      <c r="H533" s="14"/>
      <c r="I533" s="14"/>
      <c r="J533" s="13"/>
      <c r="K533" s="13"/>
    </row>
    <row r="534" customFormat="false" ht="15" hidden="false" customHeight="false" outlineLevel="0" collapsed="false">
      <c r="A534" s="11" t="str">
        <f aca="false">Apontamentos!C534</f>
        <v/>
      </c>
      <c r="B534" s="11" t="str">
        <f aca="false">IF(Apontamentos!$C534="","",Apontamentos!D534&amp;"")</f>
        <v/>
      </c>
      <c r="C534" s="11" t="str">
        <f aca="false">IF(Apontamentos!$C534="","",Apontamentos!E534&amp;"")</f>
        <v/>
      </c>
      <c r="D534" s="10" t="str">
        <f aca="false">IF(Apontamentos!$C534="","",Apontamentos!F534&amp;"")</f>
        <v/>
      </c>
      <c r="E534" s="10" t="str">
        <f aca="false">IF(Apontamentos!$C534="","",Apontamentos!G534&amp;"")</f>
        <v/>
      </c>
      <c r="F534" s="14"/>
      <c r="G534" s="14"/>
      <c r="H534" s="14"/>
      <c r="I534" s="14"/>
      <c r="J534" s="13"/>
      <c r="K534" s="13"/>
    </row>
    <row r="535" customFormat="false" ht="15" hidden="false" customHeight="false" outlineLevel="0" collapsed="false">
      <c r="A535" s="11" t="str">
        <f aca="false">Apontamentos!C535</f>
        <v/>
      </c>
      <c r="B535" s="11" t="str">
        <f aca="false">IF(Apontamentos!$C535="","",Apontamentos!D535&amp;"")</f>
        <v/>
      </c>
      <c r="C535" s="11" t="str">
        <f aca="false">IF(Apontamentos!$C535="","",Apontamentos!E535&amp;"")</f>
        <v/>
      </c>
      <c r="D535" s="10" t="str">
        <f aca="false">IF(Apontamentos!$C535="","",Apontamentos!F535&amp;"")</f>
        <v/>
      </c>
      <c r="E535" s="10" t="str">
        <f aca="false">IF(Apontamentos!$C535="","",Apontamentos!G535&amp;"")</f>
        <v/>
      </c>
      <c r="F535" s="14"/>
      <c r="G535" s="14"/>
      <c r="H535" s="14"/>
      <c r="I535" s="14"/>
      <c r="J535" s="13"/>
      <c r="K535" s="13"/>
    </row>
    <row r="536" customFormat="false" ht="15" hidden="false" customHeight="false" outlineLevel="0" collapsed="false">
      <c r="A536" s="11" t="str">
        <f aca="false">Apontamentos!C536</f>
        <v/>
      </c>
      <c r="B536" s="11" t="str">
        <f aca="false">IF(Apontamentos!$C536="","",Apontamentos!D536&amp;"")</f>
        <v/>
      </c>
      <c r="C536" s="11" t="str">
        <f aca="false">IF(Apontamentos!$C536="","",Apontamentos!E536&amp;"")</f>
        <v/>
      </c>
      <c r="D536" s="10" t="str">
        <f aca="false">IF(Apontamentos!$C536="","",Apontamentos!F536&amp;"")</f>
        <v/>
      </c>
      <c r="E536" s="10" t="str">
        <f aca="false">IF(Apontamentos!$C536="","",Apontamentos!G536&amp;"")</f>
        <v/>
      </c>
      <c r="F536" s="14"/>
      <c r="G536" s="14"/>
      <c r="H536" s="14"/>
      <c r="I536" s="14"/>
      <c r="J536" s="13"/>
      <c r="K536" s="13"/>
    </row>
    <row r="537" customFormat="false" ht="15" hidden="false" customHeight="false" outlineLevel="0" collapsed="false">
      <c r="A537" s="11" t="str">
        <f aca="false">Apontamentos!C537</f>
        <v/>
      </c>
      <c r="B537" s="11" t="str">
        <f aca="false">IF(Apontamentos!$C537="","",Apontamentos!D537&amp;"")</f>
        <v/>
      </c>
      <c r="C537" s="11" t="str">
        <f aca="false">IF(Apontamentos!$C537="","",Apontamentos!E537&amp;"")</f>
        <v/>
      </c>
      <c r="D537" s="10" t="str">
        <f aca="false">IF(Apontamentos!$C537="","",Apontamentos!F537&amp;"")</f>
        <v/>
      </c>
      <c r="E537" s="10" t="str">
        <f aca="false">IF(Apontamentos!$C537="","",Apontamentos!G537&amp;"")</f>
        <v/>
      </c>
      <c r="F537" s="14"/>
      <c r="G537" s="14"/>
      <c r="H537" s="14"/>
      <c r="I537" s="14"/>
      <c r="J537" s="13"/>
      <c r="K537" s="13"/>
    </row>
    <row r="538" customFormat="false" ht="15" hidden="false" customHeight="false" outlineLevel="0" collapsed="false">
      <c r="A538" s="11" t="str">
        <f aca="false">Apontamentos!C538</f>
        <v/>
      </c>
      <c r="B538" s="11" t="str">
        <f aca="false">IF(Apontamentos!$C538="","",Apontamentos!D538&amp;"")</f>
        <v/>
      </c>
      <c r="C538" s="11" t="str">
        <f aca="false">IF(Apontamentos!$C538="","",Apontamentos!E538&amp;"")</f>
        <v/>
      </c>
      <c r="D538" s="10" t="str">
        <f aca="false">IF(Apontamentos!$C538="","",Apontamentos!F538&amp;"")</f>
        <v/>
      </c>
      <c r="E538" s="10" t="str">
        <f aca="false">IF(Apontamentos!$C538="","",Apontamentos!G538&amp;"")</f>
        <v/>
      </c>
      <c r="F538" s="14"/>
      <c r="G538" s="14"/>
      <c r="H538" s="14"/>
      <c r="I538" s="14"/>
      <c r="J538" s="13"/>
      <c r="K538" s="13"/>
    </row>
    <row r="539" customFormat="false" ht="15" hidden="false" customHeight="false" outlineLevel="0" collapsed="false">
      <c r="A539" s="11" t="str">
        <f aca="false">Apontamentos!C539</f>
        <v/>
      </c>
      <c r="B539" s="11" t="str">
        <f aca="false">IF(Apontamentos!$C539="","",Apontamentos!D539&amp;"")</f>
        <v/>
      </c>
      <c r="C539" s="11" t="str">
        <f aca="false">IF(Apontamentos!$C539="","",Apontamentos!E539&amp;"")</f>
        <v/>
      </c>
      <c r="D539" s="10" t="str">
        <f aca="false">IF(Apontamentos!$C539="","",Apontamentos!F539&amp;"")</f>
        <v/>
      </c>
      <c r="E539" s="10" t="str">
        <f aca="false">IF(Apontamentos!$C539="","",Apontamentos!G539&amp;"")</f>
        <v/>
      </c>
      <c r="F539" s="14"/>
      <c r="G539" s="14"/>
      <c r="H539" s="14"/>
      <c r="I539" s="14"/>
      <c r="J539" s="13"/>
      <c r="K539" s="13"/>
    </row>
    <row r="540" customFormat="false" ht="15" hidden="false" customHeight="false" outlineLevel="0" collapsed="false">
      <c r="A540" s="11" t="str">
        <f aca="false">Apontamentos!C540</f>
        <v/>
      </c>
      <c r="B540" s="11" t="str">
        <f aca="false">IF(Apontamentos!$C540="","",Apontamentos!D540&amp;"")</f>
        <v/>
      </c>
      <c r="C540" s="11" t="str">
        <f aca="false">IF(Apontamentos!$C540="","",Apontamentos!E540&amp;"")</f>
        <v/>
      </c>
      <c r="D540" s="10" t="str">
        <f aca="false">IF(Apontamentos!$C540="","",Apontamentos!F540&amp;"")</f>
        <v/>
      </c>
      <c r="E540" s="10" t="str">
        <f aca="false">IF(Apontamentos!$C540="","",Apontamentos!G540&amp;"")</f>
        <v/>
      </c>
      <c r="F540" s="14"/>
      <c r="G540" s="14"/>
      <c r="H540" s="14"/>
      <c r="I540" s="14"/>
      <c r="J540" s="13"/>
      <c r="K540" s="13"/>
    </row>
    <row r="541" customFormat="false" ht="15" hidden="false" customHeight="false" outlineLevel="0" collapsed="false">
      <c r="A541" s="11" t="str">
        <f aca="false">Apontamentos!C541</f>
        <v/>
      </c>
      <c r="B541" s="11" t="str">
        <f aca="false">IF(Apontamentos!$C541="","",Apontamentos!D541&amp;"")</f>
        <v/>
      </c>
      <c r="C541" s="11" t="str">
        <f aca="false">IF(Apontamentos!$C541="","",Apontamentos!E541&amp;"")</f>
        <v/>
      </c>
      <c r="D541" s="10" t="str">
        <f aca="false">IF(Apontamentos!$C541="","",Apontamentos!F541&amp;"")</f>
        <v/>
      </c>
      <c r="E541" s="10" t="str">
        <f aca="false">IF(Apontamentos!$C541="","",Apontamentos!G541&amp;"")</f>
        <v/>
      </c>
      <c r="F541" s="14"/>
      <c r="G541" s="14"/>
      <c r="H541" s="14"/>
      <c r="I541" s="14"/>
      <c r="J541" s="13"/>
      <c r="K541" s="13"/>
    </row>
    <row r="542" customFormat="false" ht="15" hidden="false" customHeight="false" outlineLevel="0" collapsed="false">
      <c r="A542" s="11" t="str">
        <f aca="false">Apontamentos!C542</f>
        <v/>
      </c>
      <c r="B542" s="11" t="str">
        <f aca="false">IF(Apontamentos!$C542="","",Apontamentos!D542&amp;"")</f>
        <v/>
      </c>
      <c r="C542" s="11" t="str">
        <f aca="false">IF(Apontamentos!$C542="","",Apontamentos!E542&amp;"")</f>
        <v/>
      </c>
      <c r="D542" s="10" t="str">
        <f aca="false">IF(Apontamentos!$C542="","",Apontamentos!F542&amp;"")</f>
        <v/>
      </c>
      <c r="E542" s="10" t="str">
        <f aca="false">IF(Apontamentos!$C542="","",Apontamentos!G542&amp;"")</f>
        <v/>
      </c>
      <c r="F542" s="14"/>
      <c r="G542" s="14"/>
      <c r="H542" s="14"/>
      <c r="I542" s="14"/>
      <c r="J542" s="13"/>
      <c r="K542" s="13"/>
    </row>
    <row r="543" customFormat="false" ht="15" hidden="false" customHeight="false" outlineLevel="0" collapsed="false">
      <c r="A543" s="11" t="str">
        <f aca="false">Apontamentos!C543</f>
        <v/>
      </c>
      <c r="B543" s="11" t="str">
        <f aca="false">IF(Apontamentos!$C543="","",Apontamentos!D543&amp;"")</f>
        <v/>
      </c>
      <c r="C543" s="11" t="str">
        <f aca="false">IF(Apontamentos!$C543="","",Apontamentos!E543&amp;"")</f>
        <v/>
      </c>
      <c r="D543" s="10" t="str">
        <f aca="false">IF(Apontamentos!$C543="","",Apontamentos!F543&amp;"")</f>
        <v/>
      </c>
      <c r="E543" s="10" t="str">
        <f aca="false">IF(Apontamentos!$C543="","",Apontamentos!G543&amp;"")</f>
        <v/>
      </c>
      <c r="F543" s="14"/>
      <c r="G543" s="14"/>
      <c r="H543" s="14"/>
      <c r="I543" s="14"/>
      <c r="J543" s="13"/>
      <c r="K543" s="13"/>
    </row>
    <row r="544" customFormat="false" ht="15" hidden="false" customHeight="false" outlineLevel="0" collapsed="false">
      <c r="A544" s="11" t="str">
        <f aca="false">Apontamentos!C544</f>
        <v/>
      </c>
      <c r="B544" s="11" t="str">
        <f aca="false">IF(Apontamentos!$C544="","",Apontamentos!D544&amp;"")</f>
        <v/>
      </c>
      <c r="C544" s="11" t="str">
        <f aca="false">IF(Apontamentos!$C544="","",Apontamentos!E544&amp;"")</f>
        <v/>
      </c>
      <c r="D544" s="10" t="str">
        <f aca="false">IF(Apontamentos!$C544="","",Apontamentos!F544&amp;"")</f>
        <v/>
      </c>
      <c r="E544" s="10" t="str">
        <f aca="false">IF(Apontamentos!$C544="","",Apontamentos!G544&amp;"")</f>
        <v/>
      </c>
      <c r="F544" s="14"/>
      <c r="G544" s="14"/>
      <c r="H544" s="14"/>
      <c r="I544" s="14"/>
      <c r="J544" s="13"/>
      <c r="K544" s="13"/>
    </row>
    <row r="545" customFormat="false" ht="15" hidden="false" customHeight="false" outlineLevel="0" collapsed="false">
      <c r="A545" s="11" t="str">
        <f aca="false">Apontamentos!C545</f>
        <v/>
      </c>
      <c r="B545" s="11" t="str">
        <f aca="false">IF(Apontamentos!$C545="","",Apontamentos!D545&amp;"")</f>
        <v/>
      </c>
      <c r="C545" s="11" t="str">
        <f aca="false">IF(Apontamentos!$C545="","",Apontamentos!E545&amp;"")</f>
        <v/>
      </c>
      <c r="D545" s="10" t="str">
        <f aca="false">IF(Apontamentos!$C545="","",Apontamentos!F545&amp;"")</f>
        <v/>
      </c>
      <c r="E545" s="10" t="str">
        <f aca="false">IF(Apontamentos!$C545="","",Apontamentos!G545&amp;"")</f>
        <v/>
      </c>
      <c r="F545" s="14"/>
      <c r="G545" s="14"/>
      <c r="H545" s="14"/>
      <c r="I545" s="14"/>
      <c r="J545" s="13"/>
      <c r="K545" s="13"/>
    </row>
    <row r="546" customFormat="false" ht="15" hidden="false" customHeight="false" outlineLevel="0" collapsed="false">
      <c r="A546" s="11" t="str">
        <f aca="false">Apontamentos!C546</f>
        <v/>
      </c>
      <c r="B546" s="11" t="str">
        <f aca="false">IF(Apontamentos!$C546="","",Apontamentos!D546&amp;"")</f>
        <v/>
      </c>
      <c r="C546" s="11" t="str">
        <f aca="false">IF(Apontamentos!$C546="","",Apontamentos!E546&amp;"")</f>
        <v/>
      </c>
      <c r="D546" s="10" t="str">
        <f aca="false">IF(Apontamentos!$C546="","",Apontamentos!F546&amp;"")</f>
        <v/>
      </c>
      <c r="E546" s="10" t="str">
        <f aca="false">IF(Apontamentos!$C546="","",Apontamentos!G546&amp;"")</f>
        <v/>
      </c>
      <c r="F546" s="14"/>
      <c r="G546" s="14"/>
      <c r="H546" s="14"/>
      <c r="I546" s="14"/>
      <c r="J546" s="13"/>
      <c r="K546" s="13"/>
    </row>
    <row r="547" customFormat="false" ht="15" hidden="false" customHeight="false" outlineLevel="0" collapsed="false">
      <c r="A547" s="11" t="str">
        <f aca="false">Apontamentos!C547</f>
        <v/>
      </c>
      <c r="B547" s="11" t="str">
        <f aca="false">IF(Apontamentos!$C547="","",Apontamentos!D547&amp;"")</f>
        <v/>
      </c>
      <c r="C547" s="11" t="str">
        <f aca="false">IF(Apontamentos!$C547="","",Apontamentos!E547&amp;"")</f>
        <v/>
      </c>
      <c r="D547" s="10" t="str">
        <f aca="false">IF(Apontamentos!$C547="","",Apontamentos!F547&amp;"")</f>
        <v/>
      </c>
      <c r="E547" s="10" t="str">
        <f aca="false">IF(Apontamentos!$C547="","",Apontamentos!G547&amp;"")</f>
        <v/>
      </c>
      <c r="F547" s="14"/>
      <c r="G547" s="14"/>
      <c r="H547" s="14"/>
      <c r="I547" s="14"/>
      <c r="J547" s="13"/>
      <c r="K547" s="13"/>
    </row>
    <row r="548" customFormat="false" ht="15" hidden="false" customHeight="false" outlineLevel="0" collapsed="false">
      <c r="A548" s="11" t="str">
        <f aca="false">Apontamentos!C548</f>
        <v/>
      </c>
      <c r="B548" s="11" t="str">
        <f aca="false">IF(Apontamentos!$C548="","",Apontamentos!D548&amp;"")</f>
        <v/>
      </c>
      <c r="C548" s="11" t="str">
        <f aca="false">IF(Apontamentos!$C548="","",Apontamentos!E548&amp;"")</f>
        <v/>
      </c>
      <c r="D548" s="10" t="str">
        <f aca="false">IF(Apontamentos!$C548="","",Apontamentos!F548&amp;"")</f>
        <v/>
      </c>
      <c r="E548" s="10" t="str">
        <f aca="false">IF(Apontamentos!$C548="","",Apontamentos!G548&amp;"")</f>
        <v/>
      </c>
      <c r="F548" s="14"/>
      <c r="G548" s="14"/>
      <c r="H548" s="14"/>
      <c r="I548" s="14"/>
      <c r="J548" s="13"/>
      <c r="K548" s="13"/>
    </row>
    <row r="549" customFormat="false" ht="15" hidden="false" customHeight="false" outlineLevel="0" collapsed="false">
      <c r="A549" s="11" t="str">
        <f aca="false">Apontamentos!C549</f>
        <v/>
      </c>
      <c r="B549" s="11" t="str">
        <f aca="false">IF(Apontamentos!$C549="","",Apontamentos!D549&amp;"")</f>
        <v/>
      </c>
      <c r="C549" s="11" t="str">
        <f aca="false">IF(Apontamentos!$C549="","",Apontamentos!E549&amp;"")</f>
        <v/>
      </c>
      <c r="D549" s="10" t="str">
        <f aca="false">IF(Apontamentos!$C549="","",Apontamentos!F549&amp;"")</f>
        <v/>
      </c>
      <c r="E549" s="10" t="str">
        <f aca="false">IF(Apontamentos!$C549="","",Apontamentos!G549&amp;"")</f>
        <v/>
      </c>
      <c r="F549" s="14"/>
      <c r="G549" s="14"/>
      <c r="H549" s="14"/>
      <c r="I549" s="14"/>
      <c r="J549" s="13"/>
      <c r="K549" s="13"/>
    </row>
    <row r="550" customFormat="false" ht="15" hidden="false" customHeight="false" outlineLevel="0" collapsed="false">
      <c r="A550" s="11" t="str">
        <f aca="false">Apontamentos!C550</f>
        <v/>
      </c>
      <c r="B550" s="11" t="str">
        <f aca="false">IF(Apontamentos!$C550="","",Apontamentos!D550&amp;"")</f>
        <v/>
      </c>
      <c r="C550" s="11" t="str">
        <f aca="false">IF(Apontamentos!$C550="","",Apontamentos!E550&amp;"")</f>
        <v/>
      </c>
      <c r="D550" s="10" t="str">
        <f aca="false">IF(Apontamentos!$C550="","",Apontamentos!F550&amp;"")</f>
        <v/>
      </c>
      <c r="E550" s="10" t="str">
        <f aca="false">IF(Apontamentos!$C550="","",Apontamentos!G550&amp;"")</f>
        <v/>
      </c>
      <c r="F550" s="14"/>
      <c r="G550" s="14"/>
      <c r="H550" s="14"/>
      <c r="I550" s="14"/>
      <c r="J550" s="13"/>
      <c r="K550" s="13"/>
    </row>
    <row r="551" customFormat="false" ht="15" hidden="false" customHeight="false" outlineLevel="0" collapsed="false">
      <c r="A551" s="11" t="str">
        <f aca="false">Apontamentos!C551</f>
        <v/>
      </c>
      <c r="B551" s="11" t="str">
        <f aca="false">IF(Apontamentos!$C551="","",Apontamentos!D551&amp;"")</f>
        <v/>
      </c>
      <c r="C551" s="11" t="str">
        <f aca="false">IF(Apontamentos!$C551="","",Apontamentos!E551&amp;"")</f>
        <v/>
      </c>
      <c r="D551" s="10" t="str">
        <f aca="false">IF(Apontamentos!$C551="","",Apontamentos!F551&amp;"")</f>
        <v/>
      </c>
      <c r="E551" s="10" t="str">
        <f aca="false">IF(Apontamentos!$C551="","",Apontamentos!G551&amp;"")</f>
        <v/>
      </c>
      <c r="F551" s="14"/>
      <c r="G551" s="14"/>
      <c r="H551" s="14"/>
      <c r="I551" s="14"/>
      <c r="J551" s="13"/>
      <c r="K551" s="13"/>
    </row>
    <row r="552" customFormat="false" ht="15" hidden="false" customHeight="false" outlineLevel="0" collapsed="false">
      <c r="A552" s="11" t="str">
        <f aca="false">Apontamentos!C552</f>
        <v/>
      </c>
      <c r="B552" s="11" t="str">
        <f aca="false">IF(Apontamentos!$C552="","",Apontamentos!D552&amp;"")</f>
        <v/>
      </c>
      <c r="C552" s="11" t="str">
        <f aca="false">IF(Apontamentos!$C552="","",Apontamentos!E552&amp;"")</f>
        <v/>
      </c>
      <c r="D552" s="10" t="str">
        <f aca="false">IF(Apontamentos!$C552="","",Apontamentos!F552&amp;"")</f>
        <v/>
      </c>
      <c r="E552" s="10" t="str">
        <f aca="false">IF(Apontamentos!$C552="","",Apontamentos!G552&amp;"")</f>
        <v/>
      </c>
      <c r="F552" s="14"/>
      <c r="G552" s="14"/>
      <c r="H552" s="14"/>
      <c r="I552" s="14"/>
      <c r="J552" s="13"/>
      <c r="K552" s="13"/>
    </row>
    <row r="553" customFormat="false" ht="15" hidden="false" customHeight="false" outlineLevel="0" collapsed="false">
      <c r="A553" s="11" t="str">
        <f aca="false">Apontamentos!C553</f>
        <v/>
      </c>
      <c r="B553" s="11" t="str">
        <f aca="false">IF(Apontamentos!$C553="","",Apontamentos!D553&amp;"")</f>
        <v/>
      </c>
      <c r="C553" s="11" t="str">
        <f aca="false">IF(Apontamentos!$C553="","",Apontamentos!E553&amp;"")</f>
        <v/>
      </c>
      <c r="D553" s="10" t="str">
        <f aca="false">IF(Apontamentos!$C553="","",Apontamentos!F553&amp;"")</f>
        <v/>
      </c>
      <c r="E553" s="10" t="str">
        <f aca="false">IF(Apontamentos!$C553="","",Apontamentos!G553&amp;"")</f>
        <v/>
      </c>
      <c r="F553" s="14"/>
      <c r="G553" s="14"/>
      <c r="H553" s="14"/>
      <c r="I553" s="14"/>
      <c r="J553" s="13"/>
      <c r="K553" s="13"/>
    </row>
    <row r="554" customFormat="false" ht="15" hidden="false" customHeight="false" outlineLevel="0" collapsed="false">
      <c r="A554" s="11" t="str">
        <f aca="false">Apontamentos!C554</f>
        <v/>
      </c>
      <c r="B554" s="11" t="str">
        <f aca="false">IF(Apontamentos!$C554="","",Apontamentos!D554&amp;"")</f>
        <v/>
      </c>
      <c r="C554" s="11" t="str">
        <f aca="false">IF(Apontamentos!$C554="","",Apontamentos!E554&amp;"")</f>
        <v/>
      </c>
      <c r="D554" s="10" t="str">
        <f aca="false">IF(Apontamentos!$C554="","",Apontamentos!F554&amp;"")</f>
        <v/>
      </c>
      <c r="E554" s="10" t="str">
        <f aca="false">IF(Apontamentos!$C554="","",Apontamentos!G554&amp;"")</f>
        <v/>
      </c>
      <c r="F554" s="14"/>
      <c r="G554" s="14"/>
      <c r="H554" s="14"/>
      <c r="I554" s="14"/>
      <c r="J554" s="13"/>
      <c r="K554" s="13"/>
    </row>
    <row r="555" customFormat="false" ht="15" hidden="false" customHeight="false" outlineLevel="0" collapsed="false">
      <c r="A555" s="11" t="str">
        <f aca="false">Apontamentos!C555</f>
        <v/>
      </c>
      <c r="B555" s="11" t="str">
        <f aca="false">IF(Apontamentos!$C555="","",Apontamentos!D555&amp;"")</f>
        <v/>
      </c>
      <c r="C555" s="11" t="str">
        <f aca="false">IF(Apontamentos!$C555="","",Apontamentos!E555&amp;"")</f>
        <v/>
      </c>
      <c r="D555" s="10" t="str">
        <f aca="false">IF(Apontamentos!$C555="","",Apontamentos!F555&amp;"")</f>
        <v/>
      </c>
      <c r="E555" s="10" t="str">
        <f aca="false">IF(Apontamentos!$C555="","",Apontamentos!G555&amp;"")</f>
        <v/>
      </c>
      <c r="F555" s="14"/>
      <c r="G555" s="14"/>
      <c r="H555" s="14"/>
      <c r="I555" s="14"/>
      <c r="J555" s="13"/>
      <c r="K555" s="13"/>
    </row>
    <row r="556" customFormat="false" ht="15" hidden="false" customHeight="false" outlineLevel="0" collapsed="false">
      <c r="A556" s="11" t="str">
        <f aca="false">Apontamentos!C556</f>
        <v/>
      </c>
      <c r="B556" s="11" t="str">
        <f aca="false">IF(Apontamentos!$C556="","",Apontamentos!D556&amp;"")</f>
        <v/>
      </c>
      <c r="C556" s="11" t="str">
        <f aca="false">IF(Apontamentos!$C556="","",Apontamentos!E556&amp;"")</f>
        <v/>
      </c>
      <c r="D556" s="10" t="str">
        <f aca="false">IF(Apontamentos!$C556="","",Apontamentos!F556&amp;"")</f>
        <v/>
      </c>
      <c r="E556" s="10" t="str">
        <f aca="false">IF(Apontamentos!$C556="","",Apontamentos!G556&amp;"")</f>
        <v/>
      </c>
      <c r="F556" s="14"/>
      <c r="G556" s="14"/>
      <c r="H556" s="14"/>
      <c r="I556" s="14"/>
      <c r="J556" s="13"/>
      <c r="K556" s="13"/>
    </row>
    <row r="557" customFormat="false" ht="15" hidden="false" customHeight="false" outlineLevel="0" collapsed="false">
      <c r="A557" s="11" t="str">
        <f aca="false">Apontamentos!C557</f>
        <v/>
      </c>
      <c r="B557" s="11" t="str">
        <f aca="false">IF(Apontamentos!$C557="","",Apontamentos!D557&amp;"")</f>
        <v/>
      </c>
      <c r="C557" s="11" t="str">
        <f aca="false">IF(Apontamentos!$C557="","",Apontamentos!E557&amp;"")</f>
        <v/>
      </c>
      <c r="D557" s="10" t="str">
        <f aca="false">IF(Apontamentos!$C557="","",Apontamentos!F557&amp;"")</f>
        <v/>
      </c>
      <c r="E557" s="10" t="str">
        <f aca="false">IF(Apontamentos!$C557="","",Apontamentos!G557&amp;"")</f>
        <v/>
      </c>
      <c r="F557" s="14"/>
      <c r="G557" s="14"/>
      <c r="H557" s="14"/>
      <c r="I557" s="14"/>
      <c r="J557" s="13"/>
      <c r="K557" s="13"/>
    </row>
    <row r="558" customFormat="false" ht="15" hidden="false" customHeight="false" outlineLevel="0" collapsed="false">
      <c r="A558" s="11" t="str">
        <f aca="false">Apontamentos!C558</f>
        <v/>
      </c>
      <c r="B558" s="11" t="str">
        <f aca="false">IF(Apontamentos!$C558="","",Apontamentos!D558&amp;"")</f>
        <v/>
      </c>
      <c r="C558" s="11" t="str">
        <f aca="false">IF(Apontamentos!$C558="","",Apontamentos!E558&amp;"")</f>
        <v/>
      </c>
      <c r="D558" s="10" t="str">
        <f aca="false">IF(Apontamentos!$C558="","",Apontamentos!F558&amp;"")</f>
        <v/>
      </c>
      <c r="E558" s="10" t="str">
        <f aca="false">IF(Apontamentos!$C558="","",Apontamentos!G558&amp;"")</f>
        <v/>
      </c>
      <c r="F558" s="14"/>
      <c r="G558" s="14"/>
      <c r="H558" s="14"/>
      <c r="I558" s="14"/>
      <c r="J558" s="13"/>
      <c r="K558" s="13"/>
    </row>
    <row r="559" customFormat="false" ht="15" hidden="false" customHeight="false" outlineLevel="0" collapsed="false">
      <c r="A559" s="11" t="str">
        <f aca="false">Apontamentos!C559</f>
        <v/>
      </c>
      <c r="B559" s="11" t="str">
        <f aca="false">IF(Apontamentos!$C559="","",Apontamentos!D559&amp;"")</f>
        <v/>
      </c>
      <c r="C559" s="11" t="str">
        <f aca="false">IF(Apontamentos!$C559="","",Apontamentos!E559&amp;"")</f>
        <v/>
      </c>
      <c r="D559" s="10" t="str">
        <f aca="false">IF(Apontamentos!$C559="","",Apontamentos!F559&amp;"")</f>
        <v/>
      </c>
      <c r="E559" s="10" t="str">
        <f aca="false">IF(Apontamentos!$C559="","",Apontamentos!G559&amp;"")</f>
        <v/>
      </c>
      <c r="F559" s="14"/>
      <c r="G559" s="14"/>
      <c r="H559" s="14"/>
      <c r="I559" s="14"/>
      <c r="J559" s="13"/>
      <c r="K559" s="13"/>
    </row>
    <row r="560" customFormat="false" ht="15" hidden="false" customHeight="false" outlineLevel="0" collapsed="false">
      <c r="A560" s="11" t="str">
        <f aca="false">Apontamentos!C560</f>
        <v/>
      </c>
      <c r="B560" s="11" t="str">
        <f aca="false">IF(Apontamentos!$C560="","",Apontamentos!D560&amp;"")</f>
        <v/>
      </c>
      <c r="C560" s="11" t="str">
        <f aca="false">IF(Apontamentos!$C560="","",Apontamentos!E560&amp;"")</f>
        <v/>
      </c>
      <c r="D560" s="10" t="str">
        <f aca="false">IF(Apontamentos!$C560="","",Apontamentos!F560&amp;"")</f>
        <v/>
      </c>
      <c r="E560" s="10" t="str">
        <f aca="false">IF(Apontamentos!$C560="","",Apontamentos!G560&amp;"")</f>
        <v/>
      </c>
      <c r="F560" s="14"/>
      <c r="G560" s="14"/>
      <c r="H560" s="14"/>
      <c r="I560" s="14"/>
      <c r="J560" s="13"/>
      <c r="K560" s="13"/>
    </row>
    <row r="561" customFormat="false" ht="15" hidden="false" customHeight="false" outlineLevel="0" collapsed="false">
      <c r="A561" s="11" t="str">
        <f aca="false">Apontamentos!C561</f>
        <v/>
      </c>
      <c r="B561" s="11" t="str">
        <f aca="false">IF(Apontamentos!$C561="","",Apontamentos!D561&amp;"")</f>
        <v/>
      </c>
      <c r="C561" s="11" t="str">
        <f aca="false">IF(Apontamentos!$C561="","",Apontamentos!E561&amp;"")</f>
        <v/>
      </c>
      <c r="D561" s="10" t="str">
        <f aca="false">IF(Apontamentos!$C561="","",Apontamentos!F561&amp;"")</f>
        <v/>
      </c>
      <c r="E561" s="10" t="str">
        <f aca="false">IF(Apontamentos!$C561="","",Apontamentos!G561&amp;"")</f>
        <v/>
      </c>
      <c r="F561" s="14"/>
      <c r="G561" s="14"/>
      <c r="H561" s="14"/>
      <c r="I561" s="14"/>
      <c r="J561" s="13"/>
      <c r="K561" s="13"/>
    </row>
    <row r="562" customFormat="false" ht="15" hidden="false" customHeight="false" outlineLevel="0" collapsed="false">
      <c r="A562" s="11" t="str">
        <f aca="false">Apontamentos!C562</f>
        <v/>
      </c>
      <c r="B562" s="11" t="str">
        <f aca="false">IF(Apontamentos!$C562="","",Apontamentos!D562&amp;"")</f>
        <v/>
      </c>
      <c r="C562" s="11" t="str">
        <f aca="false">IF(Apontamentos!$C562="","",Apontamentos!E562&amp;"")</f>
        <v/>
      </c>
      <c r="D562" s="10" t="str">
        <f aca="false">IF(Apontamentos!$C562="","",Apontamentos!F562&amp;"")</f>
        <v/>
      </c>
      <c r="E562" s="10" t="str">
        <f aca="false">IF(Apontamentos!$C562="","",Apontamentos!G562&amp;"")</f>
        <v/>
      </c>
      <c r="F562" s="14"/>
      <c r="G562" s="14"/>
      <c r="H562" s="14"/>
      <c r="I562" s="14"/>
      <c r="J562" s="13"/>
      <c r="K562" s="13"/>
    </row>
    <row r="563" customFormat="false" ht="15" hidden="false" customHeight="false" outlineLevel="0" collapsed="false">
      <c r="A563" s="11" t="str">
        <f aca="false">Apontamentos!C563</f>
        <v/>
      </c>
      <c r="B563" s="11" t="str">
        <f aca="false">IF(Apontamentos!$C563="","",Apontamentos!D563&amp;"")</f>
        <v/>
      </c>
      <c r="C563" s="11" t="str">
        <f aca="false">IF(Apontamentos!$C563="","",Apontamentos!E563&amp;"")</f>
        <v/>
      </c>
      <c r="D563" s="10" t="str">
        <f aca="false">IF(Apontamentos!$C563="","",Apontamentos!F563&amp;"")</f>
        <v/>
      </c>
      <c r="E563" s="10" t="str">
        <f aca="false">IF(Apontamentos!$C563="","",Apontamentos!G563&amp;"")</f>
        <v/>
      </c>
      <c r="F563" s="14"/>
      <c r="G563" s="14"/>
      <c r="H563" s="14"/>
      <c r="I563" s="14"/>
      <c r="J563" s="13"/>
      <c r="K563" s="13"/>
    </row>
    <row r="564" customFormat="false" ht="15" hidden="false" customHeight="false" outlineLevel="0" collapsed="false">
      <c r="A564" s="11" t="str">
        <f aca="false">Apontamentos!C564</f>
        <v/>
      </c>
      <c r="B564" s="11" t="str">
        <f aca="false">IF(Apontamentos!$C564="","",Apontamentos!D564&amp;"")</f>
        <v/>
      </c>
      <c r="C564" s="11" t="str">
        <f aca="false">IF(Apontamentos!$C564="","",Apontamentos!E564&amp;"")</f>
        <v/>
      </c>
      <c r="D564" s="10" t="str">
        <f aca="false">IF(Apontamentos!$C564="","",Apontamentos!F564&amp;"")</f>
        <v/>
      </c>
      <c r="E564" s="10" t="str">
        <f aca="false">IF(Apontamentos!$C564="","",Apontamentos!G564&amp;"")</f>
        <v/>
      </c>
      <c r="F564" s="14"/>
      <c r="G564" s="14"/>
      <c r="H564" s="14"/>
      <c r="I564" s="14"/>
      <c r="J564" s="13"/>
      <c r="K564" s="13"/>
    </row>
    <row r="565" customFormat="false" ht="15" hidden="false" customHeight="false" outlineLevel="0" collapsed="false">
      <c r="A565" s="11" t="str">
        <f aca="false">Apontamentos!C565</f>
        <v/>
      </c>
      <c r="B565" s="11" t="str">
        <f aca="false">IF(Apontamentos!$C565="","",Apontamentos!D565&amp;"")</f>
        <v/>
      </c>
      <c r="C565" s="11" t="str">
        <f aca="false">IF(Apontamentos!$C565="","",Apontamentos!E565&amp;"")</f>
        <v/>
      </c>
      <c r="D565" s="10" t="str">
        <f aca="false">IF(Apontamentos!$C565="","",Apontamentos!F565&amp;"")</f>
        <v/>
      </c>
      <c r="E565" s="10" t="str">
        <f aca="false">IF(Apontamentos!$C565="","",Apontamentos!G565&amp;"")</f>
        <v/>
      </c>
      <c r="F565" s="14"/>
      <c r="G565" s="14"/>
      <c r="H565" s="14"/>
      <c r="I565" s="14"/>
      <c r="J565" s="13"/>
      <c r="K565" s="13"/>
    </row>
    <row r="566" customFormat="false" ht="15" hidden="false" customHeight="false" outlineLevel="0" collapsed="false">
      <c r="A566" s="11" t="str">
        <f aca="false">Apontamentos!C566</f>
        <v/>
      </c>
      <c r="B566" s="11" t="str">
        <f aca="false">IF(Apontamentos!$C566="","",Apontamentos!D566&amp;"")</f>
        <v/>
      </c>
      <c r="C566" s="11" t="str">
        <f aca="false">IF(Apontamentos!$C566="","",Apontamentos!E566&amp;"")</f>
        <v/>
      </c>
      <c r="D566" s="10" t="str">
        <f aca="false">IF(Apontamentos!$C566="","",Apontamentos!F566&amp;"")</f>
        <v/>
      </c>
      <c r="E566" s="10" t="str">
        <f aca="false">IF(Apontamentos!$C566="","",Apontamentos!G566&amp;"")</f>
        <v/>
      </c>
      <c r="F566" s="14"/>
      <c r="G566" s="14"/>
      <c r="H566" s="14"/>
      <c r="I566" s="14"/>
      <c r="J566" s="13"/>
      <c r="K566" s="13"/>
    </row>
    <row r="567" customFormat="false" ht="15" hidden="false" customHeight="false" outlineLevel="0" collapsed="false">
      <c r="A567" s="11" t="str">
        <f aca="false">Apontamentos!C567</f>
        <v/>
      </c>
      <c r="B567" s="11" t="str">
        <f aca="false">IF(Apontamentos!$C567="","",Apontamentos!D567&amp;"")</f>
        <v/>
      </c>
      <c r="C567" s="11" t="str">
        <f aca="false">IF(Apontamentos!$C567="","",Apontamentos!E567&amp;"")</f>
        <v/>
      </c>
      <c r="D567" s="10" t="str">
        <f aca="false">IF(Apontamentos!$C567="","",Apontamentos!F567&amp;"")</f>
        <v/>
      </c>
      <c r="E567" s="10" t="str">
        <f aca="false">IF(Apontamentos!$C567="","",Apontamentos!G567&amp;"")</f>
        <v/>
      </c>
      <c r="F567" s="14"/>
      <c r="G567" s="14"/>
      <c r="H567" s="14"/>
      <c r="I567" s="14"/>
      <c r="J567" s="13"/>
      <c r="K567" s="13"/>
    </row>
    <row r="568" customFormat="false" ht="15" hidden="false" customHeight="false" outlineLevel="0" collapsed="false">
      <c r="A568" s="11" t="str">
        <f aca="false">Apontamentos!C568</f>
        <v/>
      </c>
      <c r="B568" s="11" t="str">
        <f aca="false">IF(Apontamentos!$C568="","",Apontamentos!D568&amp;"")</f>
        <v/>
      </c>
      <c r="C568" s="11" t="str">
        <f aca="false">IF(Apontamentos!$C568="","",Apontamentos!E568&amp;"")</f>
        <v/>
      </c>
      <c r="D568" s="10" t="str">
        <f aca="false">IF(Apontamentos!$C568="","",Apontamentos!F568&amp;"")</f>
        <v/>
      </c>
      <c r="E568" s="10" t="str">
        <f aca="false">IF(Apontamentos!$C568="","",Apontamentos!G568&amp;"")</f>
        <v/>
      </c>
      <c r="F568" s="14"/>
      <c r="G568" s="14"/>
      <c r="H568" s="14"/>
      <c r="I568" s="14"/>
      <c r="J568" s="13"/>
      <c r="K568" s="13"/>
    </row>
    <row r="569" customFormat="false" ht="15" hidden="false" customHeight="false" outlineLevel="0" collapsed="false">
      <c r="A569" s="11" t="str">
        <f aca="false">Apontamentos!C569</f>
        <v/>
      </c>
      <c r="B569" s="11" t="str">
        <f aca="false">IF(Apontamentos!$C569="","",Apontamentos!D569&amp;"")</f>
        <v/>
      </c>
      <c r="C569" s="11" t="str">
        <f aca="false">IF(Apontamentos!$C569="","",Apontamentos!E569&amp;"")</f>
        <v/>
      </c>
      <c r="D569" s="10" t="str">
        <f aca="false">IF(Apontamentos!$C569="","",Apontamentos!F569&amp;"")</f>
        <v/>
      </c>
      <c r="E569" s="10" t="str">
        <f aca="false">IF(Apontamentos!$C569="","",Apontamentos!G569&amp;"")</f>
        <v/>
      </c>
      <c r="F569" s="14"/>
      <c r="G569" s="14"/>
      <c r="H569" s="14"/>
      <c r="I569" s="14"/>
      <c r="J569" s="13"/>
      <c r="K569" s="13"/>
    </row>
    <row r="570" customFormat="false" ht="15" hidden="false" customHeight="false" outlineLevel="0" collapsed="false">
      <c r="A570" s="11" t="str">
        <f aca="false">Apontamentos!C570</f>
        <v/>
      </c>
      <c r="B570" s="11" t="str">
        <f aca="false">IF(Apontamentos!$C570="","",Apontamentos!D570&amp;"")</f>
        <v/>
      </c>
      <c r="C570" s="11" t="str">
        <f aca="false">IF(Apontamentos!$C570="","",Apontamentos!E570&amp;"")</f>
        <v/>
      </c>
      <c r="D570" s="10" t="str">
        <f aca="false">IF(Apontamentos!$C570="","",Apontamentos!F570&amp;"")</f>
        <v/>
      </c>
      <c r="E570" s="10" t="str">
        <f aca="false">IF(Apontamentos!$C570="","",Apontamentos!G570&amp;"")</f>
        <v/>
      </c>
      <c r="F570" s="14"/>
      <c r="G570" s="14"/>
      <c r="H570" s="14"/>
      <c r="I570" s="14"/>
      <c r="J570" s="13"/>
      <c r="K570" s="13"/>
    </row>
    <row r="571" customFormat="false" ht="15" hidden="false" customHeight="false" outlineLevel="0" collapsed="false">
      <c r="A571" s="11" t="str">
        <f aca="false">Apontamentos!C571</f>
        <v/>
      </c>
      <c r="B571" s="11" t="str">
        <f aca="false">IF(Apontamentos!$C571="","",Apontamentos!D571&amp;"")</f>
        <v/>
      </c>
      <c r="C571" s="11" t="str">
        <f aca="false">IF(Apontamentos!$C571="","",Apontamentos!E571&amp;"")</f>
        <v/>
      </c>
      <c r="D571" s="10" t="str">
        <f aca="false">IF(Apontamentos!$C571="","",Apontamentos!F571&amp;"")</f>
        <v/>
      </c>
      <c r="E571" s="10" t="str">
        <f aca="false">IF(Apontamentos!$C571="","",Apontamentos!G571&amp;"")</f>
        <v/>
      </c>
      <c r="F571" s="14"/>
      <c r="G571" s="14"/>
      <c r="H571" s="14"/>
      <c r="I571" s="14"/>
      <c r="J571" s="13"/>
      <c r="K571" s="13"/>
    </row>
    <row r="572" customFormat="false" ht="15" hidden="false" customHeight="false" outlineLevel="0" collapsed="false">
      <c r="A572" s="11" t="str">
        <f aca="false">Apontamentos!C572</f>
        <v/>
      </c>
      <c r="B572" s="11" t="str">
        <f aca="false">IF(Apontamentos!$C572="","",Apontamentos!D572&amp;"")</f>
        <v/>
      </c>
      <c r="C572" s="11" t="str">
        <f aca="false">IF(Apontamentos!$C572="","",Apontamentos!E572&amp;"")</f>
        <v/>
      </c>
      <c r="D572" s="10" t="str">
        <f aca="false">IF(Apontamentos!$C572="","",Apontamentos!F572&amp;"")</f>
        <v/>
      </c>
      <c r="E572" s="10" t="str">
        <f aca="false">IF(Apontamentos!$C572="","",Apontamentos!G572&amp;"")</f>
        <v/>
      </c>
      <c r="F572" s="14"/>
      <c r="G572" s="14"/>
      <c r="H572" s="14"/>
      <c r="I572" s="14"/>
      <c r="J572" s="13"/>
      <c r="K572" s="13"/>
    </row>
    <row r="573" customFormat="false" ht="15" hidden="false" customHeight="false" outlineLevel="0" collapsed="false">
      <c r="A573" s="11" t="str">
        <f aca="false">Apontamentos!C573</f>
        <v/>
      </c>
      <c r="B573" s="11" t="str">
        <f aca="false">IF(Apontamentos!$C573="","",Apontamentos!D573&amp;"")</f>
        <v/>
      </c>
      <c r="C573" s="11" t="str">
        <f aca="false">IF(Apontamentos!$C573="","",Apontamentos!E573&amp;"")</f>
        <v/>
      </c>
      <c r="D573" s="10" t="str">
        <f aca="false">IF(Apontamentos!$C573="","",Apontamentos!F573&amp;"")</f>
        <v/>
      </c>
      <c r="E573" s="10" t="str">
        <f aca="false">IF(Apontamentos!$C573="","",Apontamentos!G573&amp;"")</f>
        <v/>
      </c>
      <c r="F573" s="14"/>
      <c r="G573" s="14"/>
      <c r="H573" s="14"/>
      <c r="I573" s="14"/>
      <c r="J573" s="13"/>
      <c r="K573" s="13"/>
    </row>
    <row r="574" customFormat="false" ht="15" hidden="false" customHeight="false" outlineLevel="0" collapsed="false">
      <c r="A574" s="11" t="str">
        <f aca="false">Apontamentos!C574</f>
        <v/>
      </c>
      <c r="B574" s="11" t="str">
        <f aca="false">IF(Apontamentos!$C574="","",Apontamentos!D574&amp;"")</f>
        <v/>
      </c>
      <c r="C574" s="11" t="str">
        <f aca="false">IF(Apontamentos!$C574="","",Apontamentos!E574&amp;"")</f>
        <v/>
      </c>
      <c r="D574" s="10" t="str">
        <f aca="false">IF(Apontamentos!$C574="","",Apontamentos!F574&amp;"")</f>
        <v/>
      </c>
      <c r="E574" s="10" t="str">
        <f aca="false">IF(Apontamentos!$C574="","",Apontamentos!G574&amp;"")</f>
        <v/>
      </c>
      <c r="F574" s="14"/>
      <c r="G574" s="14"/>
      <c r="H574" s="14"/>
      <c r="I574" s="14"/>
      <c r="J574" s="13"/>
      <c r="K574" s="13"/>
    </row>
    <row r="575" customFormat="false" ht="15" hidden="false" customHeight="false" outlineLevel="0" collapsed="false">
      <c r="A575" s="11" t="str">
        <f aca="false">Apontamentos!C575</f>
        <v/>
      </c>
      <c r="B575" s="11" t="str">
        <f aca="false">IF(Apontamentos!$C575="","",Apontamentos!D575&amp;"")</f>
        <v/>
      </c>
      <c r="C575" s="11" t="str">
        <f aca="false">IF(Apontamentos!$C575="","",Apontamentos!E575&amp;"")</f>
        <v/>
      </c>
      <c r="D575" s="10" t="str">
        <f aca="false">IF(Apontamentos!$C575="","",Apontamentos!F575&amp;"")</f>
        <v/>
      </c>
      <c r="E575" s="10" t="str">
        <f aca="false">IF(Apontamentos!$C575="","",Apontamentos!G575&amp;"")</f>
        <v/>
      </c>
      <c r="F575" s="14"/>
      <c r="G575" s="14"/>
      <c r="H575" s="14"/>
      <c r="I575" s="14"/>
      <c r="J575" s="13"/>
      <c r="K575" s="13"/>
    </row>
    <row r="576" customFormat="false" ht="15" hidden="false" customHeight="false" outlineLevel="0" collapsed="false">
      <c r="A576" s="11" t="str">
        <f aca="false">Apontamentos!C576</f>
        <v/>
      </c>
      <c r="B576" s="11" t="str">
        <f aca="false">IF(Apontamentos!$C576="","",Apontamentos!D576&amp;"")</f>
        <v/>
      </c>
      <c r="C576" s="11" t="str">
        <f aca="false">IF(Apontamentos!$C576="","",Apontamentos!E576&amp;"")</f>
        <v/>
      </c>
      <c r="D576" s="10" t="str">
        <f aca="false">IF(Apontamentos!$C576="","",Apontamentos!F576&amp;"")</f>
        <v/>
      </c>
      <c r="E576" s="10" t="str">
        <f aca="false">IF(Apontamentos!$C576="","",Apontamentos!G576&amp;"")</f>
        <v/>
      </c>
      <c r="F576" s="14"/>
      <c r="G576" s="14"/>
      <c r="H576" s="14"/>
      <c r="I576" s="14"/>
      <c r="J576" s="13"/>
      <c r="K576" s="13"/>
    </row>
    <row r="577" customFormat="false" ht="15" hidden="false" customHeight="false" outlineLevel="0" collapsed="false">
      <c r="A577" s="11" t="str">
        <f aca="false">Apontamentos!C577</f>
        <v/>
      </c>
      <c r="B577" s="11" t="str">
        <f aca="false">IF(Apontamentos!$C577="","",Apontamentos!D577&amp;"")</f>
        <v/>
      </c>
      <c r="C577" s="11" t="str">
        <f aca="false">IF(Apontamentos!$C577="","",Apontamentos!E577&amp;"")</f>
        <v/>
      </c>
      <c r="D577" s="10" t="str">
        <f aca="false">IF(Apontamentos!$C577="","",Apontamentos!F577&amp;"")</f>
        <v/>
      </c>
      <c r="E577" s="10" t="str">
        <f aca="false">IF(Apontamentos!$C577="","",Apontamentos!G577&amp;"")</f>
        <v/>
      </c>
      <c r="F577" s="14"/>
      <c r="G577" s="14"/>
      <c r="H577" s="14"/>
      <c r="I577" s="14"/>
      <c r="J577" s="13"/>
      <c r="K577" s="13"/>
    </row>
    <row r="578" customFormat="false" ht="15" hidden="false" customHeight="false" outlineLevel="0" collapsed="false">
      <c r="A578" s="11" t="str">
        <f aca="false">Apontamentos!C578</f>
        <v/>
      </c>
      <c r="B578" s="11" t="str">
        <f aca="false">IF(Apontamentos!$C578="","",Apontamentos!D578&amp;"")</f>
        <v/>
      </c>
      <c r="C578" s="11" t="str">
        <f aca="false">IF(Apontamentos!$C578="","",Apontamentos!E578&amp;"")</f>
        <v/>
      </c>
      <c r="D578" s="10" t="str">
        <f aca="false">IF(Apontamentos!$C578="","",Apontamentos!F578&amp;"")</f>
        <v/>
      </c>
      <c r="E578" s="10" t="str">
        <f aca="false">IF(Apontamentos!$C578="","",Apontamentos!G578&amp;"")</f>
        <v/>
      </c>
      <c r="F578" s="14"/>
      <c r="G578" s="14"/>
      <c r="H578" s="14"/>
      <c r="I578" s="14"/>
      <c r="J578" s="13"/>
      <c r="K578" s="13"/>
    </row>
    <row r="579" customFormat="false" ht="15" hidden="false" customHeight="false" outlineLevel="0" collapsed="false">
      <c r="A579" s="11" t="str">
        <f aca="false">Apontamentos!C579</f>
        <v/>
      </c>
      <c r="B579" s="11" t="str">
        <f aca="false">IF(Apontamentos!$C579="","",Apontamentos!D579&amp;"")</f>
        <v/>
      </c>
      <c r="C579" s="11" t="str">
        <f aca="false">IF(Apontamentos!$C579="","",Apontamentos!E579&amp;"")</f>
        <v/>
      </c>
      <c r="D579" s="10" t="str">
        <f aca="false">IF(Apontamentos!$C579="","",Apontamentos!F579&amp;"")</f>
        <v/>
      </c>
      <c r="E579" s="10" t="str">
        <f aca="false">IF(Apontamentos!$C579="","",Apontamentos!G579&amp;"")</f>
        <v/>
      </c>
      <c r="F579" s="14"/>
      <c r="G579" s="14"/>
      <c r="H579" s="14"/>
      <c r="I579" s="14"/>
      <c r="J579" s="13"/>
      <c r="K579" s="13"/>
    </row>
    <row r="580" customFormat="false" ht="15" hidden="false" customHeight="false" outlineLevel="0" collapsed="false">
      <c r="A580" s="11" t="str">
        <f aca="false">Apontamentos!C580</f>
        <v/>
      </c>
      <c r="B580" s="11" t="str">
        <f aca="false">IF(Apontamentos!$C580="","",Apontamentos!D580&amp;"")</f>
        <v/>
      </c>
      <c r="C580" s="11" t="str">
        <f aca="false">IF(Apontamentos!$C580="","",Apontamentos!E580&amp;"")</f>
        <v/>
      </c>
      <c r="D580" s="10" t="str">
        <f aca="false">IF(Apontamentos!$C580="","",Apontamentos!F580&amp;"")</f>
        <v/>
      </c>
      <c r="E580" s="10" t="str">
        <f aca="false">IF(Apontamentos!$C580="","",Apontamentos!G580&amp;"")</f>
        <v/>
      </c>
      <c r="F580" s="14"/>
      <c r="G580" s="14"/>
      <c r="H580" s="14"/>
      <c r="I580" s="14"/>
      <c r="J580" s="13"/>
      <c r="K580" s="13"/>
    </row>
    <row r="581" customFormat="false" ht="15" hidden="false" customHeight="false" outlineLevel="0" collapsed="false">
      <c r="A581" s="11" t="str">
        <f aca="false">Apontamentos!C581</f>
        <v/>
      </c>
      <c r="B581" s="11" t="str">
        <f aca="false">IF(Apontamentos!$C581="","",Apontamentos!D581&amp;"")</f>
        <v/>
      </c>
      <c r="C581" s="11" t="str">
        <f aca="false">IF(Apontamentos!$C581="","",Apontamentos!E581&amp;"")</f>
        <v/>
      </c>
      <c r="D581" s="10" t="str">
        <f aca="false">IF(Apontamentos!$C581="","",Apontamentos!F581&amp;"")</f>
        <v/>
      </c>
      <c r="E581" s="10" t="str">
        <f aca="false">IF(Apontamentos!$C581="","",Apontamentos!G581&amp;"")</f>
        <v/>
      </c>
      <c r="F581" s="14"/>
      <c r="G581" s="14"/>
      <c r="H581" s="14"/>
      <c r="I581" s="14"/>
      <c r="J581" s="13"/>
      <c r="K581" s="13"/>
    </row>
    <row r="582" customFormat="false" ht="15" hidden="false" customHeight="false" outlineLevel="0" collapsed="false">
      <c r="A582" s="11" t="str">
        <f aca="false">Apontamentos!C582</f>
        <v/>
      </c>
      <c r="B582" s="11" t="str">
        <f aca="false">IF(Apontamentos!$C582="","",Apontamentos!D582&amp;"")</f>
        <v/>
      </c>
      <c r="C582" s="11" t="str">
        <f aca="false">IF(Apontamentos!$C582="","",Apontamentos!E582&amp;"")</f>
        <v/>
      </c>
      <c r="D582" s="10" t="str">
        <f aca="false">IF(Apontamentos!$C582="","",Apontamentos!F582&amp;"")</f>
        <v/>
      </c>
      <c r="E582" s="10" t="str">
        <f aca="false">IF(Apontamentos!$C582="","",Apontamentos!G582&amp;"")</f>
        <v/>
      </c>
      <c r="F582" s="14"/>
      <c r="G582" s="14"/>
      <c r="H582" s="14"/>
      <c r="I582" s="14"/>
      <c r="J582" s="13"/>
      <c r="K582" s="13"/>
    </row>
    <row r="583" customFormat="false" ht="15" hidden="false" customHeight="false" outlineLevel="0" collapsed="false">
      <c r="A583" s="11" t="str">
        <f aca="false">Apontamentos!C583</f>
        <v/>
      </c>
      <c r="B583" s="11" t="str">
        <f aca="false">IF(Apontamentos!$C583="","",Apontamentos!D583&amp;"")</f>
        <v/>
      </c>
      <c r="C583" s="11" t="str">
        <f aca="false">IF(Apontamentos!$C583="","",Apontamentos!E583&amp;"")</f>
        <v/>
      </c>
      <c r="D583" s="10" t="str">
        <f aca="false">IF(Apontamentos!$C583="","",Apontamentos!F583&amp;"")</f>
        <v/>
      </c>
      <c r="E583" s="10" t="str">
        <f aca="false">IF(Apontamentos!$C583="","",Apontamentos!G583&amp;"")</f>
        <v/>
      </c>
      <c r="F583" s="14"/>
      <c r="G583" s="14"/>
      <c r="H583" s="14"/>
      <c r="I583" s="14"/>
      <c r="J583" s="13"/>
      <c r="K583" s="13"/>
    </row>
    <row r="584" customFormat="false" ht="15" hidden="false" customHeight="false" outlineLevel="0" collapsed="false">
      <c r="A584" s="11" t="str">
        <f aca="false">Apontamentos!C584</f>
        <v/>
      </c>
      <c r="B584" s="11" t="str">
        <f aca="false">IF(Apontamentos!$C584="","",Apontamentos!D584&amp;"")</f>
        <v/>
      </c>
      <c r="C584" s="11" t="str">
        <f aca="false">IF(Apontamentos!$C584="","",Apontamentos!E584&amp;"")</f>
        <v/>
      </c>
      <c r="D584" s="10" t="str">
        <f aca="false">IF(Apontamentos!$C584="","",Apontamentos!F584&amp;"")</f>
        <v/>
      </c>
      <c r="E584" s="10" t="str">
        <f aca="false">IF(Apontamentos!$C584="","",Apontamentos!G584&amp;"")</f>
        <v/>
      </c>
      <c r="F584" s="14"/>
      <c r="G584" s="14"/>
      <c r="H584" s="14"/>
      <c r="I584" s="14"/>
      <c r="J584" s="13"/>
      <c r="K584" s="13"/>
    </row>
    <row r="585" customFormat="false" ht="15" hidden="false" customHeight="false" outlineLevel="0" collapsed="false">
      <c r="A585" s="11" t="str">
        <f aca="false">Apontamentos!C585</f>
        <v/>
      </c>
      <c r="B585" s="11" t="str">
        <f aca="false">IF(Apontamentos!$C585="","",Apontamentos!D585&amp;"")</f>
        <v/>
      </c>
      <c r="C585" s="11" t="str">
        <f aca="false">IF(Apontamentos!$C585="","",Apontamentos!E585&amp;"")</f>
        <v/>
      </c>
      <c r="D585" s="10" t="str">
        <f aca="false">IF(Apontamentos!$C585="","",Apontamentos!F585&amp;"")</f>
        <v/>
      </c>
      <c r="E585" s="10" t="str">
        <f aca="false">IF(Apontamentos!$C585="","",Apontamentos!G585&amp;"")</f>
        <v/>
      </c>
      <c r="F585" s="14"/>
      <c r="G585" s="14"/>
      <c r="H585" s="14"/>
      <c r="I585" s="14"/>
      <c r="J585" s="13"/>
      <c r="K585" s="13"/>
    </row>
    <row r="586" customFormat="false" ht="15" hidden="false" customHeight="false" outlineLevel="0" collapsed="false">
      <c r="A586" s="11" t="str">
        <f aca="false">Apontamentos!C586</f>
        <v/>
      </c>
      <c r="B586" s="11" t="str">
        <f aca="false">IF(Apontamentos!$C586="","",Apontamentos!D586&amp;"")</f>
        <v/>
      </c>
      <c r="C586" s="11" t="str">
        <f aca="false">IF(Apontamentos!$C586="","",Apontamentos!E586&amp;"")</f>
        <v/>
      </c>
      <c r="D586" s="10" t="str">
        <f aca="false">IF(Apontamentos!$C586="","",Apontamentos!F586&amp;"")</f>
        <v/>
      </c>
      <c r="E586" s="10" t="str">
        <f aca="false">IF(Apontamentos!$C586="","",Apontamentos!G586&amp;"")</f>
        <v/>
      </c>
      <c r="F586" s="14"/>
      <c r="G586" s="14"/>
      <c r="H586" s="14"/>
      <c r="I586" s="14"/>
      <c r="J586" s="13"/>
      <c r="K586" s="13"/>
    </row>
    <row r="587" customFormat="false" ht="15" hidden="false" customHeight="false" outlineLevel="0" collapsed="false">
      <c r="A587" s="11" t="str">
        <f aca="false">Apontamentos!C587</f>
        <v/>
      </c>
      <c r="B587" s="11" t="str">
        <f aca="false">IF(Apontamentos!$C587="","",Apontamentos!D587&amp;"")</f>
        <v/>
      </c>
      <c r="C587" s="11" t="str">
        <f aca="false">IF(Apontamentos!$C587="","",Apontamentos!E587&amp;"")</f>
        <v/>
      </c>
      <c r="D587" s="10" t="str">
        <f aca="false">IF(Apontamentos!$C587="","",Apontamentos!F587&amp;"")</f>
        <v/>
      </c>
      <c r="E587" s="10" t="str">
        <f aca="false">IF(Apontamentos!$C587="","",Apontamentos!G587&amp;"")</f>
        <v/>
      </c>
      <c r="F587" s="14"/>
      <c r="G587" s="14"/>
      <c r="H587" s="14"/>
      <c r="I587" s="14"/>
      <c r="J587" s="13"/>
      <c r="K587" s="13"/>
    </row>
    <row r="588" customFormat="false" ht="15" hidden="false" customHeight="false" outlineLevel="0" collapsed="false">
      <c r="A588" s="11" t="str">
        <f aca="false">Apontamentos!C588</f>
        <v/>
      </c>
      <c r="B588" s="11" t="str">
        <f aca="false">IF(Apontamentos!$C588="","",Apontamentos!D588&amp;"")</f>
        <v/>
      </c>
      <c r="C588" s="11" t="str">
        <f aca="false">IF(Apontamentos!$C588="","",Apontamentos!E588&amp;"")</f>
        <v/>
      </c>
      <c r="D588" s="10" t="str">
        <f aca="false">IF(Apontamentos!$C588="","",Apontamentos!F588&amp;"")</f>
        <v/>
      </c>
      <c r="E588" s="10" t="str">
        <f aca="false">IF(Apontamentos!$C588="","",Apontamentos!G588&amp;"")</f>
        <v/>
      </c>
      <c r="F588" s="14"/>
      <c r="G588" s="14"/>
      <c r="H588" s="14"/>
      <c r="I588" s="14"/>
      <c r="J588" s="13"/>
      <c r="K588" s="13"/>
    </row>
    <row r="589" customFormat="false" ht="15" hidden="false" customHeight="false" outlineLevel="0" collapsed="false">
      <c r="A589" s="11" t="str">
        <f aca="false">Apontamentos!C589</f>
        <v/>
      </c>
      <c r="B589" s="11" t="str">
        <f aca="false">IF(Apontamentos!$C589="","",Apontamentos!D589&amp;"")</f>
        <v/>
      </c>
      <c r="C589" s="11" t="str">
        <f aca="false">IF(Apontamentos!$C589="","",Apontamentos!E589&amp;"")</f>
        <v/>
      </c>
      <c r="D589" s="10" t="str">
        <f aca="false">IF(Apontamentos!$C589="","",Apontamentos!F589&amp;"")</f>
        <v/>
      </c>
      <c r="E589" s="10" t="str">
        <f aca="false">IF(Apontamentos!$C589="","",Apontamentos!G589&amp;"")</f>
        <v/>
      </c>
      <c r="F589" s="14"/>
      <c r="G589" s="14"/>
      <c r="H589" s="14"/>
      <c r="I589" s="14"/>
      <c r="J589" s="13"/>
      <c r="K589" s="13"/>
    </row>
    <row r="590" customFormat="false" ht="15" hidden="false" customHeight="false" outlineLevel="0" collapsed="false">
      <c r="A590" s="11" t="str">
        <f aca="false">Apontamentos!C590</f>
        <v/>
      </c>
      <c r="B590" s="11" t="str">
        <f aca="false">IF(Apontamentos!$C590="","",Apontamentos!D590&amp;"")</f>
        <v/>
      </c>
      <c r="C590" s="11" t="str">
        <f aca="false">IF(Apontamentos!$C590="","",Apontamentos!E590&amp;"")</f>
        <v/>
      </c>
      <c r="D590" s="10" t="str">
        <f aca="false">IF(Apontamentos!$C590="","",Apontamentos!F590&amp;"")</f>
        <v/>
      </c>
      <c r="E590" s="10" t="str">
        <f aca="false">IF(Apontamentos!$C590="","",Apontamentos!G590&amp;"")</f>
        <v/>
      </c>
      <c r="F590" s="14"/>
      <c r="G590" s="14"/>
      <c r="H590" s="14"/>
      <c r="I590" s="14"/>
      <c r="J590" s="13"/>
      <c r="K590" s="13"/>
    </row>
    <row r="591" customFormat="false" ht="15" hidden="false" customHeight="false" outlineLevel="0" collapsed="false">
      <c r="A591" s="11" t="str">
        <f aca="false">Apontamentos!C591</f>
        <v/>
      </c>
      <c r="B591" s="11" t="str">
        <f aca="false">IF(Apontamentos!$C591="","",Apontamentos!D591&amp;"")</f>
        <v/>
      </c>
      <c r="C591" s="11" t="str">
        <f aca="false">IF(Apontamentos!$C591="","",Apontamentos!E591&amp;"")</f>
        <v/>
      </c>
      <c r="D591" s="10" t="str">
        <f aca="false">IF(Apontamentos!$C591="","",Apontamentos!F591&amp;"")</f>
        <v/>
      </c>
      <c r="E591" s="10" t="str">
        <f aca="false">IF(Apontamentos!$C591="","",Apontamentos!G591&amp;"")</f>
        <v/>
      </c>
      <c r="F591" s="14"/>
      <c r="G591" s="14"/>
      <c r="H591" s="14"/>
      <c r="I591" s="14"/>
      <c r="J591" s="13"/>
      <c r="K591" s="13"/>
    </row>
    <row r="592" customFormat="false" ht="15" hidden="false" customHeight="false" outlineLevel="0" collapsed="false">
      <c r="A592" s="11" t="str">
        <f aca="false">Apontamentos!C592</f>
        <v/>
      </c>
      <c r="B592" s="11" t="str">
        <f aca="false">IF(Apontamentos!$C592="","",Apontamentos!D592&amp;"")</f>
        <v/>
      </c>
      <c r="C592" s="11" t="str">
        <f aca="false">IF(Apontamentos!$C592="","",Apontamentos!E592&amp;"")</f>
        <v/>
      </c>
      <c r="D592" s="10" t="str">
        <f aca="false">IF(Apontamentos!$C592="","",Apontamentos!F592&amp;"")</f>
        <v/>
      </c>
      <c r="E592" s="10" t="str">
        <f aca="false">IF(Apontamentos!$C592="","",Apontamentos!G592&amp;"")</f>
        <v/>
      </c>
      <c r="F592" s="14"/>
      <c r="G592" s="14"/>
      <c r="H592" s="14"/>
      <c r="I592" s="14"/>
      <c r="J592" s="13"/>
      <c r="K592" s="13"/>
    </row>
    <row r="593" customFormat="false" ht="15" hidden="false" customHeight="false" outlineLevel="0" collapsed="false">
      <c r="A593" s="11" t="str">
        <f aca="false">Apontamentos!C593</f>
        <v/>
      </c>
      <c r="B593" s="11" t="str">
        <f aca="false">IF(Apontamentos!$C593="","",Apontamentos!D593&amp;"")</f>
        <v/>
      </c>
      <c r="C593" s="11" t="str">
        <f aca="false">IF(Apontamentos!$C593="","",Apontamentos!E593&amp;"")</f>
        <v/>
      </c>
      <c r="D593" s="10" t="str">
        <f aca="false">IF(Apontamentos!$C593="","",Apontamentos!F593&amp;"")</f>
        <v/>
      </c>
      <c r="E593" s="10" t="str">
        <f aca="false">IF(Apontamentos!$C593="","",Apontamentos!G593&amp;"")</f>
        <v/>
      </c>
      <c r="F593" s="14"/>
      <c r="G593" s="14"/>
      <c r="H593" s="14"/>
      <c r="I593" s="14"/>
      <c r="J593" s="13"/>
      <c r="K593" s="13"/>
    </row>
    <row r="594" customFormat="false" ht="15" hidden="false" customHeight="false" outlineLevel="0" collapsed="false">
      <c r="A594" s="11" t="str">
        <f aca="false">Apontamentos!C594</f>
        <v/>
      </c>
      <c r="B594" s="11" t="str">
        <f aca="false">IF(Apontamentos!$C594="","",Apontamentos!D594&amp;"")</f>
        <v/>
      </c>
      <c r="C594" s="11" t="str">
        <f aca="false">IF(Apontamentos!$C594="","",Apontamentos!E594&amp;"")</f>
        <v/>
      </c>
      <c r="D594" s="10" t="str">
        <f aca="false">IF(Apontamentos!$C594="","",Apontamentos!F594&amp;"")</f>
        <v/>
      </c>
      <c r="E594" s="10" t="str">
        <f aca="false">IF(Apontamentos!$C594="","",Apontamentos!G594&amp;"")</f>
        <v/>
      </c>
      <c r="F594" s="14"/>
      <c r="G594" s="14"/>
      <c r="H594" s="14"/>
      <c r="I594" s="14"/>
      <c r="J594" s="13"/>
      <c r="K594" s="13"/>
    </row>
    <row r="595" customFormat="false" ht="15" hidden="false" customHeight="false" outlineLevel="0" collapsed="false">
      <c r="A595" s="11" t="str">
        <f aca="false">Apontamentos!C595</f>
        <v/>
      </c>
      <c r="B595" s="11" t="str">
        <f aca="false">IF(Apontamentos!$C595="","",Apontamentos!D595&amp;"")</f>
        <v/>
      </c>
      <c r="C595" s="11" t="str">
        <f aca="false">IF(Apontamentos!$C595="","",Apontamentos!E595&amp;"")</f>
        <v/>
      </c>
      <c r="D595" s="10" t="str">
        <f aca="false">IF(Apontamentos!$C595="","",Apontamentos!F595&amp;"")</f>
        <v/>
      </c>
      <c r="E595" s="10" t="str">
        <f aca="false">IF(Apontamentos!$C595="","",Apontamentos!G595&amp;"")</f>
        <v/>
      </c>
      <c r="F595" s="14"/>
      <c r="G595" s="14"/>
      <c r="H595" s="14"/>
      <c r="I595" s="14"/>
      <c r="J595" s="13"/>
      <c r="K595" s="13"/>
    </row>
    <row r="596" customFormat="false" ht="15" hidden="false" customHeight="false" outlineLevel="0" collapsed="false">
      <c r="A596" s="11" t="str">
        <f aca="false">Apontamentos!C596</f>
        <v/>
      </c>
      <c r="B596" s="11" t="str">
        <f aca="false">IF(Apontamentos!$C596="","",Apontamentos!D596&amp;"")</f>
        <v/>
      </c>
      <c r="C596" s="11" t="str">
        <f aca="false">IF(Apontamentos!$C596="","",Apontamentos!E596&amp;"")</f>
        <v/>
      </c>
      <c r="D596" s="10" t="str">
        <f aca="false">IF(Apontamentos!$C596="","",Apontamentos!F596&amp;"")</f>
        <v/>
      </c>
      <c r="E596" s="10" t="str">
        <f aca="false">IF(Apontamentos!$C596="","",Apontamentos!G596&amp;"")</f>
        <v/>
      </c>
      <c r="F596" s="14"/>
      <c r="G596" s="14"/>
      <c r="H596" s="14"/>
      <c r="I596" s="14"/>
      <c r="J596" s="13"/>
      <c r="K596" s="13"/>
    </row>
    <row r="597" customFormat="false" ht="15" hidden="false" customHeight="false" outlineLevel="0" collapsed="false">
      <c r="A597" s="11" t="str">
        <f aca="false">Apontamentos!C597</f>
        <v/>
      </c>
      <c r="B597" s="11" t="str">
        <f aca="false">IF(Apontamentos!$C597="","",Apontamentos!D597&amp;"")</f>
        <v/>
      </c>
      <c r="C597" s="11" t="str">
        <f aca="false">IF(Apontamentos!$C597="","",Apontamentos!E597&amp;"")</f>
        <v/>
      </c>
      <c r="D597" s="10" t="str">
        <f aca="false">IF(Apontamentos!$C597="","",Apontamentos!F597&amp;"")</f>
        <v/>
      </c>
      <c r="E597" s="10" t="str">
        <f aca="false">IF(Apontamentos!$C597="","",Apontamentos!G597&amp;"")</f>
        <v/>
      </c>
      <c r="F597" s="14"/>
      <c r="G597" s="14"/>
      <c r="H597" s="14"/>
      <c r="I597" s="14"/>
      <c r="J597" s="13"/>
      <c r="K597" s="13"/>
    </row>
    <row r="598" customFormat="false" ht="15" hidden="false" customHeight="false" outlineLevel="0" collapsed="false">
      <c r="A598" s="11" t="str">
        <f aca="false">Apontamentos!C598</f>
        <v/>
      </c>
      <c r="B598" s="11" t="str">
        <f aca="false">IF(Apontamentos!$C598="","",Apontamentos!D598&amp;"")</f>
        <v/>
      </c>
      <c r="C598" s="11" t="str">
        <f aca="false">IF(Apontamentos!$C598="","",Apontamentos!E598&amp;"")</f>
        <v/>
      </c>
      <c r="D598" s="10" t="str">
        <f aca="false">IF(Apontamentos!$C598="","",Apontamentos!F598&amp;"")</f>
        <v/>
      </c>
      <c r="E598" s="10" t="str">
        <f aca="false">IF(Apontamentos!$C598="","",Apontamentos!G598&amp;"")</f>
        <v/>
      </c>
      <c r="F598" s="14"/>
      <c r="G598" s="14"/>
      <c r="H598" s="14"/>
      <c r="I598" s="14"/>
      <c r="J598" s="13"/>
      <c r="K598" s="13"/>
    </row>
    <row r="599" customFormat="false" ht="15" hidden="false" customHeight="false" outlineLevel="0" collapsed="false">
      <c r="A599" s="11" t="str">
        <f aca="false">Apontamentos!C599</f>
        <v/>
      </c>
      <c r="B599" s="11" t="str">
        <f aca="false">IF(Apontamentos!$C599="","",Apontamentos!D599&amp;"")</f>
        <v/>
      </c>
      <c r="C599" s="11" t="str">
        <f aca="false">IF(Apontamentos!$C599="","",Apontamentos!E599&amp;"")</f>
        <v/>
      </c>
      <c r="D599" s="10" t="str">
        <f aca="false">IF(Apontamentos!$C599="","",Apontamentos!F599&amp;"")</f>
        <v/>
      </c>
      <c r="E599" s="10" t="str">
        <f aca="false">IF(Apontamentos!$C599="","",Apontamentos!G599&amp;"")</f>
        <v/>
      </c>
      <c r="F599" s="14"/>
      <c r="G599" s="14"/>
      <c r="H599" s="14"/>
      <c r="I599" s="14"/>
      <c r="J599" s="13"/>
      <c r="K599" s="13"/>
    </row>
    <row r="600" customFormat="false" ht="15" hidden="false" customHeight="false" outlineLevel="0" collapsed="false">
      <c r="A600" s="11" t="str">
        <f aca="false">Apontamentos!C600</f>
        <v/>
      </c>
      <c r="B600" s="11" t="str">
        <f aca="false">IF(Apontamentos!$C600="","",Apontamentos!D600&amp;"")</f>
        <v/>
      </c>
      <c r="C600" s="11" t="str">
        <f aca="false">IF(Apontamentos!$C600="","",Apontamentos!E600&amp;"")</f>
        <v/>
      </c>
      <c r="D600" s="10" t="str">
        <f aca="false">IF(Apontamentos!$C600="","",Apontamentos!F600&amp;"")</f>
        <v/>
      </c>
      <c r="E600" s="10" t="str">
        <f aca="false">IF(Apontamentos!$C600="","",Apontamentos!G600&amp;"")</f>
        <v/>
      </c>
      <c r="F600" s="14"/>
      <c r="G600" s="14"/>
      <c r="H600" s="14"/>
      <c r="I600" s="14"/>
      <c r="J600" s="13"/>
      <c r="K600" s="13"/>
    </row>
    <row r="601" customFormat="false" ht="15" hidden="false" customHeight="false" outlineLevel="0" collapsed="false">
      <c r="A601" s="11" t="str">
        <f aca="false">Apontamentos!C601</f>
        <v/>
      </c>
      <c r="B601" s="11" t="str">
        <f aca="false">IF(Apontamentos!$C601="","",Apontamentos!D601&amp;"")</f>
        <v/>
      </c>
      <c r="C601" s="11" t="str">
        <f aca="false">IF(Apontamentos!$C601="","",Apontamentos!E601&amp;"")</f>
        <v/>
      </c>
      <c r="D601" s="10" t="str">
        <f aca="false">IF(Apontamentos!$C601="","",Apontamentos!F601&amp;"")</f>
        <v/>
      </c>
      <c r="E601" s="10" t="str">
        <f aca="false">IF(Apontamentos!$C601="","",Apontamentos!G601&amp;"")</f>
        <v/>
      </c>
      <c r="F601" s="14"/>
      <c r="G601" s="14"/>
      <c r="H601" s="14"/>
      <c r="I601" s="14"/>
      <c r="J601" s="13"/>
      <c r="K601" s="13"/>
    </row>
  </sheetData>
  <dataValidations count="3">
    <dataValidation allowBlank="true" error="Escolha um valor da lista." errorStyle="stop" operator="between" showDropDown="false" showErrorMessage="true" showInputMessage="false" sqref="F2:F601" type="list">
      <formula1>Listas!$A$2:$A$14</formula1>
      <formula2>0</formula2>
    </dataValidation>
    <dataValidation allowBlank="true" error="Escolha um valor da lista." errorStyle="stop" operator="between" showDropDown="false" showErrorMessage="true" showInputMessage="false" sqref="G2:I601" type="list">
      <formula1>Listas!$B$2:$B$3</formula1>
      <formula2>0</formula2>
    </dataValidation>
    <dataValidation allowBlank="true" errorStyle="stop" operator="between" showDropDown="false" showErrorMessage="false" showInputMessage="false" sqref="J2:J601" type="list">
      <formula1>Listas!$C$2:$C$13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52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40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20"/>
  </cols>
  <sheetData>
    <row r="1" customFormat="false" ht="36" hidden="false" customHeight="true" outlineLevel="0" collapsed="false">
      <c r="A1" s="8" t="s">
        <v>267</v>
      </c>
      <c r="B1" s="8" t="s">
        <v>40</v>
      </c>
      <c r="C1" s="8" t="s">
        <v>274</v>
      </c>
      <c r="D1" s="8" t="s">
        <v>41</v>
      </c>
      <c r="E1" s="8" t="s">
        <v>44</v>
      </c>
      <c r="F1" s="8" t="s">
        <v>45</v>
      </c>
      <c r="G1" s="8" t="s">
        <v>271</v>
      </c>
      <c r="H1" s="9" t="s">
        <v>19</v>
      </c>
      <c r="I1" s="9" t="s">
        <v>21</v>
      </c>
      <c r="J1" s="9" t="s">
        <v>23</v>
      </c>
      <c r="K1" s="9" t="s">
        <v>25</v>
      </c>
      <c r="L1" s="9" t="s">
        <v>29</v>
      </c>
      <c r="M1" s="9" t="s">
        <v>27</v>
      </c>
      <c r="N1" s="8" t="s">
        <v>275</v>
      </c>
      <c r="O1" s="9" t="s">
        <v>276</v>
      </c>
      <c r="P1" s="8" t="s">
        <v>277</v>
      </c>
    </row>
    <row r="2" customFormat="false" ht="15" hidden="false" customHeight="false" outlineLevel="0" collapsed="false">
      <c r="A2" s="11" t="str">
        <f aca="false">Apontamentos!C2</f>
        <v/>
      </c>
      <c r="B2" s="11" t="str">
        <f aca="false">IF(Apontamentos!$C2="","",Apontamentos!A2&amp;"")</f>
        <v/>
      </c>
      <c r="C2" s="11" t="str">
        <f aca="false">IF(B2="","",IFERROR(INDEX(Execuções!$C$2:$C$97,MATCH(B2,Execuções!$A$2:$A$97,0)),"ID?"))</f>
        <v/>
      </c>
      <c r="D2" s="10" t="str">
        <f aca="false">IF(B2="","",IFERROR(INDEX(Execuções!$B$2:$B$97,MATCH(B2,Execuções!$A$2:$A$97,0)),"ID?"))</f>
        <v/>
      </c>
      <c r="E2" s="11" t="str">
        <f aca="false">IF(B2="","",Apontamentos!D2)</f>
        <v/>
      </c>
      <c r="F2" s="11" t="str">
        <f aca="false">IF(B2="","",Apontamentos!E2)</f>
        <v/>
      </c>
      <c r="G2" s="10" t="str">
        <f aca="false">IF(B2="","",Apontamentos!G2&amp;"")</f>
        <v/>
      </c>
      <c r="H2" s="14" t="str">
        <f aca="false">IF('Avaliador 1'!F2='Avaliador 2'!F2,'Avaliador 1'!F2&amp;"","")</f>
        <v/>
      </c>
      <c r="I2" s="14" t="str">
        <f aca="false">IF('Avaliador 1'!G2='Avaliador 2'!G2,'Avaliador 1'!G2&amp;"","")</f>
        <v/>
      </c>
      <c r="J2" s="14" t="str">
        <f aca="false">IF('Avaliador 1'!H2='Avaliador 2'!H2,'Avaliador 1'!H2&amp;"","")</f>
        <v/>
      </c>
      <c r="K2" s="14" t="str">
        <f aca="false">IF('Avaliador 1'!I2='Avaliador 2'!I2,'Avaliador 1'!I2&amp;"","")</f>
        <v/>
      </c>
      <c r="L2" s="13"/>
      <c r="M2" s="13" t="str">
        <f aca="false">IF('Avaliador 1'!J2='Avaliador 2'!J2,'Avaliador 1'!J2&amp;"","")</f>
        <v/>
      </c>
      <c r="N2" s="11" t="str">
        <f aca="false">IF(OR('Avaliador 1'!F2="",'Avaliador 2'!F2=""),"",IF(AND('Avaliador 1'!F2='Avaliador 2'!F2,'Avaliador 1'!G2='Avaliador 2'!G2,'Avaliador 1'!H2='Avaliador 2'!H2,'Avaliador 1'!I2='Avaliador 2'!I2),"Não","Sim"))</f>
        <v/>
      </c>
      <c r="O2" s="14"/>
      <c r="P2" s="10" t="str">
        <f aca="false">IF(LEN(H2)=3,"Defeito encontrado",IF(I2="Sim","Falso alarme",IF(H2="—","Nenhum defeito apontado","")))</f>
        <v/>
      </c>
    </row>
    <row r="3" customFormat="false" ht="15" hidden="false" customHeight="false" outlineLevel="0" collapsed="false">
      <c r="A3" s="11" t="str">
        <f aca="false">Apontamentos!C3</f>
        <v/>
      </c>
      <c r="B3" s="11" t="str">
        <f aca="false">IF(Apontamentos!$C3="","",Apontamentos!A3&amp;"")</f>
        <v/>
      </c>
      <c r="C3" s="11" t="str">
        <f aca="false">IF(B3="","",IFERROR(INDEX(Execuções!$C$2:$C$97,MATCH(B3,Execuções!$A$2:$A$97,0)),"ID?"))</f>
        <v/>
      </c>
      <c r="D3" s="10" t="str">
        <f aca="false">IF(B3="","",IFERROR(INDEX(Execuções!$B$2:$B$97,MATCH(B3,Execuções!$A$2:$A$97,0)),"ID?"))</f>
        <v/>
      </c>
      <c r="E3" s="11" t="str">
        <f aca="false">IF(B3="","",Apontamentos!D3)</f>
        <v/>
      </c>
      <c r="F3" s="11" t="str">
        <f aca="false">IF(B3="","",Apontamentos!E3)</f>
        <v/>
      </c>
      <c r="G3" s="10" t="str">
        <f aca="false">IF(B3="","",Apontamentos!G3&amp;"")</f>
        <v/>
      </c>
      <c r="H3" s="14" t="str">
        <f aca="false">IF('Avaliador 1'!F3='Avaliador 2'!F3,'Avaliador 1'!F3&amp;"","")</f>
        <v/>
      </c>
      <c r="I3" s="14" t="str">
        <f aca="false">IF('Avaliador 1'!G3='Avaliador 2'!G3,'Avaliador 1'!G3&amp;"","")</f>
        <v/>
      </c>
      <c r="J3" s="14" t="str">
        <f aca="false">IF('Avaliador 1'!H3='Avaliador 2'!H3,'Avaliador 1'!H3&amp;"","")</f>
        <v/>
      </c>
      <c r="K3" s="14" t="str">
        <f aca="false">IF('Avaliador 1'!I3='Avaliador 2'!I3,'Avaliador 1'!I3&amp;"","")</f>
        <v/>
      </c>
      <c r="L3" s="13"/>
      <c r="M3" s="13" t="str">
        <f aca="false">IF('Avaliador 1'!J3='Avaliador 2'!J3,'Avaliador 1'!J3&amp;"","")</f>
        <v/>
      </c>
      <c r="N3" s="11" t="str">
        <f aca="false">IF(OR('Avaliador 1'!F3="",'Avaliador 2'!F3=""),"",IF(AND('Avaliador 1'!F3='Avaliador 2'!F3,'Avaliador 1'!G3='Avaliador 2'!G3,'Avaliador 1'!H3='Avaliador 2'!H3,'Avaliador 1'!I3='Avaliador 2'!I3),"Não","Sim"))</f>
        <v/>
      </c>
      <c r="O3" s="14"/>
      <c r="P3" s="10" t="str">
        <f aca="false">IF(LEN(H3)=3,"Defeito encontrado",IF(I3="Sim","Falso alarme",IF(H3="—","Nenhum defeito apontado","")))</f>
        <v/>
      </c>
    </row>
    <row r="4" customFormat="false" ht="15" hidden="false" customHeight="false" outlineLevel="0" collapsed="false">
      <c r="A4" s="11" t="str">
        <f aca="false">Apontamentos!C4</f>
        <v/>
      </c>
      <c r="B4" s="11" t="str">
        <f aca="false">IF(Apontamentos!$C4="","",Apontamentos!A4&amp;"")</f>
        <v/>
      </c>
      <c r="C4" s="11" t="str">
        <f aca="false">IF(B4="","",IFERROR(INDEX(Execuções!$C$2:$C$97,MATCH(B4,Execuções!$A$2:$A$97,0)),"ID?"))</f>
        <v/>
      </c>
      <c r="D4" s="10" t="str">
        <f aca="false">IF(B4="","",IFERROR(INDEX(Execuções!$B$2:$B$97,MATCH(B4,Execuções!$A$2:$A$97,0)),"ID?"))</f>
        <v/>
      </c>
      <c r="E4" s="11" t="str">
        <f aca="false">IF(B4="","",Apontamentos!D4)</f>
        <v/>
      </c>
      <c r="F4" s="11" t="str">
        <f aca="false">IF(B4="","",Apontamentos!E4)</f>
        <v/>
      </c>
      <c r="G4" s="10" t="str">
        <f aca="false">IF(B4="","",Apontamentos!G4&amp;"")</f>
        <v/>
      </c>
      <c r="H4" s="14" t="str">
        <f aca="false">IF('Avaliador 1'!F4='Avaliador 2'!F4,'Avaliador 1'!F4&amp;"","")</f>
        <v/>
      </c>
      <c r="I4" s="14" t="str">
        <f aca="false">IF('Avaliador 1'!G4='Avaliador 2'!G4,'Avaliador 1'!G4&amp;"","")</f>
        <v/>
      </c>
      <c r="J4" s="14" t="str">
        <f aca="false">IF('Avaliador 1'!H4='Avaliador 2'!H4,'Avaliador 1'!H4&amp;"","")</f>
        <v/>
      </c>
      <c r="K4" s="14" t="str">
        <f aca="false">IF('Avaliador 1'!I4='Avaliador 2'!I4,'Avaliador 1'!I4&amp;"","")</f>
        <v/>
      </c>
      <c r="L4" s="13"/>
      <c r="M4" s="13" t="str">
        <f aca="false">IF('Avaliador 1'!J4='Avaliador 2'!J4,'Avaliador 1'!J4&amp;"","")</f>
        <v/>
      </c>
      <c r="N4" s="11" t="str">
        <f aca="false">IF(OR('Avaliador 1'!F4="",'Avaliador 2'!F4=""),"",IF(AND('Avaliador 1'!F4='Avaliador 2'!F4,'Avaliador 1'!G4='Avaliador 2'!G4,'Avaliador 1'!H4='Avaliador 2'!H4,'Avaliador 1'!I4='Avaliador 2'!I4),"Não","Sim"))</f>
        <v/>
      </c>
      <c r="O4" s="14"/>
      <c r="P4" s="10" t="str">
        <f aca="false">IF(LEN(H4)=3,"Defeito encontrado",IF(I4="Sim","Falso alarme",IF(H4="—","Nenhum defeito apontado","")))</f>
        <v/>
      </c>
    </row>
    <row r="5" customFormat="false" ht="15" hidden="false" customHeight="false" outlineLevel="0" collapsed="false">
      <c r="A5" s="11" t="str">
        <f aca="false">Apontamentos!C5</f>
        <v/>
      </c>
      <c r="B5" s="11" t="str">
        <f aca="false">IF(Apontamentos!$C5="","",Apontamentos!A5&amp;"")</f>
        <v/>
      </c>
      <c r="C5" s="11" t="str">
        <f aca="false">IF(B5="","",IFERROR(INDEX(Execuções!$C$2:$C$97,MATCH(B5,Execuções!$A$2:$A$97,0)),"ID?"))</f>
        <v/>
      </c>
      <c r="D5" s="10" t="str">
        <f aca="false">IF(B5="","",IFERROR(INDEX(Execuções!$B$2:$B$97,MATCH(B5,Execuções!$A$2:$A$97,0)),"ID?"))</f>
        <v/>
      </c>
      <c r="E5" s="11" t="str">
        <f aca="false">IF(B5="","",Apontamentos!D5)</f>
        <v/>
      </c>
      <c r="F5" s="11" t="str">
        <f aca="false">IF(B5="","",Apontamentos!E5)</f>
        <v/>
      </c>
      <c r="G5" s="10" t="str">
        <f aca="false">IF(B5="","",Apontamentos!G5&amp;"")</f>
        <v/>
      </c>
      <c r="H5" s="14" t="str">
        <f aca="false">IF('Avaliador 1'!F5='Avaliador 2'!F5,'Avaliador 1'!F5&amp;"","")</f>
        <v/>
      </c>
      <c r="I5" s="14" t="str">
        <f aca="false">IF('Avaliador 1'!G5='Avaliador 2'!G5,'Avaliador 1'!G5&amp;"","")</f>
        <v/>
      </c>
      <c r="J5" s="14" t="str">
        <f aca="false">IF('Avaliador 1'!H5='Avaliador 2'!H5,'Avaliador 1'!H5&amp;"","")</f>
        <v/>
      </c>
      <c r="K5" s="14" t="str">
        <f aca="false">IF('Avaliador 1'!I5='Avaliador 2'!I5,'Avaliador 1'!I5&amp;"","")</f>
        <v/>
      </c>
      <c r="L5" s="13"/>
      <c r="M5" s="13" t="str">
        <f aca="false">IF('Avaliador 1'!J5='Avaliador 2'!J5,'Avaliador 1'!J5&amp;"","")</f>
        <v/>
      </c>
      <c r="N5" s="11" t="str">
        <f aca="false">IF(OR('Avaliador 1'!F5="",'Avaliador 2'!F5=""),"",IF(AND('Avaliador 1'!F5='Avaliador 2'!F5,'Avaliador 1'!G5='Avaliador 2'!G5,'Avaliador 1'!H5='Avaliador 2'!H5,'Avaliador 1'!I5='Avaliador 2'!I5),"Não","Sim"))</f>
        <v/>
      </c>
      <c r="O5" s="14"/>
      <c r="P5" s="10" t="str">
        <f aca="false">IF(LEN(H5)=3,"Defeito encontrado",IF(I5="Sim","Falso alarme",IF(H5="—","Nenhum defeito apontado","")))</f>
        <v/>
      </c>
    </row>
    <row r="6" customFormat="false" ht="15" hidden="false" customHeight="false" outlineLevel="0" collapsed="false">
      <c r="A6" s="11" t="str">
        <f aca="false">Apontamentos!C6</f>
        <v/>
      </c>
      <c r="B6" s="11" t="str">
        <f aca="false">IF(Apontamentos!$C6="","",Apontamentos!A6&amp;"")</f>
        <v/>
      </c>
      <c r="C6" s="11" t="str">
        <f aca="false">IF(B6="","",IFERROR(INDEX(Execuções!$C$2:$C$97,MATCH(B6,Execuções!$A$2:$A$97,0)),"ID?"))</f>
        <v/>
      </c>
      <c r="D6" s="10" t="str">
        <f aca="false">IF(B6="","",IFERROR(INDEX(Execuções!$B$2:$B$97,MATCH(B6,Execuções!$A$2:$A$97,0)),"ID?"))</f>
        <v/>
      </c>
      <c r="E6" s="11" t="str">
        <f aca="false">IF(B6="","",Apontamentos!D6)</f>
        <v/>
      </c>
      <c r="F6" s="11" t="str">
        <f aca="false">IF(B6="","",Apontamentos!E6)</f>
        <v/>
      </c>
      <c r="G6" s="10" t="str">
        <f aca="false">IF(B6="","",Apontamentos!G6&amp;"")</f>
        <v/>
      </c>
      <c r="H6" s="14" t="str">
        <f aca="false">IF('Avaliador 1'!F6='Avaliador 2'!F6,'Avaliador 1'!F6&amp;"","")</f>
        <v/>
      </c>
      <c r="I6" s="14" t="str">
        <f aca="false">IF('Avaliador 1'!G6='Avaliador 2'!G6,'Avaliador 1'!G6&amp;"","")</f>
        <v/>
      </c>
      <c r="J6" s="14" t="str">
        <f aca="false">IF('Avaliador 1'!H6='Avaliador 2'!H6,'Avaliador 1'!H6&amp;"","")</f>
        <v/>
      </c>
      <c r="K6" s="14" t="str">
        <f aca="false">IF('Avaliador 1'!I6='Avaliador 2'!I6,'Avaliador 1'!I6&amp;"","")</f>
        <v/>
      </c>
      <c r="L6" s="13"/>
      <c r="M6" s="13" t="str">
        <f aca="false">IF('Avaliador 1'!J6='Avaliador 2'!J6,'Avaliador 1'!J6&amp;"","")</f>
        <v/>
      </c>
      <c r="N6" s="11" t="str">
        <f aca="false">IF(OR('Avaliador 1'!F6="",'Avaliador 2'!F6=""),"",IF(AND('Avaliador 1'!F6='Avaliador 2'!F6,'Avaliador 1'!G6='Avaliador 2'!G6,'Avaliador 1'!H6='Avaliador 2'!H6,'Avaliador 1'!I6='Avaliador 2'!I6),"Não","Sim"))</f>
        <v/>
      </c>
      <c r="O6" s="14"/>
      <c r="P6" s="10" t="str">
        <f aca="false">IF(LEN(H6)=3,"Defeito encontrado",IF(I6="Sim","Falso alarme",IF(H6="—","Nenhum defeito apontado","")))</f>
        <v/>
      </c>
    </row>
    <row r="7" customFormat="false" ht="15" hidden="false" customHeight="false" outlineLevel="0" collapsed="false">
      <c r="A7" s="11" t="str">
        <f aca="false">Apontamentos!C7</f>
        <v/>
      </c>
      <c r="B7" s="11" t="str">
        <f aca="false">IF(Apontamentos!$C7="","",Apontamentos!A7&amp;"")</f>
        <v/>
      </c>
      <c r="C7" s="11" t="str">
        <f aca="false">IF(B7="","",IFERROR(INDEX(Execuções!$C$2:$C$97,MATCH(B7,Execuções!$A$2:$A$97,0)),"ID?"))</f>
        <v/>
      </c>
      <c r="D7" s="10" t="str">
        <f aca="false">IF(B7="","",IFERROR(INDEX(Execuções!$B$2:$B$97,MATCH(B7,Execuções!$A$2:$A$97,0)),"ID?"))</f>
        <v/>
      </c>
      <c r="E7" s="11" t="str">
        <f aca="false">IF(B7="","",Apontamentos!D7)</f>
        <v/>
      </c>
      <c r="F7" s="11" t="str">
        <f aca="false">IF(B7="","",Apontamentos!E7)</f>
        <v/>
      </c>
      <c r="G7" s="10" t="str">
        <f aca="false">IF(B7="","",Apontamentos!G7&amp;"")</f>
        <v/>
      </c>
      <c r="H7" s="14" t="str">
        <f aca="false">IF('Avaliador 1'!F7='Avaliador 2'!F7,'Avaliador 1'!F7&amp;"","")</f>
        <v/>
      </c>
      <c r="I7" s="14" t="str">
        <f aca="false">IF('Avaliador 1'!G7='Avaliador 2'!G7,'Avaliador 1'!G7&amp;"","")</f>
        <v/>
      </c>
      <c r="J7" s="14" t="str">
        <f aca="false">IF('Avaliador 1'!H7='Avaliador 2'!H7,'Avaliador 1'!H7&amp;"","")</f>
        <v/>
      </c>
      <c r="K7" s="14" t="str">
        <f aca="false">IF('Avaliador 1'!I7='Avaliador 2'!I7,'Avaliador 1'!I7&amp;"","")</f>
        <v/>
      </c>
      <c r="L7" s="13"/>
      <c r="M7" s="13" t="str">
        <f aca="false">IF('Avaliador 1'!J7='Avaliador 2'!J7,'Avaliador 1'!J7&amp;"","")</f>
        <v/>
      </c>
      <c r="N7" s="11" t="str">
        <f aca="false">IF(OR('Avaliador 1'!F7="",'Avaliador 2'!F7=""),"",IF(AND('Avaliador 1'!F7='Avaliador 2'!F7,'Avaliador 1'!G7='Avaliador 2'!G7,'Avaliador 1'!H7='Avaliador 2'!H7,'Avaliador 1'!I7='Avaliador 2'!I7),"Não","Sim"))</f>
        <v/>
      </c>
      <c r="O7" s="14"/>
      <c r="P7" s="10" t="str">
        <f aca="false">IF(LEN(H7)=3,"Defeito encontrado",IF(I7="Sim","Falso alarme",IF(H7="—","Nenhum defeito apontado","")))</f>
        <v/>
      </c>
    </row>
    <row r="8" customFormat="false" ht="15" hidden="false" customHeight="false" outlineLevel="0" collapsed="false">
      <c r="A8" s="11" t="str">
        <f aca="false">Apontamentos!C8</f>
        <v/>
      </c>
      <c r="B8" s="11" t="str">
        <f aca="false">IF(Apontamentos!$C8="","",Apontamentos!A8&amp;"")</f>
        <v/>
      </c>
      <c r="C8" s="11" t="str">
        <f aca="false">IF(B8="","",IFERROR(INDEX(Execuções!$C$2:$C$97,MATCH(B8,Execuções!$A$2:$A$97,0)),"ID?"))</f>
        <v/>
      </c>
      <c r="D8" s="10" t="str">
        <f aca="false">IF(B8="","",IFERROR(INDEX(Execuções!$B$2:$B$97,MATCH(B8,Execuções!$A$2:$A$97,0)),"ID?"))</f>
        <v/>
      </c>
      <c r="E8" s="11" t="str">
        <f aca="false">IF(B8="","",Apontamentos!D8)</f>
        <v/>
      </c>
      <c r="F8" s="11" t="str">
        <f aca="false">IF(B8="","",Apontamentos!E8)</f>
        <v/>
      </c>
      <c r="G8" s="10" t="str">
        <f aca="false">IF(B8="","",Apontamentos!G8&amp;"")</f>
        <v/>
      </c>
      <c r="H8" s="14" t="str">
        <f aca="false">IF('Avaliador 1'!F8='Avaliador 2'!F8,'Avaliador 1'!F8&amp;"","")</f>
        <v/>
      </c>
      <c r="I8" s="14" t="str">
        <f aca="false">IF('Avaliador 1'!G8='Avaliador 2'!G8,'Avaliador 1'!G8&amp;"","")</f>
        <v/>
      </c>
      <c r="J8" s="14" t="str">
        <f aca="false">IF('Avaliador 1'!H8='Avaliador 2'!H8,'Avaliador 1'!H8&amp;"","")</f>
        <v/>
      </c>
      <c r="K8" s="14" t="str">
        <f aca="false">IF('Avaliador 1'!I8='Avaliador 2'!I8,'Avaliador 1'!I8&amp;"","")</f>
        <v/>
      </c>
      <c r="L8" s="13"/>
      <c r="M8" s="13" t="str">
        <f aca="false">IF('Avaliador 1'!J8='Avaliador 2'!J8,'Avaliador 1'!J8&amp;"","")</f>
        <v/>
      </c>
      <c r="N8" s="11" t="str">
        <f aca="false">IF(OR('Avaliador 1'!F8="",'Avaliador 2'!F8=""),"",IF(AND('Avaliador 1'!F8='Avaliador 2'!F8,'Avaliador 1'!G8='Avaliador 2'!G8,'Avaliador 1'!H8='Avaliador 2'!H8,'Avaliador 1'!I8='Avaliador 2'!I8),"Não","Sim"))</f>
        <v/>
      </c>
      <c r="O8" s="14"/>
      <c r="P8" s="10" t="str">
        <f aca="false">IF(LEN(H8)=3,"Defeito encontrado",IF(I8="Sim","Falso alarme",IF(H8="—","Nenhum defeito apontado","")))</f>
        <v/>
      </c>
    </row>
    <row r="9" customFormat="false" ht="15" hidden="false" customHeight="false" outlineLevel="0" collapsed="false">
      <c r="A9" s="11" t="str">
        <f aca="false">Apontamentos!C9</f>
        <v/>
      </c>
      <c r="B9" s="11" t="str">
        <f aca="false">IF(Apontamentos!$C9="","",Apontamentos!A9&amp;"")</f>
        <v/>
      </c>
      <c r="C9" s="11" t="str">
        <f aca="false">IF(B9="","",IFERROR(INDEX(Execuções!$C$2:$C$97,MATCH(B9,Execuções!$A$2:$A$97,0)),"ID?"))</f>
        <v/>
      </c>
      <c r="D9" s="10" t="str">
        <f aca="false">IF(B9="","",IFERROR(INDEX(Execuções!$B$2:$B$97,MATCH(B9,Execuções!$A$2:$A$97,0)),"ID?"))</f>
        <v/>
      </c>
      <c r="E9" s="11" t="str">
        <f aca="false">IF(B9="","",Apontamentos!D9)</f>
        <v/>
      </c>
      <c r="F9" s="11" t="str">
        <f aca="false">IF(B9="","",Apontamentos!E9)</f>
        <v/>
      </c>
      <c r="G9" s="10" t="str">
        <f aca="false">IF(B9="","",Apontamentos!G9&amp;"")</f>
        <v/>
      </c>
      <c r="H9" s="14" t="str">
        <f aca="false">IF('Avaliador 1'!F9='Avaliador 2'!F9,'Avaliador 1'!F9&amp;"","")</f>
        <v/>
      </c>
      <c r="I9" s="14" t="str">
        <f aca="false">IF('Avaliador 1'!G9='Avaliador 2'!G9,'Avaliador 1'!G9&amp;"","")</f>
        <v/>
      </c>
      <c r="J9" s="14" t="str">
        <f aca="false">IF('Avaliador 1'!H9='Avaliador 2'!H9,'Avaliador 1'!H9&amp;"","")</f>
        <v/>
      </c>
      <c r="K9" s="14" t="str">
        <f aca="false">IF('Avaliador 1'!I9='Avaliador 2'!I9,'Avaliador 1'!I9&amp;"","")</f>
        <v/>
      </c>
      <c r="L9" s="13"/>
      <c r="M9" s="13" t="str">
        <f aca="false">IF('Avaliador 1'!J9='Avaliador 2'!J9,'Avaliador 1'!J9&amp;"","")</f>
        <v/>
      </c>
      <c r="N9" s="11" t="str">
        <f aca="false">IF(OR('Avaliador 1'!F9="",'Avaliador 2'!F9=""),"",IF(AND('Avaliador 1'!F9='Avaliador 2'!F9,'Avaliador 1'!G9='Avaliador 2'!G9,'Avaliador 1'!H9='Avaliador 2'!H9,'Avaliador 1'!I9='Avaliador 2'!I9),"Não","Sim"))</f>
        <v/>
      </c>
      <c r="O9" s="14"/>
      <c r="P9" s="10" t="str">
        <f aca="false">IF(LEN(H9)=3,"Defeito encontrado",IF(I9="Sim","Falso alarme",IF(H9="—","Nenhum defeito apontado","")))</f>
        <v/>
      </c>
    </row>
    <row r="10" customFormat="false" ht="15" hidden="false" customHeight="false" outlineLevel="0" collapsed="false">
      <c r="A10" s="11" t="str">
        <f aca="false">Apontamentos!C10</f>
        <v/>
      </c>
      <c r="B10" s="11" t="str">
        <f aca="false">IF(Apontamentos!$C10="","",Apontamentos!A10&amp;"")</f>
        <v/>
      </c>
      <c r="C10" s="11" t="str">
        <f aca="false">IF(B10="","",IFERROR(INDEX(Execuções!$C$2:$C$97,MATCH(B10,Execuções!$A$2:$A$97,0)),"ID?"))</f>
        <v/>
      </c>
      <c r="D10" s="10" t="str">
        <f aca="false">IF(B10="","",IFERROR(INDEX(Execuções!$B$2:$B$97,MATCH(B10,Execuções!$A$2:$A$97,0)),"ID?"))</f>
        <v/>
      </c>
      <c r="E10" s="11" t="str">
        <f aca="false">IF(B10="","",Apontamentos!D10)</f>
        <v/>
      </c>
      <c r="F10" s="11" t="str">
        <f aca="false">IF(B10="","",Apontamentos!E10)</f>
        <v/>
      </c>
      <c r="G10" s="10" t="str">
        <f aca="false">IF(B10="","",Apontamentos!G10&amp;"")</f>
        <v/>
      </c>
      <c r="H10" s="14" t="str">
        <f aca="false">IF('Avaliador 1'!F10='Avaliador 2'!F10,'Avaliador 1'!F10&amp;"","")</f>
        <v/>
      </c>
      <c r="I10" s="14" t="str">
        <f aca="false">IF('Avaliador 1'!G10='Avaliador 2'!G10,'Avaliador 1'!G10&amp;"","")</f>
        <v/>
      </c>
      <c r="J10" s="14" t="str">
        <f aca="false">IF('Avaliador 1'!H10='Avaliador 2'!H10,'Avaliador 1'!H10&amp;"","")</f>
        <v/>
      </c>
      <c r="K10" s="14" t="str">
        <f aca="false">IF('Avaliador 1'!I10='Avaliador 2'!I10,'Avaliador 1'!I10&amp;"","")</f>
        <v/>
      </c>
      <c r="L10" s="13"/>
      <c r="M10" s="13" t="str">
        <f aca="false">IF('Avaliador 1'!J10='Avaliador 2'!J10,'Avaliador 1'!J10&amp;"","")</f>
        <v/>
      </c>
      <c r="N10" s="11" t="str">
        <f aca="false">IF(OR('Avaliador 1'!F10="",'Avaliador 2'!F10=""),"",IF(AND('Avaliador 1'!F10='Avaliador 2'!F10,'Avaliador 1'!G10='Avaliador 2'!G10,'Avaliador 1'!H10='Avaliador 2'!H10,'Avaliador 1'!I10='Avaliador 2'!I10),"Não","Sim"))</f>
        <v/>
      </c>
      <c r="O10" s="14"/>
      <c r="P10" s="10" t="str">
        <f aca="false">IF(LEN(H10)=3,"Defeito encontrado",IF(I10="Sim","Falso alarme",IF(H10="—","Nenhum defeito apontado","")))</f>
        <v/>
      </c>
    </row>
    <row r="11" customFormat="false" ht="15" hidden="false" customHeight="false" outlineLevel="0" collapsed="false">
      <c r="A11" s="11" t="str">
        <f aca="false">Apontamentos!C11</f>
        <v/>
      </c>
      <c r="B11" s="11" t="str">
        <f aca="false">IF(Apontamentos!$C11="","",Apontamentos!A11&amp;"")</f>
        <v/>
      </c>
      <c r="C11" s="11" t="str">
        <f aca="false">IF(B11="","",IFERROR(INDEX(Execuções!$C$2:$C$97,MATCH(B11,Execuções!$A$2:$A$97,0)),"ID?"))</f>
        <v/>
      </c>
      <c r="D11" s="10" t="str">
        <f aca="false">IF(B11="","",IFERROR(INDEX(Execuções!$B$2:$B$97,MATCH(B11,Execuções!$A$2:$A$97,0)),"ID?"))</f>
        <v/>
      </c>
      <c r="E11" s="11" t="str">
        <f aca="false">IF(B11="","",Apontamentos!D11)</f>
        <v/>
      </c>
      <c r="F11" s="11" t="str">
        <f aca="false">IF(B11="","",Apontamentos!E11)</f>
        <v/>
      </c>
      <c r="G11" s="10" t="str">
        <f aca="false">IF(B11="","",Apontamentos!G11&amp;"")</f>
        <v/>
      </c>
      <c r="H11" s="14" t="str">
        <f aca="false">IF('Avaliador 1'!F11='Avaliador 2'!F11,'Avaliador 1'!F11&amp;"","")</f>
        <v/>
      </c>
      <c r="I11" s="14" t="str">
        <f aca="false">IF('Avaliador 1'!G11='Avaliador 2'!G11,'Avaliador 1'!G11&amp;"","")</f>
        <v/>
      </c>
      <c r="J11" s="14" t="str">
        <f aca="false">IF('Avaliador 1'!H11='Avaliador 2'!H11,'Avaliador 1'!H11&amp;"","")</f>
        <v/>
      </c>
      <c r="K11" s="14" t="str">
        <f aca="false">IF('Avaliador 1'!I11='Avaliador 2'!I11,'Avaliador 1'!I11&amp;"","")</f>
        <v/>
      </c>
      <c r="L11" s="13"/>
      <c r="M11" s="13" t="str">
        <f aca="false">IF('Avaliador 1'!J11='Avaliador 2'!J11,'Avaliador 1'!J11&amp;"","")</f>
        <v/>
      </c>
      <c r="N11" s="11" t="str">
        <f aca="false">IF(OR('Avaliador 1'!F11="",'Avaliador 2'!F11=""),"",IF(AND('Avaliador 1'!F11='Avaliador 2'!F11,'Avaliador 1'!G11='Avaliador 2'!G11,'Avaliador 1'!H11='Avaliador 2'!H11,'Avaliador 1'!I11='Avaliador 2'!I11),"Não","Sim"))</f>
        <v/>
      </c>
      <c r="O11" s="14"/>
      <c r="P11" s="10" t="str">
        <f aca="false">IF(LEN(H11)=3,"Defeito encontrado",IF(I11="Sim","Falso alarme",IF(H11="—","Nenhum defeito apontado","")))</f>
        <v/>
      </c>
    </row>
    <row r="12" customFormat="false" ht="15" hidden="false" customHeight="false" outlineLevel="0" collapsed="false">
      <c r="A12" s="11" t="str">
        <f aca="false">Apontamentos!C12</f>
        <v/>
      </c>
      <c r="B12" s="11" t="str">
        <f aca="false">IF(Apontamentos!$C12="","",Apontamentos!A12&amp;"")</f>
        <v/>
      </c>
      <c r="C12" s="11" t="str">
        <f aca="false">IF(B12="","",IFERROR(INDEX(Execuções!$C$2:$C$97,MATCH(B12,Execuções!$A$2:$A$97,0)),"ID?"))</f>
        <v/>
      </c>
      <c r="D12" s="10" t="str">
        <f aca="false">IF(B12="","",IFERROR(INDEX(Execuções!$B$2:$B$97,MATCH(B12,Execuções!$A$2:$A$97,0)),"ID?"))</f>
        <v/>
      </c>
      <c r="E12" s="11" t="str">
        <f aca="false">IF(B12="","",Apontamentos!D12)</f>
        <v/>
      </c>
      <c r="F12" s="11" t="str">
        <f aca="false">IF(B12="","",Apontamentos!E12)</f>
        <v/>
      </c>
      <c r="G12" s="10" t="str">
        <f aca="false">IF(B12="","",Apontamentos!G12&amp;"")</f>
        <v/>
      </c>
      <c r="H12" s="14" t="str">
        <f aca="false">IF('Avaliador 1'!F12='Avaliador 2'!F12,'Avaliador 1'!F12&amp;"","")</f>
        <v/>
      </c>
      <c r="I12" s="14" t="str">
        <f aca="false">IF('Avaliador 1'!G12='Avaliador 2'!G12,'Avaliador 1'!G12&amp;"","")</f>
        <v/>
      </c>
      <c r="J12" s="14" t="str">
        <f aca="false">IF('Avaliador 1'!H12='Avaliador 2'!H12,'Avaliador 1'!H12&amp;"","")</f>
        <v/>
      </c>
      <c r="K12" s="14" t="str">
        <f aca="false">IF('Avaliador 1'!I12='Avaliador 2'!I12,'Avaliador 1'!I12&amp;"","")</f>
        <v/>
      </c>
      <c r="L12" s="13"/>
      <c r="M12" s="13" t="str">
        <f aca="false">IF('Avaliador 1'!J12='Avaliador 2'!J12,'Avaliador 1'!J12&amp;"","")</f>
        <v/>
      </c>
      <c r="N12" s="11" t="str">
        <f aca="false">IF(OR('Avaliador 1'!F12="",'Avaliador 2'!F12=""),"",IF(AND('Avaliador 1'!F12='Avaliador 2'!F12,'Avaliador 1'!G12='Avaliador 2'!G12,'Avaliador 1'!H12='Avaliador 2'!H12,'Avaliador 1'!I12='Avaliador 2'!I12),"Não","Sim"))</f>
        <v/>
      </c>
      <c r="O12" s="14"/>
      <c r="P12" s="10" t="str">
        <f aca="false">IF(LEN(H12)=3,"Defeito encontrado",IF(I12="Sim","Falso alarme",IF(H12="—","Nenhum defeito apontado","")))</f>
        <v/>
      </c>
    </row>
    <row r="13" customFormat="false" ht="15" hidden="false" customHeight="false" outlineLevel="0" collapsed="false">
      <c r="A13" s="11" t="str">
        <f aca="false">Apontamentos!C13</f>
        <v/>
      </c>
      <c r="B13" s="11" t="str">
        <f aca="false">IF(Apontamentos!$C13="","",Apontamentos!A13&amp;"")</f>
        <v/>
      </c>
      <c r="C13" s="11" t="str">
        <f aca="false">IF(B13="","",IFERROR(INDEX(Execuções!$C$2:$C$97,MATCH(B13,Execuções!$A$2:$A$97,0)),"ID?"))</f>
        <v/>
      </c>
      <c r="D13" s="10" t="str">
        <f aca="false">IF(B13="","",IFERROR(INDEX(Execuções!$B$2:$B$97,MATCH(B13,Execuções!$A$2:$A$97,0)),"ID?"))</f>
        <v/>
      </c>
      <c r="E13" s="11" t="str">
        <f aca="false">IF(B13="","",Apontamentos!D13)</f>
        <v/>
      </c>
      <c r="F13" s="11" t="str">
        <f aca="false">IF(B13="","",Apontamentos!E13)</f>
        <v/>
      </c>
      <c r="G13" s="10" t="str">
        <f aca="false">IF(B13="","",Apontamentos!G13&amp;"")</f>
        <v/>
      </c>
      <c r="H13" s="14" t="str">
        <f aca="false">IF('Avaliador 1'!F13='Avaliador 2'!F13,'Avaliador 1'!F13&amp;"","")</f>
        <v/>
      </c>
      <c r="I13" s="14" t="str">
        <f aca="false">IF('Avaliador 1'!G13='Avaliador 2'!G13,'Avaliador 1'!G13&amp;"","")</f>
        <v/>
      </c>
      <c r="J13" s="14" t="str">
        <f aca="false">IF('Avaliador 1'!H13='Avaliador 2'!H13,'Avaliador 1'!H13&amp;"","")</f>
        <v/>
      </c>
      <c r="K13" s="14" t="str">
        <f aca="false">IF('Avaliador 1'!I13='Avaliador 2'!I13,'Avaliador 1'!I13&amp;"","")</f>
        <v/>
      </c>
      <c r="L13" s="13"/>
      <c r="M13" s="13" t="str">
        <f aca="false">IF('Avaliador 1'!J13='Avaliador 2'!J13,'Avaliador 1'!J13&amp;"","")</f>
        <v/>
      </c>
      <c r="N13" s="11" t="str">
        <f aca="false">IF(OR('Avaliador 1'!F13="",'Avaliador 2'!F13=""),"",IF(AND('Avaliador 1'!F13='Avaliador 2'!F13,'Avaliador 1'!G13='Avaliador 2'!G13,'Avaliador 1'!H13='Avaliador 2'!H13,'Avaliador 1'!I13='Avaliador 2'!I13),"Não","Sim"))</f>
        <v/>
      </c>
      <c r="O13" s="14"/>
      <c r="P13" s="10" t="str">
        <f aca="false">IF(LEN(H13)=3,"Defeito encontrado",IF(I13="Sim","Falso alarme",IF(H13="—","Nenhum defeito apontado","")))</f>
        <v/>
      </c>
    </row>
    <row r="14" customFormat="false" ht="15" hidden="false" customHeight="false" outlineLevel="0" collapsed="false">
      <c r="A14" s="11" t="str">
        <f aca="false">Apontamentos!C14</f>
        <v/>
      </c>
      <c r="B14" s="11" t="str">
        <f aca="false">IF(Apontamentos!$C14="","",Apontamentos!A14&amp;"")</f>
        <v/>
      </c>
      <c r="C14" s="11" t="str">
        <f aca="false">IF(B14="","",IFERROR(INDEX(Execuções!$C$2:$C$97,MATCH(B14,Execuções!$A$2:$A$97,0)),"ID?"))</f>
        <v/>
      </c>
      <c r="D14" s="10" t="str">
        <f aca="false">IF(B14="","",IFERROR(INDEX(Execuções!$B$2:$B$97,MATCH(B14,Execuções!$A$2:$A$97,0)),"ID?"))</f>
        <v/>
      </c>
      <c r="E14" s="11" t="str">
        <f aca="false">IF(B14="","",Apontamentos!D14)</f>
        <v/>
      </c>
      <c r="F14" s="11" t="str">
        <f aca="false">IF(B14="","",Apontamentos!E14)</f>
        <v/>
      </c>
      <c r="G14" s="10" t="str">
        <f aca="false">IF(B14="","",Apontamentos!G14&amp;"")</f>
        <v/>
      </c>
      <c r="H14" s="14" t="str">
        <f aca="false">IF('Avaliador 1'!F14='Avaliador 2'!F14,'Avaliador 1'!F14&amp;"","")</f>
        <v/>
      </c>
      <c r="I14" s="14" t="str">
        <f aca="false">IF('Avaliador 1'!G14='Avaliador 2'!G14,'Avaliador 1'!G14&amp;"","")</f>
        <v/>
      </c>
      <c r="J14" s="14" t="str">
        <f aca="false">IF('Avaliador 1'!H14='Avaliador 2'!H14,'Avaliador 1'!H14&amp;"","")</f>
        <v/>
      </c>
      <c r="K14" s="14" t="str">
        <f aca="false">IF('Avaliador 1'!I14='Avaliador 2'!I14,'Avaliador 1'!I14&amp;"","")</f>
        <v/>
      </c>
      <c r="L14" s="13"/>
      <c r="M14" s="13" t="str">
        <f aca="false">IF('Avaliador 1'!J14='Avaliador 2'!J14,'Avaliador 1'!J14&amp;"","")</f>
        <v/>
      </c>
      <c r="N14" s="11" t="str">
        <f aca="false">IF(OR('Avaliador 1'!F14="",'Avaliador 2'!F14=""),"",IF(AND('Avaliador 1'!F14='Avaliador 2'!F14,'Avaliador 1'!G14='Avaliador 2'!G14,'Avaliador 1'!H14='Avaliador 2'!H14,'Avaliador 1'!I14='Avaliador 2'!I14),"Não","Sim"))</f>
        <v/>
      </c>
      <c r="O14" s="14"/>
      <c r="P14" s="10" t="str">
        <f aca="false">IF(LEN(H14)=3,"Defeito encontrado",IF(I14="Sim","Falso alarme",IF(H14="—","Nenhum defeito apontado","")))</f>
        <v/>
      </c>
    </row>
    <row r="15" customFormat="false" ht="15" hidden="false" customHeight="false" outlineLevel="0" collapsed="false">
      <c r="A15" s="11" t="str">
        <f aca="false">Apontamentos!C15</f>
        <v/>
      </c>
      <c r="B15" s="11" t="str">
        <f aca="false">IF(Apontamentos!$C15="","",Apontamentos!A15&amp;"")</f>
        <v/>
      </c>
      <c r="C15" s="11" t="str">
        <f aca="false">IF(B15="","",IFERROR(INDEX(Execuções!$C$2:$C$97,MATCH(B15,Execuções!$A$2:$A$97,0)),"ID?"))</f>
        <v/>
      </c>
      <c r="D15" s="10" t="str">
        <f aca="false">IF(B15="","",IFERROR(INDEX(Execuções!$B$2:$B$97,MATCH(B15,Execuções!$A$2:$A$97,0)),"ID?"))</f>
        <v/>
      </c>
      <c r="E15" s="11" t="str">
        <f aca="false">IF(B15="","",Apontamentos!D15)</f>
        <v/>
      </c>
      <c r="F15" s="11" t="str">
        <f aca="false">IF(B15="","",Apontamentos!E15)</f>
        <v/>
      </c>
      <c r="G15" s="10" t="str">
        <f aca="false">IF(B15="","",Apontamentos!G15&amp;"")</f>
        <v/>
      </c>
      <c r="H15" s="14" t="str">
        <f aca="false">IF('Avaliador 1'!F15='Avaliador 2'!F15,'Avaliador 1'!F15&amp;"","")</f>
        <v/>
      </c>
      <c r="I15" s="14" t="str">
        <f aca="false">IF('Avaliador 1'!G15='Avaliador 2'!G15,'Avaliador 1'!G15&amp;"","")</f>
        <v/>
      </c>
      <c r="J15" s="14" t="str">
        <f aca="false">IF('Avaliador 1'!H15='Avaliador 2'!H15,'Avaliador 1'!H15&amp;"","")</f>
        <v/>
      </c>
      <c r="K15" s="14" t="str">
        <f aca="false">IF('Avaliador 1'!I15='Avaliador 2'!I15,'Avaliador 1'!I15&amp;"","")</f>
        <v/>
      </c>
      <c r="L15" s="13"/>
      <c r="M15" s="13" t="str">
        <f aca="false">IF('Avaliador 1'!J15='Avaliador 2'!J15,'Avaliador 1'!J15&amp;"","")</f>
        <v/>
      </c>
      <c r="N15" s="11" t="str">
        <f aca="false">IF(OR('Avaliador 1'!F15="",'Avaliador 2'!F15=""),"",IF(AND('Avaliador 1'!F15='Avaliador 2'!F15,'Avaliador 1'!G15='Avaliador 2'!G15,'Avaliador 1'!H15='Avaliador 2'!H15,'Avaliador 1'!I15='Avaliador 2'!I15),"Não","Sim"))</f>
        <v/>
      </c>
      <c r="O15" s="14"/>
      <c r="P15" s="10" t="str">
        <f aca="false">IF(LEN(H15)=3,"Defeito encontrado",IF(I15="Sim","Falso alarme",IF(H15="—","Nenhum defeito apontado","")))</f>
        <v/>
      </c>
    </row>
    <row r="16" customFormat="false" ht="15" hidden="false" customHeight="false" outlineLevel="0" collapsed="false">
      <c r="A16" s="11" t="str">
        <f aca="false">Apontamentos!C16</f>
        <v/>
      </c>
      <c r="B16" s="11" t="str">
        <f aca="false">IF(Apontamentos!$C16="","",Apontamentos!A16&amp;"")</f>
        <v/>
      </c>
      <c r="C16" s="11" t="str">
        <f aca="false">IF(B16="","",IFERROR(INDEX(Execuções!$C$2:$C$97,MATCH(B16,Execuções!$A$2:$A$97,0)),"ID?"))</f>
        <v/>
      </c>
      <c r="D16" s="10" t="str">
        <f aca="false">IF(B16="","",IFERROR(INDEX(Execuções!$B$2:$B$97,MATCH(B16,Execuções!$A$2:$A$97,0)),"ID?"))</f>
        <v/>
      </c>
      <c r="E16" s="11" t="str">
        <f aca="false">IF(B16="","",Apontamentos!D16)</f>
        <v/>
      </c>
      <c r="F16" s="11" t="str">
        <f aca="false">IF(B16="","",Apontamentos!E16)</f>
        <v/>
      </c>
      <c r="G16" s="10" t="str">
        <f aca="false">IF(B16="","",Apontamentos!G16&amp;"")</f>
        <v/>
      </c>
      <c r="H16" s="14" t="str">
        <f aca="false">IF('Avaliador 1'!F16='Avaliador 2'!F16,'Avaliador 1'!F16&amp;"","")</f>
        <v/>
      </c>
      <c r="I16" s="14" t="str">
        <f aca="false">IF('Avaliador 1'!G16='Avaliador 2'!G16,'Avaliador 1'!G16&amp;"","")</f>
        <v/>
      </c>
      <c r="J16" s="14" t="str">
        <f aca="false">IF('Avaliador 1'!H16='Avaliador 2'!H16,'Avaliador 1'!H16&amp;"","")</f>
        <v/>
      </c>
      <c r="K16" s="14" t="str">
        <f aca="false">IF('Avaliador 1'!I16='Avaliador 2'!I16,'Avaliador 1'!I16&amp;"","")</f>
        <v/>
      </c>
      <c r="L16" s="13"/>
      <c r="M16" s="13" t="str">
        <f aca="false">IF('Avaliador 1'!J16='Avaliador 2'!J16,'Avaliador 1'!J16&amp;"","")</f>
        <v/>
      </c>
      <c r="N16" s="11" t="str">
        <f aca="false">IF(OR('Avaliador 1'!F16="",'Avaliador 2'!F16=""),"",IF(AND('Avaliador 1'!F16='Avaliador 2'!F16,'Avaliador 1'!G16='Avaliador 2'!G16,'Avaliador 1'!H16='Avaliador 2'!H16,'Avaliador 1'!I16='Avaliador 2'!I16),"Não","Sim"))</f>
        <v/>
      </c>
      <c r="O16" s="14"/>
      <c r="P16" s="10" t="str">
        <f aca="false">IF(LEN(H16)=3,"Defeito encontrado",IF(I16="Sim","Falso alarme",IF(H16="—","Nenhum defeito apontado","")))</f>
        <v/>
      </c>
    </row>
    <row r="17" customFormat="false" ht="15" hidden="false" customHeight="false" outlineLevel="0" collapsed="false">
      <c r="A17" s="11" t="str">
        <f aca="false">Apontamentos!C17</f>
        <v/>
      </c>
      <c r="B17" s="11" t="str">
        <f aca="false">IF(Apontamentos!$C17="","",Apontamentos!A17&amp;"")</f>
        <v/>
      </c>
      <c r="C17" s="11" t="str">
        <f aca="false">IF(B17="","",IFERROR(INDEX(Execuções!$C$2:$C$97,MATCH(B17,Execuções!$A$2:$A$97,0)),"ID?"))</f>
        <v/>
      </c>
      <c r="D17" s="10" t="str">
        <f aca="false">IF(B17="","",IFERROR(INDEX(Execuções!$B$2:$B$97,MATCH(B17,Execuções!$A$2:$A$97,0)),"ID?"))</f>
        <v/>
      </c>
      <c r="E17" s="11" t="str">
        <f aca="false">IF(B17="","",Apontamentos!D17)</f>
        <v/>
      </c>
      <c r="F17" s="11" t="str">
        <f aca="false">IF(B17="","",Apontamentos!E17)</f>
        <v/>
      </c>
      <c r="G17" s="10" t="str">
        <f aca="false">IF(B17="","",Apontamentos!G17&amp;"")</f>
        <v/>
      </c>
      <c r="H17" s="14" t="str">
        <f aca="false">IF('Avaliador 1'!F17='Avaliador 2'!F17,'Avaliador 1'!F17&amp;"","")</f>
        <v/>
      </c>
      <c r="I17" s="14" t="str">
        <f aca="false">IF('Avaliador 1'!G17='Avaliador 2'!G17,'Avaliador 1'!G17&amp;"","")</f>
        <v/>
      </c>
      <c r="J17" s="14" t="str">
        <f aca="false">IF('Avaliador 1'!H17='Avaliador 2'!H17,'Avaliador 1'!H17&amp;"","")</f>
        <v/>
      </c>
      <c r="K17" s="14" t="str">
        <f aca="false">IF('Avaliador 1'!I17='Avaliador 2'!I17,'Avaliador 1'!I17&amp;"","")</f>
        <v/>
      </c>
      <c r="L17" s="13"/>
      <c r="M17" s="13" t="str">
        <f aca="false">IF('Avaliador 1'!J17='Avaliador 2'!J17,'Avaliador 1'!J17&amp;"","")</f>
        <v/>
      </c>
      <c r="N17" s="11" t="str">
        <f aca="false">IF(OR('Avaliador 1'!F17="",'Avaliador 2'!F17=""),"",IF(AND('Avaliador 1'!F17='Avaliador 2'!F17,'Avaliador 1'!G17='Avaliador 2'!G17,'Avaliador 1'!H17='Avaliador 2'!H17,'Avaliador 1'!I17='Avaliador 2'!I17),"Não","Sim"))</f>
        <v/>
      </c>
      <c r="O17" s="14"/>
      <c r="P17" s="10" t="str">
        <f aca="false">IF(LEN(H17)=3,"Defeito encontrado",IF(I17="Sim","Falso alarme",IF(H17="—","Nenhum defeito apontado","")))</f>
        <v/>
      </c>
    </row>
    <row r="18" customFormat="false" ht="15" hidden="false" customHeight="false" outlineLevel="0" collapsed="false">
      <c r="A18" s="11" t="str">
        <f aca="false">Apontamentos!C18</f>
        <v/>
      </c>
      <c r="B18" s="11" t="str">
        <f aca="false">IF(Apontamentos!$C18="","",Apontamentos!A18&amp;"")</f>
        <v/>
      </c>
      <c r="C18" s="11" t="str">
        <f aca="false">IF(B18="","",IFERROR(INDEX(Execuções!$C$2:$C$97,MATCH(B18,Execuções!$A$2:$A$97,0)),"ID?"))</f>
        <v/>
      </c>
      <c r="D18" s="10" t="str">
        <f aca="false">IF(B18="","",IFERROR(INDEX(Execuções!$B$2:$B$97,MATCH(B18,Execuções!$A$2:$A$97,0)),"ID?"))</f>
        <v/>
      </c>
      <c r="E18" s="11" t="str">
        <f aca="false">IF(B18="","",Apontamentos!D18)</f>
        <v/>
      </c>
      <c r="F18" s="11" t="str">
        <f aca="false">IF(B18="","",Apontamentos!E18)</f>
        <v/>
      </c>
      <c r="G18" s="10" t="str">
        <f aca="false">IF(B18="","",Apontamentos!G18&amp;"")</f>
        <v/>
      </c>
      <c r="H18" s="14" t="str">
        <f aca="false">IF('Avaliador 1'!F18='Avaliador 2'!F18,'Avaliador 1'!F18&amp;"","")</f>
        <v/>
      </c>
      <c r="I18" s="14" t="str">
        <f aca="false">IF('Avaliador 1'!G18='Avaliador 2'!G18,'Avaliador 1'!G18&amp;"","")</f>
        <v/>
      </c>
      <c r="J18" s="14" t="str">
        <f aca="false">IF('Avaliador 1'!H18='Avaliador 2'!H18,'Avaliador 1'!H18&amp;"","")</f>
        <v/>
      </c>
      <c r="K18" s="14" t="str">
        <f aca="false">IF('Avaliador 1'!I18='Avaliador 2'!I18,'Avaliador 1'!I18&amp;"","")</f>
        <v/>
      </c>
      <c r="L18" s="13"/>
      <c r="M18" s="13" t="str">
        <f aca="false">IF('Avaliador 1'!J18='Avaliador 2'!J18,'Avaliador 1'!J18&amp;"","")</f>
        <v/>
      </c>
      <c r="N18" s="11" t="str">
        <f aca="false">IF(OR('Avaliador 1'!F18="",'Avaliador 2'!F18=""),"",IF(AND('Avaliador 1'!F18='Avaliador 2'!F18,'Avaliador 1'!G18='Avaliador 2'!G18,'Avaliador 1'!H18='Avaliador 2'!H18,'Avaliador 1'!I18='Avaliador 2'!I18),"Não","Sim"))</f>
        <v/>
      </c>
      <c r="O18" s="14"/>
      <c r="P18" s="10" t="str">
        <f aca="false">IF(LEN(H18)=3,"Defeito encontrado",IF(I18="Sim","Falso alarme",IF(H18="—","Nenhum defeito apontado","")))</f>
        <v/>
      </c>
    </row>
    <row r="19" customFormat="false" ht="15" hidden="false" customHeight="false" outlineLevel="0" collapsed="false">
      <c r="A19" s="11" t="str">
        <f aca="false">Apontamentos!C19</f>
        <v/>
      </c>
      <c r="B19" s="11" t="str">
        <f aca="false">IF(Apontamentos!$C19="","",Apontamentos!A19&amp;"")</f>
        <v/>
      </c>
      <c r="C19" s="11" t="str">
        <f aca="false">IF(B19="","",IFERROR(INDEX(Execuções!$C$2:$C$97,MATCH(B19,Execuções!$A$2:$A$97,0)),"ID?"))</f>
        <v/>
      </c>
      <c r="D19" s="10" t="str">
        <f aca="false">IF(B19="","",IFERROR(INDEX(Execuções!$B$2:$B$97,MATCH(B19,Execuções!$A$2:$A$97,0)),"ID?"))</f>
        <v/>
      </c>
      <c r="E19" s="11" t="str">
        <f aca="false">IF(B19="","",Apontamentos!D19)</f>
        <v/>
      </c>
      <c r="F19" s="11" t="str">
        <f aca="false">IF(B19="","",Apontamentos!E19)</f>
        <v/>
      </c>
      <c r="G19" s="10" t="str">
        <f aca="false">IF(B19="","",Apontamentos!G19&amp;"")</f>
        <v/>
      </c>
      <c r="H19" s="14" t="str">
        <f aca="false">IF('Avaliador 1'!F19='Avaliador 2'!F19,'Avaliador 1'!F19&amp;"","")</f>
        <v/>
      </c>
      <c r="I19" s="14" t="str">
        <f aca="false">IF('Avaliador 1'!G19='Avaliador 2'!G19,'Avaliador 1'!G19&amp;"","")</f>
        <v/>
      </c>
      <c r="J19" s="14" t="str">
        <f aca="false">IF('Avaliador 1'!H19='Avaliador 2'!H19,'Avaliador 1'!H19&amp;"","")</f>
        <v/>
      </c>
      <c r="K19" s="14" t="str">
        <f aca="false">IF('Avaliador 1'!I19='Avaliador 2'!I19,'Avaliador 1'!I19&amp;"","")</f>
        <v/>
      </c>
      <c r="L19" s="13"/>
      <c r="M19" s="13" t="str">
        <f aca="false">IF('Avaliador 1'!J19='Avaliador 2'!J19,'Avaliador 1'!J19&amp;"","")</f>
        <v/>
      </c>
      <c r="N19" s="11" t="str">
        <f aca="false">IF(OR('Avaliador 1'!F19="",'Avaliador 2'!F19=""),"",IF(AND('Avaliador 1'!F19='Avaliador 2'!F19,'Avaliador 1'!G19='Avaliador 2'!G19,'Avaliador 1'!H19='Avaliador 2'!H19,'Avaliador 1'!I19='Avaliador 2'!I19),"Não","Sim"))</f>
        <v/>
      </c>
      <c r="O19" s="14"/>
      <c r="P19" s="10" t="str">
        <f aca="false">IF(LEN(H19)=3,"Defeito encontrado",IF(I19="Sim","Falso alarme",IF(H19="—","Nenhum defeito apontado","")))</f>
        <v/>
      </c>
    </row>
    <row r="20" customFormat="false" ht="15" hidden="false" customHeight="false" outlineLevel="0" collapsed="false">
      <c r="A20" s="11" t="str">
        <f aca="false">Apontamentos!C20</f>
        <v/>
      </c>
      <c r="B20" s="11" t="str">
        <f aca="false">IF(Apontamentos!$C20="","",Apontamentos!A20&amp;"")</f>
        <v/>
      </c>
      <c r="C20" s="11" t="str">
        <f aca="false">IF(B20="","",IFERROR(INDEX(Execuções!$C$2:$C$97,MATCH(B20,Execuções!$A$2:$A$97,0)),"ID?"))</f>
        <v/>
      </c>
      <c r="D20" s="10" t="str">
        <f aca="false">IF(B20="","",IFERROR(INDEX(Execuções!$B$2:$B$97,MATCH(B20,Execuções!$A$2:$A$97,0)),"ID?"))</f>
        <v/>
      </c>
      <c r="E20" s="11" t="str">
        <f aca="false">IF(B20="","",Apontamentos!D20)</f>
        <v/>
      </c>
      <c r="F20" s="11" t="str">
        <f aca="false">IF(B20="","",Apontamentos!E20)</f>
        <v/>
      </c>
      <c r="G20" s="10" t="str">
        <f aca="false">IF(B20="","",Apontamentos!G20&amp;"")</f>
        <v/>
      </c>
      <c r="H20" s="14" t="str">
        <f aca="false">IF('Avaliador 1'!F20='Avaliador 2'!F20,'Avaliador 1'!F20&amp;"","")</f>
        <v/>
      </c>
      <c r="I20" s="14" t="str">
        <f aca="false">IF('Avaliador 1'!G20='Avaliador 2'!G20,'Avaliador 1'!G20&amp;"","")</f>
        <v/>
      </c>
      <c r="J20" s="14" t="str">
        <f aca="false">IF('Avaliador 1'!H20='Avaliador 2'!H20,'Avaliador 1'!H20&amp;"","")</f>
        <v/>
      </c>
      <c r="K20" s="14" t="str">
        <f aca="false">IF('Avaliador 1'!I20='Avaliador 2'!I20,'Avaliador 1'!I20&amp;"","")</f>
        <v/>
      </c>
      <c r="L20" s="13"/>
      <c r="M20" s="13" t="str">
        <f aca="false">IF('Avaliador 1'!J20='Avaliador 2'!J20,'Avaliador 1'!J20&amp;"","")</f>
        <v/>
      </c>
      <c r="N20" s="11" t="str">
        <f aca="false">IF(OR('Avaliador 1'!F20="",'Avaliador 2'!F20=""),"",IF(AND('Avaliador 1'!F20='Avaliador 2'!F20,'Avaliador 1'!G20='Avaliador 2'!G20,'Avaliador 1'!H20='Avaliador 2'!H20,'Avaliador 1'!I20='Avaliador 2'!I20),"Não","Sim"))</f>
        <v/>
      </c>
      <c r="O20" s="14"/>
      <c r="P20" s="10" t="str">
        <f aca="false">IF(LEN(H20)=3,"Defeito encontrado",IF(I20="Sim","Falso alarme",IF(H20="—","Nenhum defeito apontado","")))</f>
        <v/>
      </c>
    </row>
    <row r="21" customFormat="false" ht="15" hidden="false" customHeight="false" outlineLevel="0" collapsed="false">
      <c r="A21" s="11" t="str">
        <f aca="false">Apontamentos!C21</f>
        <v/>
      </c>
      <c r="B21" s="11" t="str">
        <f aca="false">IF(Apontamentos!$C21="","",Apontamentos!A21&amp;"")</f>
        <v/>
      </c>
      <c r="C21" s="11" t="str">
        <f aca="false">IF(B21="","",IFERROR(INDEX(Execuções!$C$2:$C$97,MATCH(B21,Execuções!$A$2:$A$97,0)),"ID?"))</f>
        <v/>
      </c>
      <c r="D21" s="10" t="str">
        <f aca="false">IF(B21="","",IFERROR(INDEX(Execuções!$B$2:$B$97,MATCH(B21,Execuções!$A$2:$A$97,0)),"ID?"))</f>
        <v/>
      </c>
      <c r="E21" s="11" t="str">
        <f aca="false">IF(B21="","",Apontamentos!D21)</f>
        <v/>
      </c>
      <c r="F21" s="11" t="str">
        <f aca="false">IF(B21="","",Apontamentos!E21)</f>
        <v/>
      </c>
      <c r="G21" s="10" t="str">
        <f aca="false">IF(B21="","",Apontamentos!G21&amp;"")</f>
        <v/>
      </c>
      <c r="H21" s="14" t="str">
        <f aca="false">IF('Avaliador 1'!F21='Avaliador 2'!F21,'Avaliador 1'!F21&amp;"","")</f>
        <v/>
      </c>
      <c r="I21" s="14" t="str">
        <f aca="false">IF('Avaliador 1'!G21='Avaliador 2'!G21,'Avaliador 1'!G21&amp;"","")</f>
        <v/>
      </c>
      <c r="J21" s="14" t="str">
        <f aca="false">IF('Avaliador 1'!H21='Avaliador 2'!H21,'Avaliador 1'!H21&amp;"","")</f>
        <v/>
      </c>
      <c r="K21" s="14" t="str">
        <f aca="false">IF('Avaliador 1'!I21='Avaliador 2'!I21,'Avaliador 1'!I21&amp;"","")</f>
        <v/>
      </c>
      <c r="L21" s="13"/>
      <c r="M21" s="13" t="str">
        <f aca="false">IF('Avaliador 1'!J21='Avaliador 2'!J21,'Avaliador 1'!J21&amp;"","")</f>
        <v/>
      </c>
      <c r="N21" s="11" t="str">
        <f aca="false">IF(OR('Avaliador 1'!F21="",'Avaliador 2'!F21=""),"",IF(AND('Avaliador 1'!F21='Avaliador 2'!F21,'Avaliador 1'!G21='Avaliador 2'!G21,'Avaliador 1'!H21='Avaliador 2'!H21,'Avaliador 1'!I21='Avaliador 2'!I21),"Não","Sim"))</f>
        <v/>
      </c>
      <c r="O21" s="14"/>
      <c r="P21" s="10" t="str">
        <f aca="false">IF(LEN(H21)=3,"Defeito encontrado",IF(I21="Sim","Falso alarme",IF(H21="—","Nenhum defeito apontado","")))</f>
        <v/>
      </c>
    </row>
    <row r="22" customFormat="false" ht="15" hidden="false" customHeight="false" outlineLevel="0" collapsed="false">
      <c r="A22" s="11" t="str">
        <f aca="false">Apontamentos!C22</f>
        <v/>
      </c>
      <c r="B22" s="11" t="str">
        <f aca="false">IF(Apontamentos!$C22="","",Apontamentos!A22&amp;"")</f>
        <v/>
      </c>
      <c r="C22" s="11" t="str">
        <f aca="false">IF(B22="","",IFERROR(INDEX(Execuções!$C$2:$C$97,MATCH(B22,Execuções!$A$2:$A$97,0)),"ID?"))</f>
        <v/>
      </c>
      <c r="D22" s="10" t="str">
        <f aca="false">IF(B22="","",IFERROR(INDEX(Execuções!$B$2:$B$97,MATCH(B22,Execuções!$A$2:$A$97,0)),"ID?"))</f>
        <v/>
      </c>
      <c r="E22" s="11" t="str">
        <f aca="false">IF(B22="","",Apontamentos!D22)</f>
        <v/>
      </c>
      <c r="F22" s="11" t="str">
        <f aca="false">IF(B22="","",Apontamentos!E22)</f>
        <v/>
      </c>
      <c r="G22" s="10" t="str">
        <f aca="false">IF(B22="","",Apontamentos!G22&amp;"")</f>
        <v/>
      </c>
      <c r="H22" s="14" t="str">
        <f aca="false">IF('Avaliador 1'!F22='Avaliador 2'!F22,'Avaliador 1'!F22&amp;"","")</f>
        <v/>
      </c>
      <c r="I22" s="14" t="str">
        <f aca="false">IF('Avaliador 1'!G22='Avaliador 2'!G22,'Avaliador 1'!G22&amp;"","")</f>
        <v/>
      </c>
      <c r="J22" s="14" t="str">
        <f aca="false">IF('Avaliador 1'!H22='Avaliador 2'!H22,'Avaliador 1'!H22&amp;"","")</f>
        <v/>
      </c>
      <c r="K22" s="14" t="str">
        <f aca="false">IF('Avaliador 1'!I22='Avaliador 2'!I22,'Avaliador 1'!I22&amp;"","")</f>
        <v/>
      </c>
      <c r="L22" s="13"/>
      <c r="M22" s="13" t="str">
        <f aca="false">IF('Avaliador 1'!J22='Avaliador 2'!J22,'Avaliador 1'!J22&amp;"","")</f>
        <v/>
      </c>
      <c r="N22" s="11" t="str">
        <f aca="false">IF(OR('Avaliador 1'!F22="",'Avaliador 2'!F22=""),"",IF(AND('Avaliador 1'!F22='Avaliador 2'!F22,'Avaliador 1'!G22='Avaliador 2'!G22,'Avaliador 1'!H22='Avaliador 2'!H22,'Avaliador 1'!I22='Avaliador 2'!I22),"Não","Sim"))</f>
        <v/>
      </c>
      <c r="O22" s="14"/>
      <c r="P22" s="10" t="str">
        <f aca="false">IF(LEN(H22)=3,"Defeito encontrado",IF(I22="Sim","Falso alarme",IF(H22="—","Nenhum defeito apontado","")))</f>
        <v/>
      </c>
    </row>
    <row r="23" customFormat="false" ht="15" hidden="false" customHeight="false" outlineLevel="0" collapsed="false">
      <c r="A23" s="11" t="str">
        <f aca="false">Apontamentos!C23</f>
        <v/>
      </c>
      <c r="B23" s="11" t="str">
        <f aca="false">IF(Apontamentos!$C23="","",Apontamentos!A23&amp;"")</f>
        <v/>
      </c>
      <c r="C23" s="11" t="str">
        <f aca="false">IF(B23="","",IFERROR(INDEX(Execuções!$C$2:$C$97,MATCH(B23,Execuções!$A$2:$A$97,0)),"ID?"))</f>
        <v/>
      </c>
      <c r="D23" s="10" t="str">
        <f aca="false">IF(B23="","",IFERROR(INDEX(Execuções!$B$2:$B$97,MATCH(B23,Execuções!$A$2:$A$97,0)),"ID?"))</f>
        <v/>
      </c>
      <c r="E23" s="11" t="str">
        <f aca="false">IF(B23="","",Apontamentos!D23)</f>
        <v/>
      </c>
      <c r="F23" s="11" t="str">
        <f aca="false">IF(B23="","",Apontamentos!E23)</f>
        <v/>
      </c>
      <c r="G23" s="10" t="str">
        <f aca="false">IF(B23="","",Apontamentos!G23&amp;"")</f>
        <v/>
      </c>
      <c r="H23" s="14" t="str">
        <f aca="false">IF('Avaliador 1'!F23='Avaliador 2'!F23,'Avaliador 1'!F23&amp;"","")</f>
        <v/>
      </c>
      <c r="I23" s="14" t="str">
        <f aca="false">IF('Avaliador 1'!G23='Avaliador 2'!G23,'Avaliador 1'!G23&amp;"","")</f>
        <v/>
      </c>
      <c r="J23" s="14" t="str">
        <f aca="false">IF('Avaliador 1'!H23='Avaliador 2'!H23,'Avaliador 1'!H23&amp;"","")</f>
        <v/>
      </c>
      <c r="K23" s="14" t="str">
        <f aca="false">IF('Avaliador 1'!I23='Avaliador 2'!I23,'Avaliador 1'!I23&amp;"","")</f>
        <v/>
      </c>
      <c r="L23" s="13"/>
      <c r="M23" s="13" t="str">
        <f aca="false">IF('Avaliador 1'!J23='Avaliador 2'!J23,'Avaliador 1'!J23&amp;"","")</f>
        <v/>
      </c>
      <c r="N23" s="11" t="str">
        <f aca="false">IF(OR('Avaliador 1'!F23="",'Avaliador 2'!F23=""),"",IF(AND('Avaliador 1'!F23='Avaliador 2'!F23,'Avaliador 1'!G23='Avaliador 2'!G23,'Avaliador 1'!H23='Avaliador 2'!H23,'Avaliador 1'!I23='Avaliador 2'!I23),"Não","Sim"))</f>
        <v/>
      </c>
      <c r="O23" s="14"/>
      <c r="P23" s="10" t="str">
        <f aca="false">IF(LEN(H23)=3,"Defeito encontrado",IF(I23="Sim","Falso alarme",IF(H23="—","Nenhum defeito apontado","")))</f>
        <v/>
      </c>
    </row>
    <row r="24" customFormat="false" ht="15" hidden="false" customHeight="false" outlineLevel="0" collapsed="false">
      <c r="A24" s="11" t="str">
        <f aca="false">Apontamentos!C24</f>
        <v/>
      </c>
      <c r="B24" s="11" t="str">
        <f aca="false">IF(Apontamentos!$C24="","",Apontamentos!A24&amp;"")</f>
        <v/>
      </c>
      <c r="C24" s="11" t="str">
        <f aca="false">IF(B24="","",IFERROR(INDEX(Execuções!$C$2:$C$97,MATCH(B24,Execuções!$A$2:$A$97,0)),"ID?"))</f>
        <v/>
      </c>
      <c r="D24" s="10" t="str">
        <f aca="false">IF(B24="","",IFERROR(INDEX(Execuções!$B$2:$B$97,MATCH(B24,Execuções!$A$2:$A$97,0)),"ID?"))</f>
        <v/>
      </c>
      <c r="E24" s="11" t="str">
        <f aca="false">IF(B24="","",Apontamentos!D24)</f>
        <v/>
      </c>
      <c r="F24" s="11" t="str">
        <f aca="false">IF(B24="","",Apontamentos!E24)</f>
        <v/>
      </c>
      <c r="G24" s="10" t="str">
        <f aca="false">IF(B24="","",Apontamentos!G24&amp;"")</f>
        <v/>
      </c>
      <c r="H24" s="14" t="str">
        <f aca="false">IF('Avaliador 1'!F24='Avaliador 2'!F24,'Avaliador 1'!F24&amp;"","")</f>
        <v/>
      </c>
      <c r="I24" s="14" t="str">
        <f aca="false">IF('Avaliador 1'!G24='Avaliador 2'!G24,'Avaliador 1'!G24&amp;"","")</f>
        <v/>
      </c>
      <c r="J24" s="14" t="str">
        <f aca="false">IF('Avaliador 1'!H24='Avaliador 2'!H24,'Avaliador 1'!H24&amp;"","")</f>
        <v/>
      </c>
      <c r="K24" s="14" t="str">
        <f aca="false">IF('Avaliador 1'!I24='Avaliador 2'!I24,'Avaliador 1'!I24&amp;"","")</f>
        <v/>
      </c>
      <c r="L24" s="13"/>
      <c r="M24" s="13" t="str">
        <f aca="false">IF('Avaliador 1'!J24='Avaliador 2'!J24,'Avaliador 1'!J24&amp;"","")</f>
        <v/>
      </c>
      <c r="N24" s="11" t="str">
        <f aca="false">IF(OR('Avaliador 1'!F24="",'Avaliador 2'!F24=""),"",IF(AND('Avaliador 1'!F24='Avaliador 2'!F24,'Avaliador 1'!G24='Avaliador 2'!G24,'Avaliador 1'!H24='Avaliador 2'!H24,'Avaliador 1'!I24='Avaliador 2'!I24),"Não","Sim"))</f>
        <v/>
      </c>
      <c r="O24" s="14"/>
      <c r="P24" s="10" t="str">
        <f aca="false">IF(LEN(H24)=3,"Defeito encontrado",IF(I24="Sim","Falso alarme",IF(H24="—","Nenhum defeito apontado","")))</f>
        <v/>
      </c>
    </row>
    <row r="25" customFormat="false" ht="15" hidden="false" customHeight="false" outlineLevel="0" collapsed="false">
      <c r="A25" s="11" t="str">
        <f aca="false">Apontamentos!C25</f>
        <v/>
      </c>
      <c r="B25" s="11" t="str">
        <f aca="false">IF(Apontamentos!$C25="","",Apontamentos!A25&amp;"")</f>
        <v/>
      </c>
      <c r="C25" s="11" t="str">
        <f aca="false">IF(B25="","",IFERROR(INDEX(Execuções!$C$2:$C$97,MATCH(B25,Execuções!$A$2:$A$97,0)),"ID?"))</f>
        <v/>
      </c>
      <c r="D25" s="10" t="str">
        <f aca="false">IF(B25="","",IFERROR(INDEX(Execuções!$B$2:$B$97,MATCH(B25,Execuções!$A$2:$A$97,0)),"ID?"))</f>
        <v/>
      </c>
      <c r="E25" s="11" t="str">
        <f aca="false">IF(B25="","",Apontamentos!D25)</f>
        <v/>
      </c>
      <c r="F25" s="11" t="str">
        <f aca="false">IF(B25="","",Apontamentos!E25)</f>
        <v/>
      </c>
      <c r="G25" s="10" t="str">
        <f aca="false">IF(B25="","",Apontamentos!G25&amp;"")</f>
        <v/>
      </c>
      <c r="H25" s="14" t="str">
        <f aca="false">IF('Avaliador 1'!F25='Avaliador 2'!F25,'Avaliador 1'!F25&amp;"","")</f>
        <v/>
      </c>
      <c r="I25" s="14" t="str">
        <f aca="false">IF('Avaliador 1'!G25='Avaliador 2'!G25,'Avaliador 1'!G25&amp;"","")</f>
        <v/>
      </c>
      <c r="J25" s="14" t="str">
        <f aca="false">IF('Avaliador 1'!H25='Avaliador 2'!H25,'Avaliador 1'!H25&amp;"","")</f>
        <v/>
      </c>
      <c r="K25" s="14" t="str">
        <f aca="false">IF('Avaliador 1'!I25='Avaliador 2'!I25,'Avaliador 1'!I25&amp;"","")</f>
        <v/>
      </c>
      <c r="L25" s="13"/>
      <c r="M25" s="13" t="str">
        <f aca="false">IF('Avaliador 1'!J25='Avaliador 2'!J25,'Avaliador 1'!J25&amp;"","")</f>
        <v/>
      </c>
      <c r="N25" s="11" t="str">
        <f aca="false">IF(OR('Avaliador 1'!F25="",'Avaliador 2'!F25=""),"",IF(AND('Avaliador 1'!F25='Avaliador 2'!F25,'Avaliador 1'!G25='Avaliador 2'!G25,'Avaliador 1'!H25='Avaliador 2'!H25,'Avaliador 1'!I25='Avaliador 2'!I25),"Não","Sim"))</f>
        <v/>
      </c>
      <c r="O25" s="14"/>
      <c r="P25" s="10" t="str">
        <f aca="false">IF(LEN(H25)=3,"Defeito encontrado",IF(I25="Sim","Falso alarme",IF(H25="—","Nenhum defeito apontado","")))</f>
        <v/>
      </c>
    </row>
    <row r="26" customFormat="false" ht="15" hidden="false" customHeight="false" outlineLevel="0" collapsed="false">
      <c r="A26" s="11" t="str">
        <f aca="false">Apontamentos!C26</f>
        <v/>
      </c>
      <c r="B26" s="11" t="str">
        <f aca="false">IF(Apontamentos!$C26="","",Apontamentos!A26&amp;"")</f>
        <v/>
      </c>
      <c r="C26" s="11" t="str">
        <f aca="false">IF(B26="","",IFERROR(INDEX(Execuções!$C$2:$C$97,MATCH(B26,Execuções!$A$2:$A$97,0)),"ID?"))</f>
        <v/>
      </c>
      <c r="D26" s="10" t="str">
        <f aca="false">IF(B26="","",IFERROR(INDEX(Execuções!$B$2:$B$97,MATCH(B26,Execuções!$A$2:$A$97,0)),"ID?"))</f>
        <v/>
      </c>
      <c r="E26" s="11" t="str">
        <f aca="false">IF(B26="","",Apontamentos!D26)</f>
        <v/>
      </c>
      <c r="F26" s="11" t="str">
        <f aca="false">IF(B26="","",Apontamentos!E26)</f>
        <v/>
      </c>
      <c r="G26" s="10" t="str">
        <f aca="false">IF(B26="","",Apontamentos!G26&amp;"")</f>
        <v/>
      </c>
      <c r="H26" s="14" t="str">
        <f aca="false">IF('Avaliador 1'!F26='Avaliador 2'!F26,'Avaliador 1'!F26&amp;"","")</f>
        <v/>
      </c>
      <c r="I26" s="14" t="str">
        <f aca="false">IF('Avaliador 1'!G26='Avaliador 2'!G26,'Avaliador 1'!G26&amp;"","")</f>
        <v/>
      </c>
      <c r="J26" s="14" t="str">
        <f aca="false">IF('Avaliador 1'!H26='Avaliador 2'!H26,'Avaliador 1'!H26&amp;"","")</f>
        <v/>
      </c>
      <c r="K26" s="14" t="str">
        <f aca="false">IF('Avaliador 1'!I26='Avaliador 2'!I26,'Avaliador 1'!I26&amp;"","")</f>
        <v/>
      </c>
      <c r="L26" s="13"/>
      <c r="M26" s="13" t="str">
        <f aca="false">IF('Avaliador 1'!J26='Avaliador 2'!J26,'Avaliador 1'!J26&amp;"","")</f>
        <v/>
      </c>
      <c r="N26" s="11" t="str">
        <f aca="false">IF(OR('Avaliador 1'!F26="",'Avaliador 2'!F26=""),"",IF(AND('Avaliador 1'!F26='Avaliador 2'!F26,'Avaliador 1'!G26='Avaliador 2'!G26,'Avaliador 1'!H26='Avaliador 2'!H26,'Avaliador 1'!I26='Avaliador 2'!I26),"Não","Sim"))</f>
        <v/>
      </c>
      <c r="O26" s="14"/>
      <c r="P26" s="10" t="str">
        <f aca="false">IF(LEN(H26)=3,"Defeito encontrado",IF(I26="Sim","Falso alarme",IF(H26="—","Nenhum defeito apontado","")))</f>
        <v/>
      </c>
    </row>
    <row r="27" customFormat="false" ht="15" hidden="false" customHeight="false" outlineLevel="0" collapsed="false">
      <c r="A27" s="11" t="str">
        <f aca="false">Apontamentos!C27</f>
        <v/>
      </c>
      <c r="B27" s="11" t="str">
        <f aca="false">IF(Apontamentos!$C27="","",Apontamentos!A27&amp;"")</f>
        <v/>
      </c>
      <c r="C27" s="11" t="str">
        <f aca="false">IF(B27="","",IFERROR(INDEX(Execuções!$C$2:$C$97,MATCH(B27,Execuções!$A$2:$A$97,0)),"ID?"))</f>
        <v/>
      </c>
      <c r="D27" s="10" t="str">
        <f aca="false">IF(B27="","",IFERROR(INDEX(Execuções!$B$2:$B$97,MATCH(B27,Execuções!$A$2:$A$97,0)),"ID?"))</f>
        <v/>
      </c>
      <c r="E27" s="11" t="str">
        <f aca="false">IF(B27="","",Apontamentos!D27)</f>
        <v/>
      </c>
      <c r="F27" s="11" t="str">
        <f aca="false">IF(B27="","",Apontamentos!E27)</f>
        <v/>
      </c>
      <c r="G27" s="10" t="str">
        <f aca="false">IF(B27="","",Apontamentos!G27&amp;"")</f>
        <v/>
      </c>
      <c r="H27" s="14" t="str">
        <f aca="false">IF('Avaliador 1'!F27='Avaliador 2'!F27,'Avaliador 1'!F27&amp;"","")</f>
        <v/>
      </c>
      <c r="I27" s="14" t="str">
        <f aca="false">IF('Avaliador 1'!G27='Avaliador 2'!G27,'Avaliador 1'!G27&amp;"","")</f>
        <v/>
      </c>
      <c r="J27" s="14" t="str">
        <f aca="false">IF('Avaliador 1'!H27='Avaliador 2'!H27,'Avaliador 1'!H27&amp;"","")</f>
        <v/>
      </c>
      <c r="K27" s="14" t="str">
        <f aca="false">IF('Avaliador 1'!I27='Avaliador 2'!I27,'Avaliador 1'!I27&amp;"","")</f>
        <v/>
      </c>
      <c r="L27" s="13"/>
      <c r="M27" s="13" t="str">
        <f aca="false">IF('Avaliador 1'!J27='Avaliador 2'!J27,'Avaliador 1'!J27&amp;"","")</f>
        <v/>
      </c>
      <c r="N27" s="11" t="str">
        <f aca="false">IF(OR('Avaliador 1'!F27="",'Avaliador 2'!F27=""),"",IF(AND('Avaliador 1'!F27='Avaliador 2'!F27,'Avaliador 1'!G27='Avaliador 2'!G27,'Avaliador 1'!H27='Avaliador 2'!H27,'Avaliador 1'!I27='Avaliador 2'!I27),"Não","Sim"))</f>
        <v/>
      </c>
      <c r="O27" s="14"/>
      <c r="P27" s="10" t="str">
        <f aca="false">IF(LEN(H27)=3,"Defeito encontrado",IF(I27="Sim","Falso alarme",IF(H27="—","Nenhum defeito apontado","")))</f>
        <v/>
      </c>
    </row>
    <row r="28" customFormat="false" ht="15" hidden="false" customHeight="false" outlineLevel="0" collapsed="false">
      <c r="A28" s="11" t="str">
        <f aca="false">Apontamentos!C28</f>
        <v/>
      </c>
      <c r="B28" s="11" t="str">
        <f aca="false">IF(Apontamentos!$C28="","",Apontamentos!A28&amp;"")</f>
        <v/>
      </c>
      <c r="C28" s="11" t="str">
        <f aca="false">IF(B28="","",IFERROR(INDEX(Execuções!$C$2:$C$97,MATCH(B28,Execuções!$A$2:$A$97,0)),"ID?"))</f>
        <v/>
      </c>
      <c r="D28" s="10" t="str">
        <f aca="false">IF(B28="","",IFERROR(INDEX(Execuções!$B$2:$B$97,MATCH(B28,Execuções!$A$2:$A$97,0)),"ID?"))</f>
        <v/>
      </c>
      <c r="E28" s="11" t="str">
        <f aca="false">IF(B28="","",Apontamentos!D28)</f>
        <v/>
      </c>
      <c r="F28" s="11" t="str">
        <f aca="false">IF(B28="","",Apontamentos!E28)</f>
        <v/>
      </c>
      <c r="G28" s="10" t="str">
        <f aca="false">IF(B28="","",Apontamentos!G28&amp;"")</f>
        <v/>
      </c>
      <c r="H28" s="14" t="str">
        <f aca="false">IF('Avaliador 1'!F28='Avaliador 2'!F28,'Avaliador 1'!F28&amp;"","")</f>
        <v/>
      </c>
      <c r="I28" s="14" t="str">
        <f aca="false">IF('Avaliador 1'!G28='Avaliador 2'!G28,'Avaliador 1'!G28&amp;"","")</f>
        <v/>
      </c>
      <c r="J28" s="14" t="str">
        <f aca="false">IF('Avaliador 1'!H28='Avaliador 2'!H28,'Avaliador 1'!H28&amp;"","")</f>
        <v/>
      </c>
      <c r="K28" s="14" t="str">
        <f aca="false">IF('Avaliador 1'!I28='Avaliador 2'!I28,'Avaliador 1'!I28&amp;"","")</f>
        <v/>
      </c>
      <c r="L28" s="13"/>
      <c r="M28" s="13" t="str">
        <f aca="false">IF('Avaliador 1'!J28='Avaliador 2'!J28,'Avaliador 1'!J28&amp;"","")</f>
        <v/>
      </c>
      <c r="N28" s="11" t="str">
        <f aca="false">IF(OR('Avaliador 1'!F28="",'Avaliador 2'!F28=""),"",IF(AND('Avaliador 1'!F28='Avaliador 2'!F28,'Avaliador 1'!G28='Avaliador 2'!G28,'Avaliador 1'!H28='Avaliador 2'!H28,'Avaliador 1'!I28='Avaliador 2'!I28),"Não","Sim"))</f>
        <v/>
      </c>
      <c r="O28" s="14"/>
      <c r="P28" s="10" t="str">
        <f aca="false">IF(LEN(H28)=3,"Defeito encontrado",IF(I28="Sim","Falso alarme",IF(H28="—","Nenhum defeito apontado","")))</f>
        <v/>
      </c>
    </row>
    <row r="29" customFormat="false" ht="15" hidden="false" customHeight="false" outlineLevel="0" collapsed="false">
      <c r="A29" s="11" t="str">
        <f aca="false">Apontamentos!C29</f>
        <v/>
      </c>
      <c r="B29" s="11" t="str">
        <f aca="false">IF(Apontamentos!$C29="","",Apontamentos!A29&amp;"")</f>
        <v/>
      </c>
      <c r="C29" s="11" t="str">
        <f aca="false">IF(B29="","",IFERROR(INDEX(Execuções!$C$2:$C$97,MATCH(B29,Execuções!$A$2:$A$97,0)),"ID?"))</f>
        <v/>
      </c>
      <c r="D29" s="10" t="str">
        <f aca="false">IF(B29="","",IFERROR(INDEX(Execuções!$B$2:$B$97,MATCH(B29,Execuções!$A$2:$A$97,0)),"ID?"))</f>
        <v/>
      </c>
      <c r="E29" s="11" t="str">
        <f aca="false">IF(B29="","",Apontamentos!D29)</f>
        <v/>
      </c>
      <c r="F29" s="11" t="str">
        <f aca="false">IF(B29="","",Apontamentos!E29)</f>
        <v/>
      </c>
      <c r="G29" s="10" t="str">
        <f aca="false">IF(B29="","",Apontamentos!G29&amp;"")</f>
        <v/>
      </c>
      <c r="H29" s="14" t="str">
        <f aca="false">IF('Avaliador 1'!F29='Avaliador 2'!F29,'Avaliador 1'!F29&amp;"","")</f>
        <v/>
      </c>
      <c r="I29" s="14" t="str">
        <f aca="false">IF('Avaliador 1'!G29='Avaliador 2'!G29,'Avaliador 1'!G29&amp;"","")</f>
        <v/>
      </c>
      <c r="J29" s="14" t="str">
        <f aca="false">IF('Avaliador 1'!H29='Avaliador 2'!H29,'Avaliador 1'!H29&amp;"","")</f>
        <v/>
      </c>
      <c r="K29" s="14" t="str">
        <f aca="false">IF('Avaliador 1'!I29='Avaliador 2'!I29,'Avaliador 1'!I29&amp;"","")</f>
        <v/>
      </c>
      <c r="L29" s="13"/>
      <c r="M29" s="13" t="str">
        <f aca="false">IF('Avaliador 1'!J29='Avaliador 2'!J29,'Avaliador 1'!J29&amp;"","")</f>
        <v/>
      </c>
      <c r="N29" s="11" t="str">
        <f aca="false">IF(OR('Avaliador 1'!F29="",'Avaliador 2'!F29=""),"",IF(AND('Avaliador 1'!F29='Avaliador 2'!F29,'Avaliador 1'!G29='Avaliador 2'!G29,'Avaliador 1'!H29='Avaliador 2'!H29,'Avaliador 1'!I29='Avaliador 2'!I29),"Não","Sim"))</f>
        <v/>
      </c>
      <c r="O29" s="14"/>
      <c r="P29" s="10" t="str">
        <f aca="false">IF(LEN(H29)=3,"Defeito encontrado",IF(I29="Sim","Falso alarme",IF(H29="—","Nenhum defeito apontado","")))</f>
        <v/>
      </c>
    </row>
    <row r="30" customFormat="false" ht="15" hidden="false" customHeight="false" outlineLevel="0" collapsed="false">
      <c r="A30" s="11" t="str">
        <f aca="false">Apontamentos!C30</f>
        <v/>
      </c>
      <c r="B30" s="11" t="str">
        <f aca="false">IF(Apontamentos!$C30="","",Apontamentos!A30&amp;"")</f>
        <v/>
      </c>
      <c r="C30" s="11" t="str">
        <f aca="false">IF(B30="","",IFERROR(INDEX(Execuções!$C$2:$C$97,MATCH(B30,Execuções!$A$2:$A$97,0)),"ID?"))</f>
        <v/>
      </c>
      <c r="D30" s="10" t="str">
        <f aca="false">IF(B30="","",IFERROR(INDEX(Execuções!$B$2:$B$97,MATCH(B30,Execuções!$A$2:$A$97,0)),"ID?"))</f>
        <v/>
      </c>
      <c r="E30" s="11" t="str">
        <f aca="false">IF(B30="","",Apontamentos!D30)</f>
        <v/>
      </c>
      <c r="F30" s="11" t="str">
        <f aca="false">IF(B30="","",Apontamentos!E30)</f>
        <v/>
      </c>
      <c r="G30" s="10" t="str">
        <f aca="false">IF(B30="","",Apontamentos!G30&amp;"")</f>
        <v/>
      </c>
      <c r="H30" s="14" t="str">
        <f aca="false">IF('Avaliador 1'!F30='Avaliador 2'!F30,'Avaliador 1'!F30&amp;"","")</f>
        <v/>
      </c>
      <c r="I30" s="14" t="str">
        <f aca="false">IF('Avaliador 1'!G30='Avaliador 2'!G30,'Avaliador 1'!G30&amp;"","")</f>
        <v/>
      </c>
      <c r="J30" s="14" t="str">
        <f aca="false">IF('Avaliador 1'!H30='Avaliador 2'!H30,'Avaliador 1'!H30&amp;"","")</f>
        <v/>
      </c>
      <c r="K30" s="14" t="str">
        <f aca="false">IF('Avaliador 1'!I30='Avaliador 2'!I30,'Avaliador 1'!I30&amp;"","")</f>
        <v/>
      </c>
      <c r="L30" s="13"/>
      <c r="M30" s="13" t="str">
        <f aca="false">IF('Avaliador 1'!J30='Avaliador 2'!J30,'Avaliador 1'!J30&amp;"","")</f>
        <v/>
      </c>
      <c r="N30" s="11" t="str">
        <f aca="false">IF(OR('Avaliador 1'!F30="",'Avaliador 2'!F30=""),"",IF(AND('Avaliador 1'!F30='Avaliador 2'!F30,'Avaliador 1'!G30='Avaliador 2'!G30,'Avaliador 1'!H30='Avaliador 2'!H30,'Avaliador 1'!I30='Avaliador 2'!I30),"Não","Sim"))</f>
        <v/>
      </c>
      <c r="O30" s="14"/>
      <c r="P30" s="10" t="str">
        <f aca="false">IF(LEN(H30)=3,"Defeito encontrado",IF(I30="Sim","Falso alarme",IF(H30="—","Nenhum defeito apontado","")))</f>
        <v/>
      </c>
    </row>
    <row r="31" customFormat="false" ht="15" hidden="false" customHeight="false" outlineLevel="0" collapsed="false">
      <c r="A31" s="11" t="str">
        <f aca="false">Apontamentos!C31</f>
        <v/>
      </c>
      <c r="B31" s="11" t="str">
        <f aca="false">IF(Apontamentos!$C31="","",Apontamentos!A31&amp;"")</f>
        <v/>
      </c>
      <c r="C31" s="11" t="str">
        <f aca="false">IF(B31="","",IFERROR(INDEX(Execuções!$C$2:$C$97,MATCH(B31,Execuções!$A$2:$A$97,0)),"ID?"))</f>
        <v/>
      </c>
      <c r="D31" s="10" t="str">
        <f aca="false">IF(B31="","",IFERROR(INDEX(Execuções!$B$2:$B$97,MATCH(B31,Execuções!$A$2:$A$97,0)),"ID?"))</f>
        <v/>
      </c>
      <c r="E31" s="11" t="str">
        <f aca="false">IF(B31="","",Apontamentos!D31)</f>
        <v/>
      </c>
      <c r="F31" s="11" t="str">
        <f aca="false">IF(B31="","",Apontamentos!E31)</f>
        <v/>
      </c>
      <c r="G31" s="10" t="str">
        <f aca="false">IF(B31="","",Apontamentos!G31&amp;"")</f>
        <v/>
      </c>
      <c r="H31" s="14" t="str">
        <f aca="false">IF('Avaliador 1'!F31='Avaliador 2'!F31,'Avaliador 1'!F31&amp;"","")</f>
        <v/>
      </c>
      <c r="I31" s="14" t="str">
        <f aca="false">IF('Avaliador 1'!G31='Avaliador 2'!G31,'Avaliador 1'!G31&amp;"","")</f>
        <v/>
      </c>
      <c r="J31" s="14" t="str">
        <f aca="false">IF('Avaliador 1'!H31='Avaliador 2'!H31,'Avaliador 1'!H31&amp;"","")</f>
        <v/>
      </c>
      <c r="K31" s="14" t="str">
        <f aca="false">IF('Avaliador 1'!I31='Avaliador 2'!I31,'Avaliador 1'!I31&amp;"","")</f>
        <v/>
      </c>
      <c r="L31" s="13"/>
      <c r="M31" s="13" t="str">
        <f aca="false">IF('Avaliador 1'!J31='Avaliador 2'!J31,'Avaliador 1'!J31&amp;"","")</f>
        <v/>
      </c>
      <c r="N31" s="11" t="str">
        <f aca="false">IF(OR('Avaliador 1'!F31="",'Avaliador 2'!F31=""),"",IF(AND('Avaliador 1'!F31='Avaliador 2'!F31,'Avaliador 1'!G31='Avaliador 2'!G31,'Avaliador 1'!H31='Avaliador 2'!H31,'Avaliador 1'!I31='Avaliador 2'!I31),"Não","Sim"))</f>
        <v/>
      </c>
      <c r="O31" s="14"/>
      <c r="P31" s="10" t="str">
        <f aca="false">IF(LEN(H31)=3,"Defeito encontrado",IF(I31="Sim","Falso alarme",IF(H31="—","Nenhum defeito apontado","")))</f>
        <v/>
      </c>
    </row>
    <row r="32" customFormat="false" ht="15" hidden="false" customHeight="false" outlineLevel="0" collapsed="false">
      <c r="A32" s="11" t="str">
        <f aca="false">Apontamentos!C32</f>
        <v/>
      </c>
      <c r="B32" s="11" t="str">
        <f aca="false">IF(Apontamentos!$C32="","",Apontamentos!A32&amp;"")</f>
        <v/>
      </c>
      <c r="C32" s="11" t="str">
        <f aca="false">IF(B32="","",IFERROR(INDEX(Execuções!$C$2:$C$97,MATCH(B32,Execuções!$A$2:$A$97,0)),"ID?"))</f>
        <v/>
      </c>
      <c r="D32" s="10" t="str">
        <f aca="false">IF(B32="","",IFERROR(INDEX(Execuções!$B$2:$B$97,MATCH(B32,Execuções!$A$2:$A$97,0)),"ID?"))</f>
        <v/>
      </c>
      <c r="E32" s="11" t="str">
        <f aca="false">IF(B32="","",Apontamentos!D32)</f>
        <v/>
      </c>
      <c r="F32" s="11" t="str">
        <f aca="false">IF(B32="","",Apontamentos!E32)</f>
        <v/>
      </c>
      <c r="G32" s="10" t="str">
        <f aca="false">IF(B32="","",Apontamentos!G32&amp;"")</f>
        <v/>
      </c>
      <c r="H32" s="14" t="str">
        <f aca="false">IF('Avaliador 1'!F32='Avaliador 2'!F32,'Avaliador 1'!F32&amp;"","")</f>
        <v/>
      </c>
      <c r="I32" s="14" t="str">
        <f aca="false">IF('Avaliador 1'!G32='Avaliador 2'!G32,'Avaliador 1'!G32&amp;"","")</f>
        <v/>
      </c>
      <c r="J32" s="14" t="str">
        <f aca="false">IF('Avaliador 1'!H32='Avaliador 2'!H32,'Avaliador 1'!H32&amp;"","")</f>
        <v/>
      </c>
      <c r="K32" s="14" t="str">
        <f aca="false">IF('Avaliador 1'!I32='Avaliador 2'!I32,'Avaliador 1'!I32&amp;"","")</f>
        <v/>
      </c>
      <c r="L32" s="13"/>
      <c r="M32" s="13" t="str">
        <f aca="false">IF('Avaliador 1'!J32='Avaliador 2'!J32,'Avaliador 1'!J32&amp;"","")</f>
        <v/>
      </c>
      <c r="N32" s="11" t="str">
        <f aca="false">IF(OR('Avaliador 1'!F32="",'Avaliador 2'!F32=""),"",IF(AND('Avaliador 1'!F32='Avaliador 2'!F32,'Avaliador 1'!G32='Avaliador 2'!G32,'Avaliador 1'!H32='Avaliador 2'!H32,'Avaliador 1'!I32='Avaliador 2'!I32),"Não","Sim"))</f>
        <v/>
      </c>
      <c r="O32" s="14"/>
      <c r="P32" s="10" t="str">
        <f aca="false">IF(LEN(H32)=3,"Defeito encontrado",IF(I32="Sim","Falso alarme",IF(H32="—","Nenhum defeito apontado","")))</f>
        <v/>
      </c>
    </row>
    <row r="33" customFormat="false" ht="15" hidden="false" customHeight="false" outlineLevel="0" collapsed="false">
      <c r="A33" s="11" t="str">
        <f aca="false">Apontamentos!C33</f>
        <v/>
      </c>
      <c r="B33" s="11" t="str">
        <f aca="false">IF(Apontamentos!$C33="","",Apontamentos!A33&amp;"")</f>
        <v/>
      </c>
      <c r="C33" s="11" t="str">
        <f aca="false">IF(B33="","",IFERROR(INDEX(Execuções!$C$2:$C$97,MATCH(B33,Execuções!$A$2:$A$97,0)),"ID?"))</f>
        <v/>
      </c>
      <c r="D33" s="10" t="str">
        <f aca="false">IF(B33="","",IFERROR(INDEX(Execuções!$B$2:$B$97,MATCH(B33,Execuções!$A$2:$A$97,0)),"ID?"))</f>
        <v/>
      </c>
      <c r="E33" s="11" t="str">
        <f aca="false">IF(B33="","",Apontamentos!D33)</f>
        <v/>
      </c>
      <c r="F33" s="11" t="str">
        <f aca="false">IF(B33="","",Apontamentos!E33)</f>
        <v/>
      </c>
      <c r="G33" s="10" t="str">
        <f aca="false">IF(B33="","",Apontamentos!G33&amp;"")</f>
        <v/>
      </c>
      <c r="H33" s="14" t="str">
        <f aca="false">IF('Avaliador 1'!F33='Avaliador 2'!F33,'Avaliador 1'!F33&amp;"","")</f>
        <v/>
      </c>
      <c r="I33" s="14" t="str">
        <f aca="false">IF('Avaliador 1'!G33='Avaliador 2'!G33,'Avaliador 1'!G33&amp;"","")</f>
        <v/>
      </c>
      <c r="J33" s="14" t="str">
        <f aca="false">IF('Avaliador 1'!H33='Avaliador 2'!H33,'Avaliador 1'!H33&amp;"","")</f>
        <v/>
      </c>
      <c r="K33" s="14" t="str">
        <f aca="false">IF('Avaliador 1'!I33='Avaliador 2'!I33,'Avaliador 1'!I33&amp;"","")</f>
        <v/>
      </c>
      <c r="L33" s="13"/>
      <c r="M33" s="13" t="str">
        <f aca="false">IF('Avaliador 1'!J33='Avaliador 2'!J33,'Avaliador 1'!J33&amp;"","")</f>
        <v/>
      </c>
      <c r="N33" s="11" t="str">
        <f aca="false">IF(OR('Avaliador 1'!F33="",'Avaliador 2'!F33=""),"",IF(AND('Avaliador 1'!F33='Avaliador 2'!F33,'Avaliador 1'!G33='Avaliador 2'!G33,'Avaliador 1'!H33='Avaliador 2'!H33,'Avaliador 1'!I33='Avaliador 2'!I33),"Não","Sim"))</f>
        <v/>
      </c>
      <c r="O33" s="14"/>
      <c r="P33" s="10" t="str">
        <f aca="false">IF(LEN(H33)=3,"Defeito encontrado",IF(I33="Sim","Falso alarme",IF(H33="—","Nenhum defeito apontado","")))</f>
        <v/>
      </c>
    </row>
    <row r="34" customFormat="false" ht="15" hidden="false" customHeight="false" outlineLevel="0" collapsed="false">
      <c r="A34" s="11" t="str">
        <f aca="false">Apontamentos!C34</f>
        <v/>
      </c>
      <c r="B34" s="11" t="str">
        <f aca="false">IF(Apontamentos!$C34="","",Apontamentos!A34&amp;"")</f>
        <v/>
      </c>
      <c r="C34" s="11" t="str">
        <f aca="false">IF(B34="","",IFERROR(INDEX(Execuções!$C$2:$C$97,MATCH(B34,Execuções!$A$2:$A$97,0)),"ID?"))</f>
        <v/>
      </c>
      <c r="D34" s="10" t="str">
        <f aca="false">IF(B34="","",IFERROR(INDEX(Execuções!$B$2:$B$97,MATCH(B34,Execuções!$A$2:$A$97,0)),"ID?"))</f>
        <v/>
      </c>
      <c r="E34" s="11" t="str">
        <f aca="false">IF(B34="","",Apontamentos!D34)</f>
        <v/>
      </c>
      <c r="F34" s="11" t="str">
        <f aca="false">IF(B34="","",Apontamentos!E34)</f>
        <v/>
      </c>
      <c r="G34" s="10" t="str">
        <f aca="false">IF(B34="","",Apontamentos!G34&amp;"")</f>
        <v/>
      </c>
      <c r="H34" s="14" t="str">
        <f aca="false">IF('Avaliador 1'!F34='Avaliador 2'!F34,'Avaliador 1'!F34&amp;"","")</f>
        <v/>
      </c>
      <c r="I34" s="14" t="str">
        <f aca="false">IF('Avaliador 1'!G34='Avaliador 2'!G34,'Avaliador 1'!G34&amp;"","")</f>
        <v/>
      </c>
      <c r="J34" s="14" t="str">
        <f aca="false">IF('Avaliador 1'!H34='Avaliador 2'!H34,'Avaliador 1'!H34&amp;"","")</f>
        <v/>
      </c>
      <c r="K34" s="14" t="str">
        <f aca="false">IF('Avaliador 1'!I34='Avaliador 2'!I34,'Avaliador 1'!I34&amp;"","")</f>
        <v/>
      </c>
      <c r="L34" s="13"/>
      <c r="M34" s="13" t="str">
        <f aca="false">IF('Avaliador 1'!J34='Avaliador 2'!J34,'Avaliador 1'!J34&amp;"","")</f>
        <v/>
      </c>
      <c r="N34" s="11" t="str">
        <f aca="false">IF(OR('Avaliador 1'!F34="",'Avaliador 2'!F34=""),"",IF(AND('Avaliador 1'!F34='Avaliador 2'!F34,'Avaliador 1'!G34='Avaliador 2'!G34,'Avaliador 1'!H34='Avaliador 2'!H34,'Avaliador 1'!I34='Avaliador 2'!I34),"Não","Sim"))</f>
        <v/>
      </c>
      <c r="O34" s="14"/>
      <c r="P34" s="10" t="str">
        <f aca="false">IF(LEN(H34)=3,"Defeito encontrado",IF(I34="Sim","Falso alarme",IF(H34="—","Nenhum defeito apontado","")))</f>
        <v/>
      </c>
    </row>
    <row r="35" customFormat="false" ht="15" hidden="false" customHeight="false" outlineLevel="0" collapsed="false">
      <c r="A35" s="11" t="str">
        <f aca="false">Apontamentos!C35</f>
        <v/>
      </c>
      <c r="B35" s="11" t="str">
        <f aca="false">IF(Apontamentos!$C35="","",Apontamentos!A35&amp;"")</f>
        <v/>
      </c>
      <c r="C35" s="11" t="str">
        <f aca="false">IF(B35="","",IFERROR(INDEX(Execuções!$C$2:$C$97,MATCH(B35,Execuções!$A$2:$A$97,0)),"ID?"))</f>
        <v/>
      </c>
      <c r="D35" s="10" t="str">
        <f aca="false">IF(B35="","",IFERROR(INDEX(Execuções!$B$2:$B$97,MATCH(B35,Execuções!$A$2:$A$97,0)),"ID?"))</f>
        <v/>
      </c>
      <c r="E35" s="11" t="str">
        <f aca="false">IF(B35="","",Apontamentos!D35)</f>
        <v/>
      </c>
      <c r="F35" s="11" t="str">
        <f aca="false">IF(B35="","",Apontamentos!E35)</f>
        <v/>
      </c>
      <c r="G35" s="10" t="str">
        <f aca="false">IF(B35="","",Apontamentos!G35&amp;"")</f>
        <v/>
      </c>
      <c r="H35" s="14" t="str">
        <f aca="false">IF('Avaliador 1'!F35='Avaliador 2'!F35,'Avaliador 1'!F35&amp;"","")</f>
        <v/>
      </c>
      <c r="I35" s="14" t="str">
        <f aca="false">IF('Avaliador 1'!G35='Avaliador 2'!G35,'Avaliador 1'!G35&amp;"","")</f>
        <v/>
      </c>
      <c r="J35" s="14" t="str">
        <f aca="false">IF('Avaliador 1'!H35='Avaliador 2'!H35,'Avaliador 1'!H35&amp;"","")</f>
        <v/>
      </c>
      <c r="K35" s="14" t="str">
        <f aca="false">IF('Avaliador 1'!I35='Avaliador 2'!I35,'Avaliador 1'!I35&amp;"","")</f>
        <v/>
      </c>
      <c r="L35" s="13"/>
      <c r="M35" s="13" t="str">
        <f aca="false">IF('Avaliador 1'!J35='Avaliador 2'!J35,'Avaliador 1'!J35&amp;"","")</f>
        <v/>
      </c>
      <c r="N35" s="11" t="str">
        <f aca="false">IF(OR('Avaliador 1'!F35="",'Avaliador 2'!F35=""),"",IF(AND('Avaliador 1'!F35='Avaliador 2'!F35,'Avaliador 1'!G35='Avaliador 2'!G35,'Avaliador 1'!H35='Avaliador 2'!H35,'Avaliador 1'!I35='Avaliador 2'!I35),"Não","Sim"))</f>
        <v/>
      </c>
      <c r="O35" s="14"/>
      <c r="P35" s="10" t="str">
        <f aca="false">IF(LEN(H35)=3,"Defeito encontrado",IF(I35="Sim","Falso alarme",IF(H35="—","Nenhum defeito apontado","")))</f>
        <v/>
      </c>
    </row>
    <row r="36" customFormat="false" ht="15" hidden="false" customHeight="false" outlineLevel="0" collapsed="false">
      <c r="A36" s="11" t="str">
        <f aca="false">Apontamentos!C36</f>
        <v/>
      </c>
      <c r="B36" s="11" t="str">
        <f aca="false">IF(Apontamentos!$C36="","",Apontamentos!A36&amp;"")</f>
        <v/>
      </c>
      <c r="C36" s="11" t="str">
        <f aca="false">IF(B36="","",IFERROR(INDEX(Execuções!$C$2:$C$97,MATCH(B36,Execuções!$A$2:$A$97,0)),"ID?"))</f>
        <v/>
      </c>
      <c r="D36" s="10" t="str">
        <f aca="false">IF(B36="","",IFERROR(INDEX(Execuções!$B$2:$B$97,MATCH(B36,Execuções!$A$2:$A$97,0)),"ID?"))</f>
        <v/>
      </c>
      <c r="E36" s="11" t="str">
        <f aca="false">IF(B36="","",Apontamentos!D36)</f>
        <v/>
      </c>
      <c r="F36" s="11" t="str">
        <f aca="false">IF(B36="","",Apontamentos!E36)</f>
        <v/>
      </c>
      <c r="G36" s="10" t="str">
        <f aca="false">IF(B36="","",Apontamentos!G36&amp;"")</f>
        <v/>
      </c>
      <c r="H36" s="14" t="str">
        <f aca="false">IF('Avaliador 1'!F36='Avaliador 2'!F36,'Avaliador 1'!F36&amp;"","")</f>
        <v/>
      </c>
      <c r="I36" s="14" t="str">
        <f aca="false">IF('Avaliador 1'!G36='Avaliador 2'!G36,'Avaliador 1'!G36&amp;"","")</f>
        <v/>
      </c>
      <c r="J36" s="14" t="str">
        <f aca="false">IF('Avaliador 1'!H36='Avaliador 2'!H36,'Avaliador 1'!H36&amp;"","")</f>
        <v/>
      </c>
      <c r="K36" s="14" t="str">
        <f aca="false">IF('Avaliador 1'!I36='Avaliador 2'!I36,'Avaliador 1'!I36&amp;"","")</f>
        <v/>
      </c>
      <c r="L36" s="13"/>
      <c r="M36" s="13" t="str">
        <f aca="false">IF('Avaliador 1'!J36='Avaliador 2'!J36,'Avaliador 1'!J36&amp;"","")</f>
        <v/>
      </c>
      <c r="N36" s="11" t="str">
        <f aca="false">IF(OR('Avaliador 1'!F36="",'Avaliador 2'!F36=""),"",IF(AND('Avaliador 1'!F36='Avaliador 2'!F36,'Avaliador 1'!G36='Avaliador 2'!G36,'Avaliador 1'!H36='Avaliador 2'!H36,'Avaliador 1'!I36='Avaliador 2'!I36),"Não","Sim"))</f>
        <v/>
      </c>
      <c r="O36" s="14"/>
      <c r="P36" s="10" t="str">
        <f aca="false">IF(LEN(H36)=3,"Defeito encontrado",IF(I36="Sim","Falso alarme",IF(H36="—","Nenhum defeito apontado","")))</f>
        <v/>
      </c>
    </row>
    <row r="37" customFormat="false" ht="15" hidden="false" customHeight="false" outlineLevel="0" collapsed="false">
      <c r="A37" s="11" t="str">
        <f aca="false">Apontamentos!C37</f>
        <v/>
      </c>
      <c r="B37" s="11" t="str">
        <f aca="false">IF(Apontamentos!$C37="","",Apontamentos!A37&amp;"")</f>
        <v/>
      </c>
      <c r="C37" s="11" t="str">
        <f aca="false">IF(B37="","",IFERROR(INDEX(Execuções!$C$2:$C$97,MATCH(B37,Execuções!$A$2:$A$97,0)),"ID?"))</f>
        <v/>
      </c>
      <c r="D37" s="10" t="str">
        <f aca="false">IF(B37="","",IFERROR(INDEX(Execuções!$B$2:$B$97,MATCH(B37,Execuções!$A$2:$A$97,0)),"ID?"))</f>
        <v/>
      </c>
      <c r="E37" s="11" t="str">
        <f aca="false">IF(B37="","",Apontamentos!D37)</f>
        <v/>
      </c>
      <c r="F37" s="11" t="str">
        <f aca="false">IF(B37="","",Apontamentos!E37)</f>
        <v/>
      </c>
      <c r="G37" s="10" t="str">
        <f aca="false">IF(B37="","",Apontamentos!G37&amp;"")</f>
        <v/>
      </c>
      <c r="H37" s="14" t="str">
        <f aca="false">IF('Avaliador 1'!F37='Avaliador 2'!F37,'Avaliador 1'!F37&amp;"","")</f>
        <v/>
      </c>
      <c r="I37" s="14" t="str">
        <f aca="false">IF('Avaliador 1'!G37='Avaliador 2'!G37,'Avaliador 1'!G37&amp;"","")</f>
        <v/>
      </c>
      <c r="J37" s="14" t="str">
        <f aca="false">IF('Avaliador 1'!H37='Avaliador 2'!H37,'Avaliador 1'!H37&amp;"","")</f>
        <v/>
      </c>
      <c r="K37" s="14" t="str">
        <f aca="false">IF('Avaliador 1'!I37='Avaliador 2'!I37,'Avaliador 1'!I37&amp;"","")</f>
        <v/>
      </c>
      <c r="L37" s="13"/>
      <c r="M37" s="13" t="str">
        <f aca="false">IF('Avaliador 1'!J37='Avaliador 2'!J37,'Avaliador 1'!J37&amp;"","")</f>
        <v/>
      </c>
      <c r="N37" s="11" t="str">
        <f aca="false">IF(OR('Avaliador 1'!F37="",'Avaliador 2'!F37=""),"",IF(AND('Avaliador 1'!F37='Avaliador 2'!F37,'Avaliador 1'!G37='Avaliador 2'!G37,'Avaliador 1'!H37='Avaliador 2'!H37,'Avaliador 1'!I37='Avaliador 2'!I37),"Não","Sim"))</f>
        <v/>
      </c>
      <c r="O37" s="14"/>
      <c r="P37" s="10" t="str">
        <f aca="false">IF(LEN(H37)=3,"Defeito encontrado",IF(I37="Sim","Falso alarme",IF(H37="—","Nenhum defeito apontado","")))</f>
        <v/>
      </c>
    </row>
    <row r="38" customFormat="false" ht="15" hidden="false" customHeight="false" outlineLevel="0" collapsed="false">
      <c r="A38" s="11" t="str">
        <f aca="false">Apontamentos!C38</f>
        <v/>
      </c>
      <c r="B38" s="11" t="str">
        <f aca="false">IF(Apontamentos!$C38="","",Apontamentos!A38&amp;"")</f>
        <v/>
      </c>
      <c r="C38" s="11" t="str">
        <f aca="false">IF(B38="","",IFERROR(INDEX(Execuções!$C$2:$C$97,MATCH(B38,Execuções!$A$2:$A$97,0)),"ID?"))</f>
        <v/>
      </c>
      <c r="D38" s="10" t="str">
        <f aca="false">IF(B38="","",IFERROR(INDEX(Execuções!$B$2:$B$97,MATCH(B38,Execuções!$A$2:$A$97,0)),"ID?"))</f>
        <v/>
      </c>
      <c r="E38" s="11" t="str">
        <f aca="false">IF(B38="","",Apontamentos!D38)</f>
        <v/>
      </c>
      <c r="F38" s="11" t="str">
        <f aca="false">IF(B38="","",Apontamentos!E38)</f>
        <v/>
      </c>
      <c r="G38" s="10" t="str">
        <f aca="false">IF(B38="","",Apontamentos!G38&amp;"")</f>
        <v/>
      </c>
      <c r="H38" s="14" t="str">
        <f aca="false">IF('Avaliador 1'!F38='Avaliador 2'!F38,'Avaliador 1'!F38&amp;"","")</f>
        <v/>
      </c>
      <c r="I38" s="14" t="str">
        <f aca="false">IF('Avaliador 1'!G38='Avaliador 2'!G38,'Avaliador 1'!G38&amp;"","")</f>
        <v/>
      </c>
      <c r="J38" s="14" t="str">
        <f aca="false">IF('Avaliador 1'!H38='Avaliador 2'!H38,'Avaliador 1'!H38&amp;"","")</f>
        <v/>
      </c>
      <c r="K38" s="14" t="str">
        <f aca="false">IF('Avaliador 1'!I38='Avaliador 2'!I38,'Avaliador 1'!I38&amp;"","")</f>
        <v/>
      </c>
      <c r="L38" s="13"/>
      <c r="M38" s="13" t="str">
        <f aca="false">IF('Avaliador 1'!J38='Avaliador 2'!J38,'Avaliador 1'!J38&amp;"","")</f>
        <v/>
      </c>
      <c r="N38" s="11" t="str">
        <f aca="false">IF(OR('Avaliador 1'!F38="",'Avaliador 2'!F38=""),"",IF(AND('Avaliador 1'!F38='Avaliador 2'!F38,'Avaliador 1'!G38='Avaliador 2'!G38,'Avaliador 1'!H38='Avaliador 2'!H38,'Avaliador 1'!I38='Avaliador 2'!I38),"Não","Sim"))</f>
        <v/>
      </c>
      <c r="O38" s="14"/>
      <c r="P38" s="10" t="str">
        <f aca="false">IF(LEN(H38)=3,"Defeito encontrado",IF(I38="Sim","Falso alarme",IF(H38="—","Nenhum defeito apontado","")))</f>
        <v/>
      </c>
    </row>
    <row r="39" customFormat="false" ht="15" hidden="false" customHeight="false" outlineLevel="0" collapsed="false">
      <c r="A39" s="11" t="str">
        <f aca="false">Apontamentos!C39</f>
        <v/>
      </c>
      <c r="B39" s="11" t="str">
        <f aca="false">IF(Apontamentos!$C39="","",Apontamentos!A39&amp;"")</f>
        <v/>
      </c>
      <c r="C39" s="11" t="str">
        <f aca="false">IF(B39="","",IFERROR(INDEX(Execuções!$C$2:$C$97,MATCH(B39,Execuções!$A$2:$A$97,0)),"ID?"))</f>
        <v/>
      </c>
      <c r="D39" s="10" t="str">
        <f aca="false">IF(B39="","",IFERROR(INDEX(Execuções!$B$2:$B$97,MATCH(B39,Execuções!$A$2:$A$97,0)),"ID?"))</f>
        <v/>
      </c>
      <c r="E39" s="11" t="str">
        <f aca="false">IF(B39="","",Apontamentos!D39)</f>
        <v/>
      </c>
      <c r="F39" s="11" t="str">
        <f aca="false">IF(B39="","",Apontamentos!E39)</f>
        <v/>
      </c>
      <c r="G39" s="10" t="str">
        <f aca="false">IF(B39="","",Apontamentos!G39&amp;"")</f>
        <v/>
      </c>
      <c r="H39" s="14" t="str">
        <f aca="false">IF('Avaliador 1'!F39='Avaliador 2'!F39,'Avaliador 1'!F39&amp;"","")</f>
        <v/>
      </c>
      <c r="I39" s="14" t="str">
        <f aca="false">IF('Avaliador 1'!G39='Avaliador 2'!G39,'Avaliador 1'!G39&amp;"","")</f>
        <v/>
      </c>
      <c r="J39" s="14" t="str">
        <f aca="false">IF('Avaliador 1'!H39='Avaliador 2'!H39,'Avaliador 1'!H39&amp;"","")</f>
        <v/>
      </c>
      <c r="K39" s="14" t="str">
        <f aca="false">IF('Avaliador 1'!I39='Avaliador 2'!I39,'Avaliador 1'!I39&amp;"","")</f>
        <v/>
      </c>
      <c r="L39" s="13"/>
      <c r="M39" s="13" t="str">
        <f aca="false">IF('Avaliador 1'!J39='Avaliador 2'!J39,'Avaliador 1'!J39&amp;"","")</f>
        <v/>
      </c>
      <c r="N39" s="11" t="str">
        <f aca="false">IF(OR('Avaliador 1'!F39="",'Avaliador 2'!F39=""),"",IF(AND('Avaliador 1'!F39='Avaliador 2'!F39,'Avaliador 1'!G39='Avaliador 2'!G39,'Avaliador 1'!H39='Avaliador 2'!H39,'Avaliador 1'!I39='Avaliador 2'!I39),"Não","Sim"))</f>
        <v/>
      </c>
      <c r="O39" s="14"/>
      <c r="P39" s="10" t="str">
        <f aca="false">IF(LEN(H39)=3,"Defeito encontrado",IF(I39="Sim","Falso alarme",IF(H39="—","Nenhum defeito apontado","")))</f>
        <v/>
      </c>
    </row>
    <row r="40" customFormat="false" ht="15" hidden="false" customHeight="false" outlineLevel="0" collapsed="false">
      <c r="A40" s="11" t="str">
        <f aca="false">Apontamentos!C40</f>
        <v/>
      </c>
      <c r="B40" s="11" t="str">
        <f aca="false">IF(Apontamentos!$C40="","",Apontamentos!A40&amp;"")</f>
        <v/>
      </c>
      <c r="C40" s="11" t="str">
        <f aca="false">IF(B40="","",IFERROR(INDEX(Execuções!$C$2:$C$97,MATCH(B40,Execuções!$A$2:$A$97,0)),"ID?"))</f>
        <v/>
      </c>
      <c r="D40" s="10" t="str">
        <f aca="false">IF(B40="","",IFERROR(INDEX(Execuções!$B$2:$B$97,MATCH(B40,Execuções!$A$2:$A$97,0)),"ID?"))</f>
        <v/>
      </c>
      <c r="E40" s="11" t="str">
        <f aca="false">IF(B40="","",Apontamentos!D40)</f>
        <v/>
      </c>
      <c r="F40" s="11" t="str">
        <f aca="false">IF(B40="","",Apontamentos!E40)</f>
        <v/>
      </c>
      <c r="G40" s="10" t="str">
        <f aca="false">IF(B40="","",Apontamentos!G40&amp;"")</f>
        <v/>
      </c>
      <c r="H40" s="14" t="str">
        <f aca="false">IF('Avaliador 1'!F40='Avaliador 2'!F40,'Avaliador 1'!F40&amp;"","")</f>
        <v/>
      </c>
      <c r="I40" s="14" t="str">
        <f aca="false">IF('Avaliador 1'!G40='Avaliador 2'!G40,'Avaliador 1'!G40&amp;"","")</f>
        <v/>
      </c>
      <c r="J40" s="14" t="str">
        <f aca="false">IF('Avaliador 1'!H40='Avaliador 2'!H40,'Avaliador 1'!H40&amp;"","")</f>
        <v/>
      </c>
      <c r="K40" s="14" t="str">
        <f aca="false">IF('Avaliador 1'!I40='Avaliador 2'!I40,'Avaliador 1'!I40&amp;"","")</f>
        <v/>
      </c>
      <c r="L40" s="13"/>
      <c r="M40" s="13" t="str">
        <f aca="false">IF('Avaliador 1'!J40='Avaliador 2'!J40,'Avaliador 1'!J40&amp;"","")</f>
        <v/>
      </c>
      <c r="N40" s="11" t="str">
        <f aca="false">IF(OR('Avaliador 1'!F40="",'Avaliador 2'!F40=""),"",IF(AND('Avaliador 1'!F40='Avaliador 2'!F40,'Avaliador 1'!G40='Avaliador 2'!G40,'Avaliador 1'!H40='Avaliador 2'!H40,'Avaliador 1'!I40='Avaliador 2'!I40),"Não","Sim"))</f>
        <v/>
      </c>
      <c r="O40" s="14"/>
      <c r="P40" s="10" t="str">
        <f aca="false">IF(LEN(H40)=3,"Defeito encontrado",IF(I40="Sim","Falso alarme",IF(H40="—","Nenhum defeito apontado","")))</f>
        <v/>
      </c>
    </row>
    <row r="41" customFormat="false" ht="15" hidden="false" customHeight="false" outlineLevel="0" collapsed="false">
      <c r="A41" s="11" t="str">
        <f aca="false">Apontamentos!C41</f>
        <v/>
      </c>
      <c r="B41" s="11" t="str">
        <f aca="false">IF(Apontamentos!$C41="","",Apontamentos!A41&amp;"")</f>
        <v/>
      </c>
      <c r="C41" s="11" t="str">
        <f aca="false">IF(B41="","",IFERROR(INDEX(Execuções!$C$2:$C$97,MATCH(B41,Execuções!$A$2:$A$97,0)),"ID?"))</f>
        <v/>
      </c>
      <c r="D41" s="10" t="str">
        <f aca="false">IF(B41="","",IFERROR(INDEX(Execuções!$B$2:$B$97,MATCH(B41,Execuções!$A$2:$A$97,0)),"ID?"))</f>
        <v/>
      </c>
      <c r="E41" s="11" t="str">
        <f aca="false">IF(B41="","",Apontamentos!D41)</f>
        <v/>
      </c>
      <c r="F41" s="11" t="str">
        <f aca="false">IF(B41="","",Apontamentos!E41)</f>
        <v/>
      </c>
      <c r="G41" s="10" t="str">
        <f aca="false">IF(B41="","",Apontamentos!G41&amp;"")</f>
        <v/>
      </c>
      <c r="H41" s="14" t="str">
        <f aca="false">IF('Avaliador 1'!F41='Avaliador 2'!F41,'Avaliador 1'!F41&amp;"","")</f>
        <v/>
      </c>
      <c r="I41" s="14" t="str">
        <f aca="false">IF('Avaliador 1'!G41='Avaliador 2'!G41,'Avaliador 1'!G41&amp;"","")</f>
        <v/>
      </c>
      <c r="J41" s="14" t="str">
        <f aca="false">IF('Avaliador 1'!H41='Avaliador 2'!H41,'Avaliador 1'!H41&amp;"","")</f>
        <v/>
      </c>
      <c r="K41" s="14" t="str">
        <f aca="false">IF('Avaliador 1'!I41='Avaliador 2'!I41,'Avaliador 1'!I41&amp;"","")</f>
        <v/>
      </c>
      <c r="L41" s="13"/>
      <c r="M41" s="13" t="str">
        <f aca="false">IF('Avaliador 1'!J41='Avaliador 2'!J41,'Avaliador 1'!J41&amp;"","")</f>
        <v/>
      </c>
      <c r="N41" s="11" t="str">
        <f aca="false">IF(OR('Avaliador 1'!F41="",'Avaliador 2'!F41=""),"",IF(AND('Avaliador 1'!F41='Avaliador 2'!F41,'Avaliador 1'!G41='Avaliador 2'!G41,'Avaliador 1'!H41='Avaliador 2'!H41,'Avaliador 1'!I41='Avaliador 2'!I41),"Não","Sim"))</f>
        <v/>
      </c>
      <c r="O41" s="14"/>
      <c r="P41" s="10" t="str">
        <f aca="false">IF(LEN(H41)=3,"Defeito encontrado",IF(I41="Sim","Falso alarme",IF(H41="—","Nenhum defeito apontado","")))</f>
        <v/>
      </c>
    </row>
    <row r="42" customFormat="false" ht="15" hidden="false" customHeight="false" outlineLevel="0" collapsed="false">
      <c r="A42" s="11" t="str">
        <f aca="false">Apontamentos!C42</f>
        <v/>
      </c>
      <c r="B42" s="11" t="str">
        <f aca="false">IF(Apontamentos!$C42="","",Apontamentos!A42&amp;"")</f>
        <v/>
      </c>
      <c r="C42" s="11" t="str">
        <f aca="false">IF(B42="","",IFERROR(INDEX(Execuções!$C$2:$C$97,MATCH(B42,Execuções!$A$2:$A$97,0)),"ID?"))</f>
        <v/>
      </c>
      <c r="D42" s="10" t="str">
        <f aca="false">IF(B42="","",IFERROR(INDEX(Execuções!$B$2:$B$97,MATCH(B42,Execuções!$A$2:$A$97,0)),"ID?"))</f>
        <v/>
      </c>
      <c r="E42" s="11" t="str">
        <f aca="false">IF(B42="","",Apontamentos!D42)</f>
        <v/>
      </c>
      <c r="F42" s="11" t="str">
        <f aca="false">IF(B42="","",Apontamentos!E42)</f>
        <v/>
      </c>
      <c r="G42" s="10" t="str">
        <f aca="false">IF(B42="","",Apontamentos!G42&amp;"")</f>
        <v/>
      </c>
      <c r="H42" s="14" t="str">
        <f aca="false">IF('Avaliador 1'!F42='Avaliador 2'!F42,'Avaliador 1'!F42&amp;"","")</f>
        <v/>
      </c>
      <c r="I42" s="14" t="str">
        <f aca="false">IF('Avaliador 1'!G42='Avaliador 2'!G42,'Avaliador 1'!G42&amp;"","")</f>
        <v/>
      </c>
      <c r="J42" s="14" t="str">
        <f aca="false">IF('Avaliador 1'!H42='Avaliador 2'!H42,'Avaliador 1'!H42&amp;"","")</f>
        <v/>
      </c>
      <c r="K42" s="14" t="str">
        <f aca="false">IF('Avaliador 1'!I42='Avaliador 2'!I42,'Avaliador 1'!I42&amp;"","")</f>
        <v/>
      </c>
      <c r="L42" s="13"/>
      <c r="M42" s="13" t="str">
        <f aca="false">IF('Avaliador 1'!J42='Avaliador 2'!J42,'Avaliador 1'!J42&amp;"","")</f>
        <v/>
      </c>
      <c r="N42" s="11" t="str">
        <f aca="false">IF(OR('Avaliador 1'!F42="",'Avaliador 2'!F42=""),"",IF(AND('Avaliador 1'!F42='Avaliador 2'!F42,'Avaliador 1'!G42='Avaliador 2'!G42,'Avaliador 1'!H42='Avaliador 2'!H42,'Avaliador 1'!I42='Avaliador 2'!I42),"Não","Sim"))</f>
        <v/>
      </c>
      <c r="O42" s="14"/>
      <c r="P42" s="10" t="str">
        <f aca="false">IF(LEN(H42)=3,"Defeito encontrado",IF(I42="Sim","Falso alarme",IF(H42="—","Nenhum defeito apontado","")))</f>
        <v/>
      </c>
    </row>
    <row r="43" customFormat="false" ht="15" hidden="false" customHeight="false" outlineLevel="0" collapsed="false">
      <c r="A43" s="11" t="str">
        <f aca="false">Apontamentos!C43</f>
        <v/>
      </c>
      <c r="B43" s="11" t="str">
        <f aca="false">IF(Apontamentos!$C43="","",Apontamentos!A43&amp;"")</f>
        <v/>
      </c>
      <c r="C43" s="11" t="str">
        <f aca="false">IF(B43="","",IFERROR(INDEX(Execuções!$C$2:$C$97,MATCH(B43,Execuções!$A$2:$A$97,0)),"ID?"))</f>
        <v/>
      </c>
      <c r="D43" s="10" t="str">
        <f aca="false">IF(B43="","",IFERROR(INDEX(Execuções!$B$2:$B$97,MATCH(B43,Execuções!$A$2:$A$97,0)),"ID?"))</f>
        <v/>
      </c>
      <c r="E43" s="11" t="str">
        <f aca="false">IF(B43="","",Apontamentos!D43)</f>
        <v/>
      </c>
      <c r="F43" s="11" t="str">
        <f aca="false">IF(B43="","",Apontamentos!E43)</f>
        <v/>
      </c>
      <c r="G43" s="10" t="str">
        <f aca="false">IF(B43="","",Apontamentos!G43&amp;"")</f>
        <v/>
      </c>
      <c r="H43" s="14" t="str">
        <f aca="false">IF('Avaliador 1'!F43='Avaliador 2'!F43,'Avaliador 1'!F43&amp;"","")</f>
        <v/>
      </c>
      <c r="I43" s="14" t="str">
        <f aca="false">IF('Avaliador 1'!G43='Avaliador 2'!G43,'Avaliador 1'!G43&amp;"","")</f>
        <v/>
      </c>
      <c r="J43" s="14" t="str">
        <f aca="false">IF('Avaliador 1'!H43='Avaliador 2'!H43,'Avaliador 1'!H43&amp;"","")</f>
        <v/>
      </c>
      <c r="K43" s="14" t="str">
        <f aca="false">IF('Avaliador 1'!I43='Avaliador 2'!I43,'Avaliador 1'!I43&amp;"","")</f>
        <v/>
      </c>
      <c r="L43" s="13"/>
      <c r="M43" s="13" t="str">
        <f aca="false">IF('Avaliador 1'!J43='Avaliador 2'!J43,'Avaliador 1'!J43&amp;"","")</f>
        <v/>
      </c>
      <c r="N43" s="11" t="str">
        <f aca="false">IF(OR('Avaliador 1'!F43="",'Avaliador 2'!F43=""),"",IF(AND('Avaliador 1'!F43='Avaliador 2'!F43,'Avaliador 1'!G43='Avaliador 2'!G43,'Avaliador 1'!H43='Avaliador 2'!H43,'Avaliador 1'!I43='Avaliador 2'!I43),"Não","Sim"))</f>
        <v/>
      </c>
      <c r="O43" s="14"/>
      <c r="P43" s="10" t="str">
        <f aca="false">IF(LEN(H43)=3,"Defeito encontrado",IF(I43="Sim","Falso alarme",IF(H43="—","Nenhum defeito apontado","")))</f>
        <v/>
      </c>
    </row>
    <row r="44" customFormat="false" ht="15" hidden="false" customHeight="false" outlineLevel="0" collapsed="false">
      <c r="A44" s="11" t="str">
        <f aca="false">Apontamentos!C44</f>
        <v/>
      </c>
      <c r="B44" s="11" t="str">
        <f aca="false">IF(Apontamentos!$C44="","",Apontamentos!A44&amp;"")</f>
        <v/>
      </c>
      <c r="C44" s="11" t="str">
        <f aca="false">IF(B44="","",IFERROR(INDEX(Execuções!$C$2:$C$97,MATCH(B44,Execuções!$A$2:$A$97,0)),"ID?"))</f>
        <v/>
      </c>
      <c r="D44" s="10" t="str">
        <f aca="false">IF(B44="","",IFERROR(INDEX(Execuções!$B$2:$B$97,MATCH(B44,Execuções!$A$2:$A$97,0)),"ID?"))</f>
        <v/>
      </c>
      <c r="E44" s="11" t="str">
        <f aca="false">IF(B44="","",Apontamentos!D44)</f>
        <v/>
      </c>
      <c r="F44" s="11" t="str">
        <f aca="false">IF(B44="","",Apontamentos!E44)</f>
        <v/>
      </c>
      <c r="G44" s="10" t="str">
        <f aca="false">IF(B44="","",Apontamentos!G44&amp;"")</f>
        <v/>
      </c>
      <c r="H44" s="14" t="str">
        <f aca="false">IF('Avaliador 1'!F44='Avaliador 2'!F44,'Avaliador 1'!F44&amp;"","")</f>
        <v/>
      </c>
      <c r="I44" s="14" t="str">
        <f aca="false">IF('Avaliador 1'!G44='Avaliador 2'!G44,'Avaliador 1'!G44&amp;"","")</f>
        <v/>
      </c>
      <c r="J44" s="14" t="str">
        <f aca="false">IF('Avaliador 1'!H44='Avaliador 2'!H44,'Avaliador 1'!H44&amp;"","")</f>
        <v/>
      </c>
      <c r="K44" s="14" t="str">
        <f aca="false">IF('Avaliador 1'!I44='Avaliador 2'!I44,'Avaliador 1'!I44&amp;"","")</f>
        <v/>
      </c>
      <c r="L44" s="13"/>
      <c r="M44" s="13" t="str">
        <f aca="false">IF('Avaliador 1'!J44='Avaliador 2'!J44,'Avaliador 1'!J44&amp;"","")</f>
        <v/>
      </c>
      <c r="N44" s="11" t="str">
        <f aca="false">IF(OR('Avaliador 1'!F44="",'Avaliador 2'!F44=""),"",IF(AND('Avaliador 1'!F44='Avaliador 2'!F44,'Avaliador 1'!G44='Avaliador 2'!G44,'Avaliador 1'!H44='Avaliador 2'!H44,'Avaliador 1'!I44='Avaliador 2'!I44),"Não","Sim"))</f>
        <v/>
      </c>
      <c r="O44" s="14"/>
      <c r="P44" s="10" t="str">
        <f aca="false">IF(LEN(H44)=3,"Defeito encontrado",IF(I44="Sim","Falso alarme",IF(H44="—","Nenhum defeito apontado","")))</f>
        <v/>
      </c>
    </row>
    <row r="45" customFormat="false" ht="15" hidden="false" customHeight="false" outlineLevel="0" collapsed="false">
      <c r="A45" s="11" t="str">
        <f aca="false">Apontamentos!C45</f>
        <v/>
      </c>
      <c r="B45" s="11" t="str">
        <f aca="false">IF(Apontamentos!$C45="","",Apontamentos!A45&amp;"")</f>
        <v/>
      </c>
      <c r="C45" s="11" t="str">
        <f aca="false">IF(B45="","",IFERROR(INDEX(Execuções!$C$2:$C$97,MATCH(B45,Execuções!$A$2:$A$97,0)),"ID?"))</f>
        <v/>
      </c>
      <c r="D45" s="10" t="str">
        <f aca="false">IF(B45="","",IFERROR(INDEX(Execuções!$B$2:$B$97,MATCH(B45,Execuções!$A$2:$A$97,0)),"ID?"))</f>
        <v/>
      </c>
      <c r="E45" s="11" t="str">
        <f aca="false">IF(B45="","",Apontamentos!D45)</f>
        <v/>
      </c>
      <c r="F45" s="11" t="str">
        <f aca="false">IF(B45="","",Apontamentos!E45)</f>
        <v/>
      </c>
      <c r="G45" s="10" t="str">
        <f aca="false">IF(B45="","",Apontamentos!G45&amp;"")</f>
        <v/>
      </c>
      <c r="H45" s="14" t="str">
        <f aca="false">IF('Avaliador 1'!F45='Avaliador 2'!F45,'Avaliador 1'!F45&amp;"","")</f>
        <v/>
      </c>
      <c r="I45" s="14" t="str">
        <f aca="false">IF('Avaliador 1'!G45='Avaliador 2'!G45,'Avaliador 1'!G45&amp;"","")</f>
        <v/>
      </c>
      <c r="J45" s="14" t="str">
        <f aca="false">IF('Avaliador 1'!H45='Avaliador 2'!H45,'Avaliador 1'!H45&amp;"","")</f>
        <v/>
      </c>
      <c r="K45" s="14" t="str">
        <f aca="false">IF('Avaliador 1'!I45='Avaliador 2'!I45,'Avaliador 1'!I45&amp;"","")</f>
        <v/>
      </c>
      <c r="L45" s="13"/>
      <c r="M45" s="13" t="str">
        <f aca="false">IF('Avaliador 1'!J45='Avaliador 2'!J45,'Avaliador 1'!J45&amp;"","")</f>
        <v/>
      </c>
      <c r="N45" s="11" t="str">
        <f aca="false">IF(OR('Avaliador 1'!F45="",'Avaliador 2'!F45=""),"",IF(AND('Avaliador 1'!F45='Avaliador 2'!F45,'Avaliador 1'!G45='Avaliador 2'!G45,'Avaliador 1'!H45='Avaliador 2'!H45,'Avaliador 1'!I45='Avaliador 2'!I45),"Não","Sim"))</f>
        <v/>
      </c>
      <c r="O45" s="14"/>
      <c r="P45" s="10" t="str">
        <f aca="false">IF(LEN(H45)=3,"Defeito encontrado",IF(I45="Sim","Falso alarme",IF(H45="—","Nenhum defeito apontado","")))</f>
        <v/>
      </c>
    </row>
    <row r="46" customFormat="false" ht="15" hidden="false" customHeight="false" outlineLevel="0" collapsed="false">
      <c r="A46" s="11" t="str">
        <f aca="false">Apontamentos!C46</f>
        <v/>
      </c>
      <c r="B46" s="11" t="str">
        <f aca="false">IF(Apontamentos!$C46="","",Apontamentos!A46&amp;"")</f>
        <v/>
      </c>
      <c r="C46" s="11" t="str">
        <f aca="false">IF(B46="","",IFERROR(INDEX(Execuções!$C$2:$C$97,MATCH(B46,Execuções!$A$2:$A$97,0)),"ID?"))</f>
        <v/>
      </c>
      <c r="D46" s="10" t="str">
        <f aca="false">IF(B46="","",IFERROR(INDEX(Execuções!$B$2:$B$97,MATCH(B46,Execuções!$A$2:$A$97,0)),"ID?"))</f>
        <v/>
      </c>
      <c r="E46" s="11" t="str">
        <f aca="false">IF(B46="","",Apontamentos!D46)</f>
        <v/>
      </c>
      <c r="F46" s="11" t="str">
        <f aca="false">IF(B46="","",Apontamentos!E46)</f>
        <v/>
      </c>
      <c r="G46" s="10" t="str">
        <f aca="false">IF(B46="","",Apontamentos!G46&amp;"")</f>
        <v/>
      </c>
      <c r="H46" s="14" t="str">
        <f aca="false">IF('Avaliador 1'!F46='Avaliador 2'!F46,'Avaliador 1'!F46&amp;"","")</f>
        <v/>
      </c>
      <c r="I46" s="14" t="str">
        <f aca="false">IF('Avaliador 1'!G46='Avaliador 2'!G46,'Avaliador 1'!G46&amp;"","")</f>
        <v/>
      </c>
      <c r="J46" s="14" t="str">
        <f aca="false">IF('Avaliador 1'!H46='Avaliador 2'!H46,'Avaliador 1'!H46&amp;"","")</f>
        <v/>
      </c>
      <c r="K46" s="14" t="str">
        <f aca="false">IF('Avaliador 1'!I46='Avaliador 2'!I46,'Avaliador 1'!I46&amp;"","")</f>
        <v/>
      </c>
      <c r="L46" s="13"/>
      <c r="M46" s="13" t="str">
        <f aca="false">IF('Avaliador 1'!J46='Avaliador 2'!J46,'Avaliador 1'!J46&amp;"","")</f>
        <v/>
      </c>
      <c r="N46" s="11" t="str">
        <f aca="false">IF(OR('Avaliador 1'!F46="",'Avaliador 2'!F46=""),"",IF(AND('Avaliador 1'!F46='Avaliador 2'!F46,'Avaliador 1'!G46='Avaliador 2'!G46,'Avaliador 1'!H46='Avaliador 2'!H46,'Avaliador 1'!I46='Avaliador 2'!I46),"Não","Sim"))</f>
        <v/>
      </c>
      <c r="O46" s="14"/>
      <c r="P46" s="10" t="str">
        <f aca="false">IF(LEN(H46)=3,"Defeito encontrado",IF(I46="Sim","Falso alarme",IF(H46="—","Nenhum defeito apontado","")))</f>
        <v/>
      </c>
    </row>
    <row r="47" customFormat="false" ht="15" hidden="false" customHeight="false" outlineLevel="0" collapsed="false">
      <c r="A47" s="11" t="str">
        <f aca="false">Apontamentos!C47</f>
        <v/>
      </c>
      <c r="B47" s="11" t="str">
        <f aca="false">IF(Apontamentos!$C47="","",Apontamentos!A47&amp;"")</f>
        <v/>
      </c>
      <c r="C47" s="11" t="str">
        <f aca="false">IF(B47="","",IFERROR(INDEX(Execuções!$C$2:$C$97,MATCH(B47,Execuções!$A$2:$A$97,0)),"ID?"))</f>
        <v/>
      </c>
      <c r="D47" s="10" t="str">
        <f aca="false">IF(B47="","",IFERROR(INDEX(Execuções!$B$2:$B$97,MATCH(B47,Execuções!$A$2:$A$97,0)),"ID?"))</f>
        <v/>
      </c>
      <c r="E47" s="11" t="str">
        <f aca="false">IF(B47="","",Apontamentos!D47)</f>
        <v/>
      </c>
      <c r="F47" s="11" t="str">
        <f aca="false">IF(B47="","",Apontamentos!E47)</f>
        <v/>
      </c>
      <c r="G47" s="10" t="str">
        <f aca="false">IF(B47="","",Apontamentos!G47&amp;"")</f>
        <v/>
      </c>
      <c r="H47" s="14" t="str">
        <f aca="false">IF('Avaliador 1'!F47='Avaliador 2'!F47,'Avaliador 1'!F47&amp;"","")</f>
        <v/>
      </c>
      <c r="I47" s="14" t="str">
        <f aca="false">IF('Avaliador 1'!G47='Avaliador 2'!G47,'Avaliador 1'!G47&amp;"","")</f>
        <v/>
      </c>
      <c r="J47" s="14" t="str">
        <f aca="false">IF('Avaliador 1'!H47='Avaliador 2'!H47,'Avaliador 1'!H47&amp;"","")</f>
        <v/>
      </c>
      <c r="K47" s="14" t="str">
        <f aca="false">IF('Avaliador 1'!I47='Avaliador 2'!I47,'Avaliador 1'!I47&amp;"","")</f>
        <v/>
      </c>
      <c r="L47" s="13"/>
      <c r="M47" s="13" t="str">
        <f aca="false">IF('Avaliador 1'!J47='Avaliador 2'!J47,'Avaliador 1'!J47&amp;"","")</f>
        <v/>
      </c>
      <c r="N47" s="11" t="str">
        <f aca="false">IF(OR('Avaliador 1'!F47="",'Avaliador 2'!F47=""),"",IF(AND('Avaliador 1'!F47='Avaliador 2'!F47,'Avaliador 1'!G47='Avaliador 2'!G47,'Avaliador 1'!H47='Avaliador 2'!H47,'Avaliador 1'!I47='Avaliador 2'!I47),"Não","Sim"))</f>
        <v/>
      </c>
      <c r="O47" s="14"/>
      <c r="P47" s="10" t="str">
        <f aca="false">IF(LEN(H47)=3,"Defeito encontrado",IF(I47="Sim","Falso alarme",IF(H47="—","Nenhum defeito apontado","")))</f>
        <v/>
      </c>
    </row>
    <row r="48" customFormat="false" ht="15" hidden="false" customHeight="false" outlineLevel="0" collapsed="false">
      <c r="A48" s="11" t="str">
        <f aca="false">Apontamentos!C48</f>
        <v/>
      </c>
      <c r="B48" s="11" t="str">
        <f aca="false">IF(Apontamentos!$C48="","",Apontamentos!A48&amp;"")</f>
        <v/>
      </c>
      <c r="C48" s="11" t="str">
        <f aca="false">IF(B48="","",IFERROR(INDEX(Execuções!$C$2:$C$97,MATCH(B48,Execuções!$A$2:$A$97,0)),"ID?"))</f>
        <v/>
      </c>
      <c r="D48" s="10" t="str">
        <f aca="false">IF(B48="","",IFERROR(INDEX(Execuções!$B$2:$B$97,MATCH(B48,Execuções!$A$2:$A$97,0)),"ID?"))</f>
        <v/>
      </c>
      <c r="E48" s="11" t="str">
        <f aca="false">IF(B48="","",Apontamentos!D48)</f>
        <v/>
      </c>
      <c r="F48" s="11" t="str">
        <f aca="false">IF(B48="","",Apontamentos!E48)</f>
        <v/>
      </c>
      <c r="G48" s="10" t="str">
        <f aca="false">IF(B48="","",Apontamentos!G48&amp;"")</f>
        <v/>
      </c>
      <c r="H48" s="14" t="str">
        <f aca="false">IF('Avaliador 1'!F48='Avaliador 2'!F48,'Avaliador 1'!F48&amp;"","")</f>
        <v/>
      </c>
      <c r="I48" s="14" t="str">
        <f aca="false">IF('Avaliador 1'!G48='Avaliador 2'!G48,'Avaliador 1'!G48&amp;"","")</f>
        <v/>
      </c>
      <c r="J48" s="14" t="str">
        <f aca="false">IF('Avaliador 1'!H48='Avaliador 2'!H48,'Avaliador 1'!H48&amp;"","")</f>
        <v/>
      </c>
      <c r="K48" s="14" t="str">
        <f aca="false">IF('Avaliador 1'!I48='Avaliador 2'!I48,'Avaliador 1'!I48&amp;"","")</f>
        <v/>
      </c>
      <c r="L48" s="13"/>
      <c r="M48" s="13" t="str">
        <f aca="false">IF('Avaliador 1'!J48='Avaliador 2'!J48,'Avaliador 1'!J48&amp;"","")</f>
        <v/>
      </c>
      <c r="N48" s="11" t="str">
        <f aca="false">IF(OR('Avaliador 1'!F48="",'Avaliador 2'!F48=""),"",IF(AND('Avaliador 1'!F48='Avaliador 2'!F48,'Avaliador 1'!G48='Avaliador 2'!G48,'Avaliador 1'!H48='Avaliador 2'!H48,'Avaliador 1'!I48='Avaliador 2'!I48),"Não","Sim"))</f>
        <v/>
      </c>
      <c r="O48" s="14"/>
      <c r="P48" s="10" t="str">
        <f aca="false">IF(LEN(H48)=3,"Defeito encontrado",IF(I48="Sim","Falso alarme",IF(H48="—","Nenhum defeito apontado","")))</f>
        <v/>
      </c>
    </row>
    <row r="49" customFormat="false" ht="15" hidden="false" customHeight="false" outlineLevel="0" collapsed="false">
      <c r="A49" s="11" t="str">
        <f aca="false">Apontamentos!C49</f>
        <v/>
      </c>
      <c r="B49" s="11" t="str">
        <f aca="false">IF(Apontamentos!$C49="","",Apontamentos!A49&amp;"")</f>
        <v/>
      </c>
      <c r="C49" s="11" t="str">
        <f aca="false">IF(B49="","",IFERROR(INDEX(Execuções!$C$2:$C$97,MATCH(B49,Execuções!$A$2:$A$97,0)),"ID?"))</f>
        <v/>
      </c>
      <c r="D49" s="10" t="str">
        <f aca="false">IF(B49="","",IFERROR(INDEX(Execuções!$B$2:$B$97,MATCH(B49,Execuções!$A$2:$A$97,0)),"ID?"))</f>
        <v/>
      </c>
      <c r="E49" s="11" t="str">
        <f aca="false">IF(B49="","",Apontamentos!D49)</f>
        <v/>
      </c>
      <c r="F49" s="11" t="str">
        <f aca="false">IF(B49="","",Apontamentos!E49)</f>
        <v/>
      </c>
      <c r="G49" s="10" t="str">
        <f aca="false">IF(B49="","",Apontamentos!G49&amp;"")</f>
        <v/>
      </c>
      <c r="H49" s="14" t="str">
        <f aca="false">IF('Avaliador 1'!F49='Avaliador 2'!F49,'Avaliador 1'!F49&amp;"","")</f>
        <v/>
      </c>
      <c r="I49" s="14" t="str">
        <f aca="false">IF('Avaliador 1'!G49='Avaliador 2'!G49,'Avaliador 1'!G49&amp;"","")</f>
        <v/>
      </c>
      <c r="J49" s="14" t="str">
        <f aca="false">IF('Avaliador 1'!H49='Avaliador 2'!H49,'Avaliador 1'!H49&amp;"","")</f>
        <v/>
      </c>
      <c r="K49" s="14" t="str">
        <f aca="false">IF('Avaliador 1'!I49='Avaliador 2'!I49,'Avaliador 1'!I49&amp;"","")</f>
        <v/>
      </c>
      <c r="L49" s="13"/>
      <c r="M49" s="13" t="str">
        <f aca="false">IF('Avaliador 1'!J49='Avaliador 2'!J49,'Avaliador 1'!J49&amp;"","")</f>
        <v/>
      </c>
      <c r="N49" s="11" t="str">
        <f aca="false">IF(OR('Avaliador 1'!F49="",'Avaliador 2'!F49=""),"",IF(AND('Avaliador 1'!F49='Avaliador 2'!F49,'Avaliador 1'!G49='Avaliador 2'!G49,'Avaliador 1'!H49='Avaliador 2'!H49,'Avaliador 1'!I49='Avaliador 2'!I49),"Não","Sim"))</f>
        <v/>
      </c>
      <c r="O49" s="14"/>
      <c r="P49" s="10" t="str">
        <f aca="false">IF(LEN(H49)=3,"Defeito encontrado",IF(I49="Sim","Falso alarme",IF(H49="—","Nenhum defeito apontado","")))</f>
        <v/>
      </c>
    </row>
    <row r="50" customFormat="false" ht="15" hidden="false" customHeight="false" outlineLevel="0" collapsed="false">
      <c r="A50" s="11" t="str">
        <f aca="false">Apontamentos!C50</f>
        <v/>
      </c>
      <c r="B50" s="11" t="str">
        <f aca="false">IF(Apontamentos!$C50="","",Apontamentos!A50&amp;"")</f>
        <v/>
      </c>
      <c r="C50" s="11" t="str">
        <f aca="false">IF(B50="","",IFERROR(INDEX(Execuções!$C$2:$C$97,MATCH(B50,Execuções!$A$2:$A$97,0)),"ID?"))</f>
        <v/>
      </c>
      <c r="D50" s="10" t="str">
        <f aca="false">IF(B50="","",IFERROR(INDEX(Execuções!$B$2:$B$97,MATCH(B50,Execuções!$A$2:$A$97,0)),"ID?"))</f>
        <v/>
      </c>
      <c r="E50" s="11" t="str">
        <f aca="false">IF(B50="","",Apontamentos!D50)</f>
        <v/>
      </c>
      <c r="F50" s="11" t="str">
        <f aca="false">IF(B50="","",Apontamentos!E50)</f>
        <v/>
      </c>
      <c r="G50" s="10" t="str">
        <f aca="false">IF(B50="","",Apontamentos!G50&amp;"")</f>
        <v/>
      </c>
      <c r="H50" s="14" t="str">
        <f aca="false">IF('Avaliador 1'!F50='Avaliador 2'!F50,'Avaliador 1'!F50&amp;"","")</f>
        <v/>
      </c>
      <c r="I50" s="14" t="str">
        <f aca="false">IF('Avaliador 1'!G50='Avaliador 2'!G50,'Avaliador 1'!G50&amp;"","")</f>
        <v/>
      </c>
      <c r="J50" s="14" t="str">
        <f aca="false">IF('Avaliador 1'!H50='Avaliador 2'!H50,'Avaliador 1'!H50&amp;"","")</f>
        <v/>
      </c>
      <c r="K50" s="14" t="str">
        <f aca="false">IF('Avaliador 1'!I50='Avaliador 2'!I50,'Avaliador 1'!I50&amp;"","")</f>
        <v/>
      </c>
      <c r="L50" s="13"/>
      <c r="M50" s="13" t="str">
        <f aca="false">IF('Avaliador 1'!J50='Avaliador 2'!J50,'Avaliador 1'!J50&amp;"","")</f>
        <v/>
      </c>
      <c r="N50" s="11" t="str">
        <f aca="false">IF(OR('Avaliador 1'!F50="",'Avaliador 2'!F50=""),"",IF(AND('Avaliador 1'!F50='Avaliador 2'!F50,'Avaliador 1'!G50='Avaliador 2'!G50,'Avaliador 1'!H50='Avaliador 2'!H50,'Avaliador 1'!I50='Avaliador 2'!I50),"Não","Sim"))</f>
        <v/>
      </c>
      <c r="O50" s="14"/>
      <c r="P50" s="10" t="str">
        <f aca="false">IF(LEN(H50)=3,"Defeito encontrado",IF(I50="Sim","Falso alarme",IF(H50="—","Nenhum defeito apontado","")))</f>
        <v/>
      </c>
    </row>
    <row r="51" customFormat="false" ht="15" hidden="false" customHeight="false" outlineLevel="0" collapsed="false">
      <c r="A51" s="11" t="str">
        <f aca="false">Apontamentos!C51</f>
        <v/>
      </c>
      <c r="B51" s="11" t="str">
        <f aca="false">IF(Apontamentos!$C51="","",Apontamentos!A51&amp;"")</f>
        <v/>
      </c>
      <c r="C51" s="11" t="str">
        <f aca="false">IF(B51="","",IFERROR(INDEX(Execuções!$C$2:$C$97,MATCH(B51,Execuções!$A$2:$A$97,0)),"ID?"))</f>
        <v/>
      </c>
      <c r="D51" s="10" t="str">
        <f aca="false">IF(B51="","",IFERROR(INDEX(Execuções!$B$2:$B$97,MATCH(B51,Execuções!$A$2:$A$97,0)),"ID?"))</f>
        <v/>
      </c>
      <c r="E51" s="11" t="str">
        <f aca="false">IF(B51="","",Apontamentos!D51)</f>
        <v/>
      </c>
      <c r="F51" s="11" t="str">
        <f aca="false">IF(B51="","",Apontamentos!E51)</f>
        <v/>
      </c>
      <c r="G51" s="10" t="str">
        <f aca="false">IF(B51="","",Apontamentos!G51&amp;"")</f>
        <v/>
      </c>
      <c r="H51" s="14" t="str">
        <f aca="false">IF('Avaliador 1'!F51='Avaliador 2'!F51,'Avaliador 1'!F51&amp;"","")</f>
        <v/>
      </c>
      <c r="I51" s="14" t="str">
        <f aca="false">IF('Avaliador 1'!G51='Avaliador 2'!G51,'Avaliador 1'!G51&amp;"","")</f>
        <v/>
      </c>
      <c r="J51" s="14" t="str">
        <f aca="false">IF('Avaliador 1'!H51='Avaliador 2'!H51,'Avaliador 1'!H51&amp;"","")</f>
        <v/>
      </c>
      <c r="K51" s="14" t="str">
        <f aca="false">IF('Avaliador 1'!I51='Avaliador 2'!I51,'Avaliador 1'!I51&amp;"","")</f>
        <v/>
      </c>
      <c r="L51" s="13"/>
      <c r="M51" s="13" t="str">
        <f aca="false">IF('Avaliador 1'!J51='Avaliador 2'!J51,'Avaliador 1'!J51&amp;"","")</f>
        <v/>
      </c>
      <c r="N51" s="11" t="str">
        <f aca="false">IF(OR('Avaliador 1'!F51="",'Avaliador 2'!F51=""),"",IF(AND('Avaliador 1'!F51='Avaliador 2'!F51,'Avaliador 1'!G51='Avaliador 2'!G51,'Avaliador 1'!H51='Avaliador 2'!H51,'Avaliador 1'!I51='Avaliador 2'!I51),"Não","Sim"))</f>
        <v/>
      </c>
      <c r="O51" s="14"/>
      <c r="P51" s="10" t="str">
        <f aca="false">IF(LEN(H51)=3,"Defeito encontrado",IF(I51="Sim","Falso alarme",IF(H51="—","Nenhum defeito apontado","")))</f>
        <v/>
      </c>
    </row>
    <row r="52" customFormat="false" ht="15" hidden="false" customHeight="false" outlineLevel="0" collapsed="false">
      <c r="A52" s="11" t="str">
        <f aca="false">Apontamentos!C52</f>
        <v/>
      </c>
      <c r="B52" s="11" t="str">
        <f aca="false">IF(Apontamentos!$C52="","",Apontamentos!A52&amp;"")</f>
        <v/>
      </c>
      <c r="C52" s="11" t="str">
        <f aca="false">IF(B52="","",IFERROR(INDEX(Execuções!$C$2:$C$97,MATCH(B52,Execuções!$A$2:$A$97,0)),"ID?"))</f>
        <v/>
      </c>
      <c r="D52" s="10" t="str">
        <f aca="false">IF(B52="","",IFERROR(INDEX(Execuções!$B$2:$B$97,MATCH(B52,Execuções!$A$2:$A$97,0)),"ID?"))</f>
        <v/>
      </c>
      <c r="E52" s="11" t="str">
        <f aca="false">IF(B52="","",Apontamentos!D52)</f>
        <v/>
      </c>
      <c r="F52" s="11" t="str">
        <f aca="false">IF(B52="","",Apontamentos!E52)</f>
        <v/>
      </c>
      <c r="G52" s="10" t="str">
        <f aca="false">IF(B52="","",Apontamentos!G52&amp;"")</f>
        <v/>
      </c>
      <c r="H52" s="14" t="str">
        <f aca="false">IF('Avaliador 1'!F52='Avaliador 2'!F52,'Avaliador 1'!F52&amp;"","")</f>
        <v/>
      </c>
      <c r="I52" s="14" t="str">
        <f aca="false">IF('Avaliador 1'!G52='Avaliador 2'!G52,'Avaliador 1'!G52&amp;"","")</f>
        <v/>
      </c>
      <c r="J52" s="14" t="str">
        <f aca="false">IF('Avaliador 1'!H52='Avaliador 2'!H52,'Avaliador 1'!H52&amp;"","")</f>
        <v/>
      </c>
      <c r="K52" s="14" t="str">
        <f aca="false">IF('Avaliador 1'!I52='Avaliador 2'!I52,'Avaliador 1'!I52&amp;"","")</f>
        <v/>
      </c>
      <c r="L52" s="13"/>
      <c r="M52" s="13" t="str">
        <f aca="false">IF('Avaliador 1'!J52='Avaliador 2'!J52,'Avaliador 1'!J52&amp;"","")</f>
        <v/>
      </c>
      <c r="N52" s="11" t="str">
        <f aca="false">IF(OR('Avaliador 1'!F52="",'Avaliador 2'!F52=""),"",IF(AND('Avaliador 1'!F52='Avaliador 2'!F52,'Avaliador 1'!G52='Avaliador 2'!G52,'Avaliador 1'!H52='Avaliador 2'!H52,'Avaliador 1'!I52='Avaliador 2'!I52),"Não","Sim"))</f>
        <v/>
      </c>
      <c r="O52" s="14"/>
      <c r="P52" s="10" t="str">
        <f aca="false">IF(LEN(H52)=3,"Defeito encontrado",IF(I52="Sim","Falso alarme",IF(H52="—","Nenhum defeito apontado","")))</f>
        <v/>
      </c>
    </row>
    <row r="53" customFormat="false" ht="15" hidden="false" customHeight="false" outlineLevel="0" collapsed="false">
      <c r="A53" s="11" t="str">
        <f aca="false">Apontamentos!C53</f>
        <v/>
      </c>
      <c r="B53" s="11" t="str">
        <f aca="false">IF(Apontamentos!$C53="","",Apontamentos!A53&amp;"")</f>
        <v/>
      </c>
      <c r="C53" s="11" t="str">
        <f aca="false">IF(B53="","",IFERROR(INDEX(Execuções!$C$2:$C$97,MATCH(B53,Execuções!$A$2:$A$97,0)),"ID?"))</f>
        <v/>
      </c>
      <c r="D53" s="10" t="str">
        <f aca="false">IF(B53="","",IFERROR(INDEX(Execuções!$B$2:$B$97,MATCH(B53,Execuções!$A$2:$A$97,0)),"ID?"))</f>
        <v/>
      </c>
      <c r="E53" s="11" t="str">
        <f aca="false">IF(B53="","",Apontamentos!D53)</f>
        <v/>
      </c>
      <c r="F53" s="11" t="str">
        <f aca="false">IF(B53="","",Apontamentos!E53)</f>
        <v/>
      </c>
      <c r="G53" s="10" t="str">
        <f aca="false">IF(B53="","",Apontamentos!G53&amp;"")</f>
        <v/>
      </c>
      <c r="H53" s="14" t="str">
        <f aca="false">IF('Avaliador 1'!F53='Avaliador 2'!F53,'Avaliador 1'!F53&amp;"","")</f>
        <v/>
      </c>
      <c r="I53" s="14" t="str">
        <f aca="false">IF('Avaliador 1'!G53='Avaliador 2'!G53,'Avaliador 1'!G53&amp;"","")</f>
        <v/>
      </c>
      <c r="J53" s="14" t="str">
        <f aca="false">IF('Avaliador 1'!H53='Avaliador 2'!H53,'Avaliador 1'!H53&amp;"","")</f>
        <v/>
      </c>
      <c r="K53" s="14" t="str">
        <f aca="false">IF('Avaliador 1'!I53='Avaliador 2'!I53,'Avaliador 1'!I53&amp;"","")</f>
        <v/>
      </c>
      <c r="L53" s="13"/>
      <c r="M53" s="13" t="str">
        <f aca="false">IF('Avaliador 1'!J53='Avaliador 2'!J53,'Avaliador 1'!J53&amp;"","")</f>
        <v/>
      </c>
      <c r="N53" s="11" t="str">
        <f aca="false">IF(OR('Avaliador 1'!F53="",'Avaliador 2'!F53=""),"",IF(AND('Avaliador 1'!F53='Avaliador 2'!F53,'Avaliador 1'!G53='Avaliador 2'!G53,'Avaliador 1'!H53='Avaliador 2'!H53,'Avaliador 1'!I53='Avaliador 2'!I53),"Não","Sim"))</f>
        <v/>
      </c>
      <c r="O53" s="14"/>
      <c r="P53" s="10" t="str">
        <f aca="false">IF(LEN(H53)=3,"Defeito encontrado",IF(I53="Sim","Falso alarme",IF(H53="—","Nenhum defeito apontado","")))</f>
        <v/>
      </c>
    </row>
    <row r="54" customFormat="false" ht="15" hidden="false" customHeight="false" outlineLevel="0" collapsed="false">
      <c r="A54" s="11" t="str">
        <f aca="false">Apontamentos!C54</f>
        <v/>
      </c>
      <c r="B54" s="11" t="str">
        <f aca="false">IF(Apontamentos!$C54="","",Apontamentos!A54&amp;"")</f>
        <v/>
      </c>
      <c r="C54" s="11" t="str">
        <f aca="false">IF(B54="","",IFERROR(INDEX(Execuções!$C$2:$C$97,MATCH(B54,Execuções!$A$2:$A$97,0)),"ID?"))</f>
        <v/>
      </c>
      <c r="D54" s="10" t="str">
        <f aca="false">IF(B54="","",IFERROR(INDEX(Execuções!$B$2:$B$97,MATCH(B54,Execuções!$A$2:$A$97,0)),"ID?"))</f>
        <v/>
      </c>
      <c r="E54" s="11" t="str">
        <f aca="false">IF(B54="","",Apontamentos!D54)</f>
        <v/>
      </c>
      <c r="F54" s="11" t="str">
        <f aca="false">IF(B54="","",Apontamentos!E54)</f>
        <v/>
      </c>
      <c r="G54" s="10" t="str">
        <f aca="false">IF(B54="","",Apontamentos!G54&amp;"")</f>
        <v/>
      </c>
      <c r="H54" s="14" t="str">
        <f aca="false">IF('Avaliador 1'!F54='Avaliador 2'!F54,'Avaliador 1'!F54&amp;"","")</f>
        <v/>
      </c>
      <c r="I54" s="14" t="str">
        <f aca="false">IF('Avaliador 1'!G54='Avaliador 2'!G54,'Avaliador 1'!G54&amp;"","")</f>
        <v/>
      </c>
      <c r="J54" s="14" t="str">
        <f aca="false">IF('Avaliador 1'!H54='Avaliador 2'!H54,'Avaliador 1'!H54&amp;"","")</f>
        <v/>
      </c>
      <c r="K54" s="14" t="str">
        <f aca="false">IF('Avaliador 1'!I54='Avaliador 2'!I54,'Avaliador 1'!I54&amp;"","")</f>
        <v/>
      </c>
      <c r="L54" s="13"/>
      <c r="M54" s="13" t="str">
        <f aca="false">IF('Avaliador 1'!J54='Avaliador 2'!J54,'Avaliador 1'!J54&amp;"","")</f>
        <v/>
      </c>
      <c r="N54" s="11" t="str">
        <f aca="false">IF(OR('Avaliador 1'!F54="",'Avaliador 2'!F54=""),"",IF(AND('Avaliador 1'!F54='Avaliador 2'!F54,'Avaliador 1'!G54='Avaliador 2'!G54,'Avaliador 1'!H54='Avaliador 2'!H54,'Avaliador 1'!I54='Avaliador 2'!I54),"Não","Sim"))</f>
        <v/>
      </c>
      <c r="O54" s="14"/>
      <c r="P54" s="10" t="str">
        <f aca="false">IF(LEN(H54)=3,"Defeito encontrado",IF(I54="Sim","Falso alarme",IF(H54="—","Nenhum defeito apontado","")))</f>
        <v/>
      </c>
    </row>
    <row r="55" customFormat="false" ht="15" hidden="false" customHeight="false" outlineLevel="0" collapsed="false">
      <c r="A55" s="11" t="str">
        <f aca="false">Apontamentos!C55</f>
        <v/>
      </c>
      <c r="B55" s="11" t="str">
        <f aca="false">IF(Apontamentos!$C55="","",Apontamentos!A55&amp;"")</f>
        <v/>
      </c>
      <c r="C55" s="11" t="str">
        <f aca="false">IF(B55="","",IFERROR(INDEX(Execuções!$C$2:$C$97,MATCH(B55,Execuções!$A$2:$A$97,0)),"ID?"))</f>
        <v/>
      </c>
      <c r="D55" s="10" t="str">
        <f aca="false">IF(B55="","",IFERROR(INDEX(Execuções!$B$2:$B$97,MATCH(B55,Execuções!$A$2:$A$97,0)),"ID?"))</f>
        <v/>
      </c>
      <c r="E55" s="11" t="str">
        <f aca="false">IF(B55="","",Apontamentos!D55)</f>
        <v/>
      </c>
      <c r="F55" s="11" t="str">
        <f aca="false">IF(B55="","",Apontamentos!E55)</f>
        <v/>
      </c>
      <c r="G55" s="10" t="str">
        <f aca="false">IF(B55="","",Apontamentos!G55&amp;"")</f>
        <v/>
      </c>
      <c r="H55" s="14" t="str">
        <f aca="false">IF('Avaliador 1'!F55='Avaliador 2'!F55,'Avaliador 1'!F55&amp;"","")</f>
        <v/>
      </c>
      <c r="I55" s="14" t="str">
        <f aca="false">IF('Avaliador 1'!G55='Avaliador 2'!G55,'Avaliador 1'!G55&amp;"","")</f>
        <v/>
      </c>
      <c r="J55" s="14" t="str">
        <f aca="false">IF('Avaliador 1'!H55='Avaliador 2'!H55,'Avaliador 1'!H55&amp;"","")</f>
        <v/>
      </c>
      <c r="K55" s="14" t="str">
        <f aca="false">IF('Avaliador 1'!I55='Avaliador 2'!I55,'Avaliador 1'!I55&amp;"","")</f>
        <v/>
      </c>
      <c r="L55" s="13"/>
      <c r="M55" s="13" t="str">
        <f aca="false">IF('Avaliador 1'!J55='Avaliador 2'!J55,'Avaliador 1'!J55&amp;"","")</f>
        <v/>
      </c>
      <c r="N55" s="11" t="str">
        <f aca="false">IF(OR('Avaliador 1'!F55="",'Avaliador 2'!F55=""),"",IF(AND('Avaliador 1'!F55='Avaliador 2'!F55,'Avaliador 1'!G55='Avaliador 2'!G55,'Avaliador 1'!H55='Avaliador 2'!H55,'Avaliador 1'!I55='Avaliador 2'!I55),"Não","Sim"))</f>
        <v/>
      </c>
      <c r="O55" s="14"/>
      <c r="P55" s="10" t="str">
        <f aca="false">IF(LEN(H55)=3,"Defeito encontrado",IF(I55="Sim","Falso alarme",IF(H55="—","Nenhum defeito apontado","")))</f>
        <v/>
      </c>
    </row>
    <row r="56" customFormat="false" ht="15" hidden="false" customHeight="false" outlineLevel="0" collapsed="false">
      <c r="A56" s="11" t="str">
        <f aca="false">Apontamentos!C56</f>
        <v/>
      </c>
      <c r="B56" s="11" t="str">
        <f aca="false">IF(Apontamentos!$C56="","",Apontamentos!A56&amp;"")</f>
        <v/>
      </c>
      <c r="C56" s="11" t="str">
        <f aca="false">IF(B56="","",IFERROR(INDEX(Execuções!$C$2:$C$97,MATCH(B56,Execuções!$A$2:$A$97,0)),"ID?"))</f>
        <v/>
      </c>
      <c r="D56" s="10" t="str">
        <f aca="false">IF(B56="","",IFERROR(INDEX(Execuções!$B$2:$B$97,MATCH(B56,Execuções!$A$2:$A$97,0)),"ID?"))</f>
        <v/>
      </c>
      <c r="E56" s="11" t="str">
        <f aca="false">IF(B56="","",Apontamentos!D56)</f>
        <v/>
      </c>
      <c r="F56" s="11" t="str">
        <f aca="false">IF(B56="","",Apontamentos!E56)</f>
        <v/>
      </c>
      <c r="G56" s="10" t="str">
        <f aca="false">IF(B56="","",Apontamentos!G56&amp;"")</f>
        <v/>
      </c>
      <c r="H56" s="14" t="str">
        <f aca="false">IF('Avaliador 1'!F56='Avaliador 2'!F56,'Avaliador 1'!F56&amp;"","")</f>
        <v/>
      </c>
      <c r="I56" s="14" t="str">
        <f aca="false">IF('Avaliador 1'!G56='Avaliador 2'!G56,'Avaliador 1'!G56&amp;"","")</f>
        <v/>
      </c>
      <c r="J56" s="14" t="str">
        <f aca="false">IF('Avaliador 1'!H56='Avaliador 2'!H56,'Avaliador 1'!H56&amp;"","")</f>
        <v/>
      </c>
      <c r="K56" s="14" t="str">
        <f aca="false">IF('Avaliador 1'!I56='Avaliador 2'!I56,'Avaliador 1'!I56&amp;"","")</f>
        <v/>
      </c>
      <c r="L56" s="13"/>
      <c r="M56" s="13" t="str">
        <f aca="false">IF('Avaliador 1'!J56='Avaliador 2'!J56,'Avaliador 1'!J56&amp;"","")</f>
        <v/>
      </c>
      <c r="N56" s="11" t="str">
        <f aca="false">IF(OR('Avaliador 1'!F56="",'Avaliador 2'!F56=""),"",IF(AND('Avaliador 1'!F56='Avaliador 2'!F56,'Avaliador 1'!G56='Avaliador 2'!G56,'Avaliador 1'!H56='Avaliador 2'!H56,'Avaliador 1'!I56='Avaliador 2'!I56),"Não","Sim"))</f>
        <v/>
      </c>
      <c r="O56" s="14"/>
      <c r="P56" s="10" t="str">
        <f aca="false">IF(LEN(H56)=3,"Defeito encontrado",IF(I56="Sim","Falso alarme",IF(H56="—","Nenhum defeito apontado","")))</f>
        <v/>
      </c>
    </row>
    <row r="57" customFormat="false" ht="15" hidden="false" customHeight="false" outlineLevel="0" collapsed="false">
      <c r="A57" s="11" t="str">
        <f aca="false">Apontamentos!C57</f>
        <v/>
      </c>
      <c r="B57" s="11" t="str">
        <f aca="false">IF(Apontamentos!$C57="","",Apontamentos!A57&amp;"")</f>
        <v/>
      </c>
      <c r="C57" s="11" t="str">
        <f aca="false">IF(B57="","",IFERROR(INDEX(Execuções!$C$2:$C$97,MATCH(B57,Execuções!$A$2:$A$97,0)),"ID?"))</f>
        <v/>
      </c>
      <c r="D57" s="10" t="str">
        <f aca="false">IF(B57="","",IFERROR(INDEX(Execuções!$B$2:$B$97,MATCH(B57,Execuções!$A$2:$A$97,0)),"ID?"))</f>
        <v/>
      </c>
      <c r="E57" s="11" t="str">
        <f aca="false">IF(B57="","",Apontamentos!D57)</f>
        <v/>
      </c>
      <c r="F57" s="11" t="str">
        <f aca="false">IF(B57="","",Apontamentos!E57)</f>
        <v/>
      </c>
      <c r="G57" s="10" t="str">
        <f aca="false">IF(B57="","",Apontamentos!G57&amp;"")</f>
        <v/>
      </c>
      <c r="H57" s="14" t="str">
        <f aca="false">IF('Avaliador 1'!F57='Avaliador 2'!F57,'Avaliador 1'!F57&amp;"","")</f>
        <v/>
      </c>
      <c r="I57" s="14" t="str">
        <f aca="false">IF('Avaliador 1'!G57='Avaliador 2'!G57,'Avaliador 1'!G57&amp;"","")</f>
        <v/>
      </c>
      <c r="J57" s="14" t="str">
        <f aca="false">IF('Avaliador 1'!H57='Avaliador 2'!H57,'Avaliador 1'!H57&amp;"","")</f>
        <v/>
      </c>
      <c r="K57" s="14" t="str">
        <f aca="false">IF('Avaliador 1'!I57='Avaliador 2'!I57,'Avaliador 1'!I57&amp;"","")</f>
        <v/>
      </c>
      <c r="L57" s="13"/>
      <c r="M57" s="13" t="str">
        <f aca="false">IF('Avaliador 1'!J57='Avaliador 2'!J57,'Avaliador 1'!J57&amp;"","")</f>
        <v/>
      </c>
      <c r="N57" s="11" t="str">
        <f aca="false">IF(OR('Avaliador 1'!F57="",'Avaliador 2'!F57=""),"",IF(AND('Avaliador 1'!F57='Avaliador 2'!F57,'Avaliador 1'!G57='Avaliador 2'!G57,'Avaliador 1'!H57='Avaliador 2'!H57,'Avaliador 1'!I57='Avaliador 2'!I57),"Não","Sim"))</f>
        <v/>
      </c>
      <c r="O57" s="14"/>
      <c r="P57" s="10" t="str">
        <f aca="false">IF(LEN(H57)=3,"Defeito encontrado",IF(I57="Sim","Falso alarme",IF(H57="—","Nenhum defeito apontado","")))</f>
        <v/>
      </c>
    </row>
    <row r="58" customFormat="false" ht="15" hidden="false" customHeight="false" outlineLevel="0" collapsed="false">
      <c r="A58" s="11" t="str">
        <f aca="false">Apontamentos!C58</f>
        <v/>
      </c>
      <c r="B58" s="11" t="str">
        <f aca="false">IF(Apontamentos!$C58="","",Apontamentos!A58&amp;"")</f>
        <v/>
      </c>
      <c r="C58" s="11" t="str">
        <f aca="false">IF(B58="","",IFERROR(INDEX(Execuções!$C$2:$C$97,MATCH(B58,Execuções!$A$2:$A$97,0)),"ID?"))</f>
        <v/>
      </c>
      <c r="D58" s="10" t="str">
        <f aca="false">IF(B58="","",IFERROR(INDEX(Execuções!$B$2:$B$97,MATCH(B58,Execuções!$A$2:$A$97,0)),"ID?"))</f>
        <v/>
      </c>
      <c r="E58" s="11" t="str">
        <f aca="false">IF(B58="","",Apontamentos!D58)</f>
        <v/>
      </c>
      <c r="F58" s="11" t="str">
        <f aca="false">IF(B58="","",Apontamentos!E58)</f>
        <v/>
      </c>
      <c r="G58" s="10" t="str">
        <f aca="false">IF(B58="","",Apontamentos!G58&amp;"")</f>
        <v/>
      </c>
      <c r="H58" s="14" t="str">
        <f aca="false">IF('Avaliador 1'!F58='Avaliador 2'!F58,'Avaliador 1'!F58&amp;"","")</f>
        <v/>
      </c>
      <c r="I58" s="14" t="str">
        <f aca="false">IF('Avaliador 1'!G58='Avaliador 2'!G58,'Avaliador 1'!G58&amp;"","")</f>
        <v/>
      </c>
      <c r="J58" s="14" t="str">
        <f aca="false">IF('Avaliador 1'!H58='Avaliador 2'!H58,'Avaliador 1'!H58&amp;"","")</f>
        <v/>
      </c>
      <c r="K58" s="14" t="str">
        <f aca="false">IF('Avaliador 1'!I58='Avaliador 2'!I58,'Avaliador 1'!I58&amp;"","")</f>
        <v/>
      </c>
      <c r="L58" s="13"/>
      <c r="M58" s="13" t="str">
        <f aca="false">IF('Avaliador 1'!J58='Avaliador 2'!J58,'Avaliador 1'!J58&amp;"","")</f>
        <v/>
      </c>
      <c r="N58" s="11" t="str">
        <f aca="false">IF(OR('Avaliador 1'!F58="",'Avaliador 2'!F58=""),"",IF(AND('Avaliador 1'!F58='Avaliador 2'!F58,'Avaliador 1'!G58='Avaliador 2'!G58,'Avaliador 1'!H58='Avaliador 2'!H58,'Avaliador 1'!I58='Avaliador 2'!I58),"Não","Sim"))</f>
        <v/>
      </c>
      <c r="O58" s="14"/>
      <c r="P58" s="10" t="str">
        <f aca="false">IF(LEN(H58)=3,"Defeito encontrado",IF(I58="Sim","Falso alarme",IF(H58="—","Nenhum defeito apontado","")))</f>
        <v/>
      </c>
    </row>
    <row r="59" customFormat="false" ht="15" hidden="false" customHeight="false" outlineLevel="0" collapsed="false">
      <c r="A59" s="11" t="str">
        <f aca="false">Apontamentos!C59</f>
        <v/>
      </c>
      <c r="B59" s="11" t="str">
        <f aca="false">IF(Apontamentos!$C59="","",Apontamentos!A59&amp;"")</f>
        <v/>
      </c>
      <c r="C59" s="11" t="str">
        <f aca="false">IF(B59="","",IFERROR(INDEX(Execuções!$C$2:$C$97,MATCH(B59,Execuções!$A$2:$A$97,0)),"ID?"))</f>
        <v/>
      </c>
      <c r="D59" s="10" t="str">
        <f aca="false">IF(B59="","",IFERROR(INDEX(Execuções!$B$2:$B$97,MATCH(B59,Execuções!$A$2:$A$97,0)),"ID?"))</f>
        <v/>
      </c>
      <c r="E59" s="11" t="str">
        <f aca="false">IF(B59="","",Apontamentos!D59)</f>
        <v/>
      </c>
      <c r="F59" s="11" t="str">
        <f aca="false">IF(B59="","",Apontamentos!E59)</f>
        <v/>
      </c>
      <c r="G59" s="10" t="str">
        <f aca="false">IF(B59="","",Apontamentos!G59&amp;"")</f>
        <v/>
      </c>
      <c r="H59" s="14" t="str">
        <f aca="false">IF('Avaliador 1'!F59='Avaliador 2'!F59,'Avaliador 1'!F59&amp;"","")</f>
        <v/>
      </c>
      <c r="I59" s="14" t="str">
        <f aca="false">IF('Avaliador 1'!G59='Avaliador 2'!G59,'Avaliador 1'!G59&amp;"","")</f>
        <v/>
      </c>
      <c r="J59" s="14" t="str">
        <f aca="false">IF('Avaliador 1'!H59='Avaliador 2'!H59,'Avaliador 1'!H59&amp;"","")</f>
        <v/>
      </c>
      <c r="K59" s="14" t="str">
        <f aca="false">IF('Avaliador 1'!I59='Avaliador 2'!I59,'Avaliador 1'!I59&amp;"","")</f>
        <v/>
      </c>
      <c r="L59" s="13"/>
      <c r="M59" s="13" t="str">
        <f aca="false">IF('Avaliador 1'!J59='Avaliador 2'!J59,'Avaliador 1'!J59&amp;"","")</f>
        <v/>
      </c>
      <c r="N59" s="11" t="str">
        <f aca="false">IF(OR('Avaliador 1'!F59="",'Avaliador 2'!F59=""),"",IF(AND('Avaliador 1'!F59='Avaliador 2'!F59,'Avaliador 1'!G59='Avaliador 2'!G59,'Avaliador 1'!H59='Avaliador 2'!H59,'Avaliador 1'!I59='Avaliador 2'!I59),"Não","Sim"))</f>
        <v/>
      </c>
      <c r="O59" s="14"/>
      <c r="P59" s="10" t="str">
        <f aca="false">IF(LEN(H59)=3,"Defeito encontrado",IF(I59="Sim","Falso alarme",IF(H59="—","Nenhum defeito apontado","")))</f>
        <v/>
      </c>
    </row>
    <row r="60" customFormat="false" ht="15" hidden="false" customHeight="false" outlineLevel="0" collapsed="false">
      <c r="A60" s="11" t="str">
        <f aca="false">Apontamentos!C60</f>
        <v/>
      </c>
      <c r="B60" s="11" t="str">
        <f aca="false">IF(Apontamentos!$C60="","",Apontamentos!A60&amp;"")</f>
        <v/>
      </c>
      <c r="C60" s="11" t="str">
        <f aca="false">IF(B60="","",IFERROR(INDEX(Execuções!$C$2:$C$97,MATCH(B60,Execuções!$A$2:$A$97,0)),"ID?"))</f>
        <v/>
      </c>
      <c r="D60" s="10" t="str">
        <f aca="false">IF(B60="","",IFERROR(INDEX(Execuções!$B$2:$B$97,MATCH(B60,Execuções!$A$2:$A$97,0)),"ID?"))</f>
        <v/>
      </c>
      <c r="E60" s="11" t="str">
        <f aca="false">IF(B60="","",Apontamentos!D60)</f>
        <v/>
      </c>
      <c r="F60" s="11" t="str">
        <f aca="false">IF(B60="","",Apontamentos!E60)</f>
        <v/>
      </c>
      <c r="G60" s="10" t="str">
        <f aca="false">IF(B60="","",Apontamentos!G60&amp;"")</f>
        <v/>
      </c>
      <c r="H60" s="14" t="str">
        <f aca="false">IF('Avaliador 1'!F60='Avaliador 2'!F60,'Avaliador 1'!F60&amp;"","")</f>
        <v/>
      </c>
      <c r="I60" s="14" t="str">
        <f aca="false">IF('Avaliador 1'!G60='Avaliador 2'!G60,'Avaliador 1'!G60&amp;"","")</f>
        <v/>
      </c>
      <c r="J60" s="14" t="str">
        <f aca="false">IF('Avaliador 1'!H60='Avaliador 2'!H60,'Avaliador 1'!H60&amp;"","")</f>
        <v/>
      </c>
      <c r="K60" s="14" t="str">
        <f aca="false">IF('Avaliador 1'!I60='Avaliador 2'!I60,'Avaliador 1'!I60&amp;"","")</f>
        <v/>
      </c>
      <c r="L60" s="13"/>
      <c r="M60" s="13" t="str">
        <f aca="false">IF('Avaliador 1'!J60='Avaliador 2'!J60,'Avaliador 1'!J60&amp;"","")</f>
        <v/>
      </c>
      <c r="N60" s="11" t="str">
        <f aca="false">IF(OR('Avaliador 1'!F60="",'Avaliador 2'!F60=""),"",IF(AND('Avaliador 1'!F60='Avaliador 2'!F60,'Avaliador 1'!G60='Avaliador 2'!G60,'Avaliador 1'!H60='Avaliador 2'!H60,'Avaliador 1'!I60='Avaliador 2'!I60),"Não","Sim"))</f>
        <v/>
      </c>
      <c r="O60" s="14"/>
      <c r="P60" s="10" t="str">
        <f aca="false">IF(LEN(H60)=3,"Defeito encontrado",IF(I60="Sim","Falso alarme",IF(H60="—","Nenhum defeito apontado","")))</f>
        <v/>
      </c>
    </row>
    <row r="61" customFormat="false" ht="15" hidden="false" customHeight="false" outlineLevel="0" collapsed="false">
      <c r="A61" s="11" t="str">
        <f aca="false">Apontamentos!C61</f>
        <v/>
      </c>
      <c r="B61" s="11" t="str">
        <f aca="false">IF(Apontamentos!$C61="","",Apontamentos!A61&amp;"")</f>
        <v/>
      </c>
      <c r="C61" s="11" t="str">
        <f aca="false">IF(B61="","",IFERROR(INDEX(Execuções!$C$2:$C$97,MATCH(B61,Execuções!$A$2:$A$97,0)),"ID?"))</f>
        <v/>
      </c>
      <c r="D61" s="10" t="str">
        <f aca="false">IF(B61="","",IFERROR(INDEX(Execuções!$B$2:$B$97,MATCH(B61,Execuções!$A$2:$A$97,0)),"ID?"))</f>
        <v/>
      </c>
      <c r="E61" s="11" t="str">
        <f aca="false">IF(B61="","",Apontamentos!D61)</f>
        <v/>
      </c>
      <c r="F61" s="11" t="str">
        <f aca="false">IF(B61="","",Apontamentos!E61)</f>
        <v/>
      </c>
      <c r="G61" s="10" t="str">
        <f aca="false">IF(B61="","",Apontamentos!G61&amp;"")</f>
        <v/>
      </c>
      <c r="H61" s="14" t="str">
        <f aca="false">IF('Avaliador 1'!F61='Avaliador 2'!F61,'Avaliador 1'!F61&amp;"","")</f>
        <v/>
      </c>
      <c r="I61" s="14" t="str">
        <f aca="false">IF('Avaliador 1'!G61='Avaliador 2'!G61,'Avaliador 1'!G61&amp;"","")</f>
        <v/>
      </c>
      <c r="J61" s="14" t="str">
        <f aca="false">IF('Avaliador 1'!H61='Avaliador 2'!H61,'Avaliador 1'!H61&amp;"","")</f>
        <v/>
      </c>
      <c r="K61" s="14" t="str">
        <f aca="false">IF('Avaliador 1'!I61='Avaliador 2'!I61,'Avaliador 1'!I61&amp;"","")</f>
        <v/>
      </c>
      <c r="L61" s="13"/>
      <c r="M61" s="13" t="str">
        <f aca="false">IF('Avaliador 1'!J61='Avaliador 2'!J61,'Avaliador 1'!J61&amp;"","")</f>
        <v/>
      </c>
      <c r="N61" s="11" t="str">
        <f aca="false">IF(OR('Avaliador 1'!F61="",'Avaliador 2'!F61=""),"",IF(AND('Avaliador 1'!F61='Avaliador 2'!F61,'Avaliador 1'!G61='Avaliador 2'!G61,'Avaliador 1'!H61='Avaliador 2'!H61,'Avaliador 1'!I61='Avaliador 2'!I61),"Não","Sim"))</f>
        <v/>
      </c>
      <c r="O61" s="14"/>
      <c r="P61" s="10" t="str">
        <f aca="false">IF(LEN(H61)=3,"Defeito encontrado",IF(I61="Sim","Falso alarme",IF(H61="—","Nenhum defeito apontado","")))</f>
        <v/>
      </c>
    </row>
    <row r="62" customFormat="false" ht="15" hidden="false" customHeight="false" outlineLevel="0" collapsed="false">
      <c r="A62" s="11" t="str">
        <f aca="false">Apontamentos!C62</f>
        <v/>
      </c>
      <c r="B62" s="11" t="str">
        <f aca="false">IF(Apontamentos!$C62="","",Apontamentos!A62&amp;"")</f>
        <v/>
      </c>
      <c r="C62" s="11" t="str">
        <f aca="false">IF(B62="","",IFERROR(INDEX(Execuções!$C$2:$C$97,MATCH(B62,Execuções!$A$2:$A$97,0)),"ID?"))</f>
        <v/>
      </c>
      <c r="D62" s="10" t="str">
        <f aca="false">IF(B62="","",IFERROR(INDEX(Execuções!$B$2:$B$97,MATCH(B62,Execuções!$A$2:$A$97,0)),"ID?"))</f>
        <v/>
      </c>
      <c r="E62" s="11" t="str">
        <f aca="false">IF(B62="","",Apontamentos!D62)</f>
        <v/>
      </c>
      <c r="F62" s="11" t="str">
        <f aca="false">IF(B62="","",Apontamentos!E62)</f>
        <v/>
      </c>
      <c r="G62" s="10" t="str">
        <f aca="false">IF(B62="","",Apontamentos!G62&amp;"")</f>
        <v/>
      </c>
      <c r="H62" s="14" t="str">
        <f aca="false">IF('Avaliador 1'!F62='Avaliador 2'!F62,'Avaliador 1'!F62&amp;"","")</f>
        <v/>
      </c>
      <c r="I62" s="14" t="str">
        <f aca="false">IF('Avaliador 1'!G62='Avaliador 2'!G62,'Avaliador 1'!G62&amp;"","")</f>
        <v/>
      </c>
      <c r="J62" s="14" t="str">
        <f aca="false">IF('Avaliador 1'!H62='Avaliador 2'!H62,'Avaliador 1'!H62&amp;"","")</f>
        <v/>
      </c>
      <c r="K62" s="14" t="str">
        <f aca="false">IF('Avaliador 1'!I62='Avaliador 2'!I62,'Avaliador 1'!I62&amp;"","")</f>
        <v/>
      </c>
      <c r="L62" s="13"/>
      <c r="M62" s="13" t="str">
        <f aca="false">IF('Avaliador 1'!J62='Avaliador 2'!J62,'Avaliador 1'!J62&amp;"","")</f>
        <v/>
      </c>
      <c r="N62" s="11" t="str">
        <f aca="false">IF(OR('Avaliador 1'!F62="",'Avaliador 2'!F62=""),"",IF(AND('Avaliador 1'!F62='Avaliador 2'!F62,'Avaliador 1'!G62='Avaliador 2'!G62,'Avaliador 1'!H62='Avaliador 2'!H62,'Avaliador 1'!I62='Avaliador 2'!I62),"Não","Sim"))</f>
        <v/>
      </c>
      <c r="O62" s="14"/>
      <c r="P62" s="10" t="str">
        <f aca="false">IF(LEN(H62)=3,"Defeito encontrado",IF(I62="Sim","Falso alarme",IF(H62="—","Nenhum defeito apontado","")))</f>
        <v/>
      </c>
    </row>
    <row r="63" customFormat="false" ht="15" hidden="false" customHeight="false" outlineLevel="0" collapsed="false">
      <c r="A63" s="11" t="str">
        <f aca="false">Apontamentos!C63</f>
        <v/>
      </c>
      <c r="B63" s="11" t="str">
        <f aca="false">IF(Apontamentos!$C63="","",Apontamentos!A63&amp;"")</f>
        <v/>
      </c>
      <c r="C63" s="11" t="str">
        <f aca="false">IF(B63="","",IFERROR(INDEX(Execuções!$C$2:$C$97,MATCH(B63,Execuções!$A$2:$A$97,0)),"ID?"))</f>
        <v/>
      </c>
      <c r="D63" s="10" t="str">
        <f aca="false">IF(B63="","",IFERROR(INDEX(Execuções!$B$2:$B$97,MATCH(B63,Execuções!$A$2:$A$97,0)),"ID?"))</f>
        <v/>
      </c>
      <c r="E63" s="11" t="str">
        <f aca="false">IF(B63="","",Apontamentos!D63)</f>
        <v/>
      </c>
      <c r="F63" s="11" t="str">
        <f aca="false">IF(B63="","",Apontamentos!E63)</f>
        <v/>
      </c>
      <c r="G63" s="10" t="str">
        <f aca="false">IF(B63="","",Apontamentos!G63&amp;"")</f>
        <v/>
      </c>
      <c r="H63" s="14" t="str">
        <f aca="false">IF('Avaliador 1'!F63='Avaliador 2'!F63,'Avaliador 1'!F63&amp;"","")</f>
        <v/>
      </c>
      <c r="I63" s="14" t="str">
        <f aca="false">IF('Avaliador 1'!G63='Avaliador 2'!G63,'Avaliador 1'!G63&amp;"","")</f>
        <v/>
      </c>
      <c r="J63" s="14" t="str">
        <f aca="false">IF('Avaliador 1'!H63='Avaliador 2'!H63,'Avaliador 1'!H63&amp;"","")</f>
        <v/>
      </c>
      <c r="K63" s="14" t="str">
        <f aca="false">IF('Avaliador 1'!I63='Avaliador 2'!I63,'Avaliador 1'!I63&amp;"","")</f>
        <v/>
      </c>
      <c r="L63" s="13"/>
      <c r="M63" s="13" t="str">
        <f aca="false">IF('Avaliador 1'!J63='Avaliador 2'!J63,'Avaliador 1'!J63&amp;"","")</f>
        <v/>
      </c>
      <c r="N63" s="11" t="str">
        <f aca="false">IF(OR('Avaliador 1'!F63="",'Avaliador 2'!F63=""),"",IF(AND('Avaliador 1'!F63='Avaliador 2'!F63,'Avaliador 1'!G63='Avaliador 2'!G63,'Avaliador 1'!H63='Avaliador 2'!H63,'Avaliador 1'!I63='Avaliador 2'!I63),"Não","Sim"))</f>
        <v/>
      </c>
      <c r="O63" s="14"/>
      <c r="P63" s="10" t="str">
        <f aca="false">IF(LEN(H63)=3,"Defeito encontrado",IF(I63="Sim","Falso alarme",IF(H63="—","Nenhum defeito apontado","")))</f>
        <v/>
      </c>
    </row>
    <row r="64" customFormat="false" ht="15" hidden="false" customHeight="false" outlineLevel="0" collapsed="false">
      <c r="A64" s="11" t="str">
        <f aca="false">Apontamentos!C64</f>
        <v/>
      </c>
      <c r="B64" s="11" t="str">
        <f aca="false">IF(Apontamentos!$C64="","",Apontamentos!A64&amp;"")</f>
        <v/>
      </c>
      <c r="C64" s="11" t="str">
        <f aca="false">IF(B64="","",IFERROR(INDEX(Execuções!$C$2:$C$97,MATCH(B64,Execuções!$A$2:$A$97,0)),"ID?"))</f>
        <v/>
      </c>
      <c r="D64" s="10" t="str">
        <f aca="false">IF(B64="","",IFERROR(INDEX(Execuções!$B$2:$B$97,MATCH(B64,Execuções!$A$2:$A$97,0)),"ID?"))</f>
        <v/>
      </c>
      <c r="E64" s="11" t="str">
        <f aca="false">IF(B64="","",Apontamentos!D64)</f>
        <v/>
      </c>
      <c r="F64" s="11" t="str">
        <f aca="false">IF(B64="","",Apontamentos!E64)</f>
        <v/>
      </c>
      <c r="G64" s="10" t="str">
        <f aca="false">IF(B64="","",Apontamentos!G64&amp;"")</f>
        <v/>
      </c>
      <c r="H64" s="14" t="str">
        <f aca="false">IF('Avaliador 1'!F64='Avaliador 2'!F64,'Avaliador 1'!F64&amp;"","")</f>
        <v/>
      </c>
      <c r="I64" s="14" t="str">
        <f aca="false">IF('Avaliador 1'!G64='Avaliador 2'!G64,'Avaliador 1'!G64&amp;"","")</f>
        <v/>
      </c>
      <c r="J64" s="14" t="str">
        <f aca="false">IF('Avaliador 1'!H64='Avaliador 2'!H64,'Avaliador 1'!H64&amp;"","")</f>
        <v/>
      </c>
      <c r="K64" s="14" t="str">
        <f aca="false">IF('Avaliador 1'!I64='Avaliador 2'!I64,'Avaliador 1'!I64&amp;"","")</f>
        <v/>
      </c>
      <c r="L64" s="13"/>
      <c r="M64" s="13" t="str">
        <f aca="false">IF('Avaliador 1'!J64='Avaliador 2'!J64,'Avaliador 1'!J64&amp;"","")</f>
        <v/>
      </c>
      <c r="N64" s="11" t="str">
        <f aca="false">IF(OR('Avaliador 1'!F64="",'Avaliador 2'!F64=""),"",IF(AND('Avaliador 1'!F64='Avaliador 2'!F64,'Avaliador 1'!G64='Avaliador 2'!G64,'Avaliador 1'!H64='Avaliador 2'!H64,'Avaliador 1'!I64='Avaliador 2'!I64),"Não","Sim"))</f>
        <v/>
      </c>
      <c r="O64" s="14"/>
      <c r="P64" s="10" t="str">
        <f aca="false">IF(LEN(H64)=3,"Defeito encontrado",IF(I64="Sim","Falso alarme",IF(H64="—","Nenhum defeito apontado","")))</f>
        <v/>
      </c>
    </row>
    <row r="65" customFormat="false" ht="15" hidden="false" customHeight="false" outlineLevel="0" collapsed="false">
      <c r="A65" s="11" t="str">
        <f aca="false">Apontamentos!C65</f>
        <v/>
      </c>
      <c r="B65" s="11" t="str">
        <f aca="false">IF(Apontamentos!$C65="","",Apontamentos!A65&amp;"")</f>
        <v/>
      </c>
      <c r="C65" s="11" t="str">
        <f aca="false">IF(B65="","",IFERROR(INDEX(Execuções!$C$2:$C$97,MATCH(B65,Execuções!$A$2:$A$97,0)),"ID?"))</f>
        <v/>
      </c>
      <c r="D65" s="10" t="str">
        <f aca="false">IF(B65="","",IFERROR(INDEX(Execuções!$B$2:$B$97,MATCH(B65,Execuções!$A$2:$A$97,0)),"ID?"))</f>
        <v/>
      </c>
      <c r="E65" s="11" t="str">
        <f aca="false">IF(B65="","",Apontamentos!D65)</f>
        <v/>
      </c>
      <c r="F65" s="11" t="str">
        <f aca="false">IF(B65="","",Apontamentos!E65)</f>
        <v/>
      </c>
      <c r="G65" s="10" t="str">
        <f aca="false">IF(B65="","",Apontamentos!G65&amp;"")</f>
        <v/>
      </c>
      <c r="H65" s="14" t="str">
        <f aca="false">IF('Avaliador 1'!F65='Avaliador 2'!F65,'Avaliador 1'!F65&amp;"","")</f>
        <v/>
      </c>
      <c r="I65" s="14" t="str">
        <f aca="false">IF('Avaliador 1'!G65='Avaliador 2'!G65,'Avaliador 1'!G65&amp;"","")</f>
        <v/>
      </c>
      <c r="J65" s="14" t="str">
        <f aca="false">IF('Avaliador 1'!H65='Avaliador 2'!H65,'Avaliador 1'!H65&amp;"","")</f>
        <v/>
      </c>
      <c r="K65" s="14" t="str">
        <f aca="false">IF('Avaliador 1'!I65='Avaliador 2'!I65,'Avaliador 1'!I65&amp;"","")</f>
        <v/>
      </c>
      <c r="L65" s="13"/>
      <c r="M65" s="13" t="str">
        <f aca="false">IF('Avaliador 1'!J65='Avaliador 2'!J65,'Avaliador 1'!J65&amp;"","")</f>
        <v/>
      </c>
      <c r="N65" s="11" t="str">
        <f aca="false">IF(OR('Avaliador 1'!F65="",'Avaliador 2'!F65=""),"",IF(AND('Avaliador 1'!F65='Avaliador 2'!F65,'Avaliador 1'!G65='Avaliador 2'!G65,'Avaliador 1'!H65='Avaliador 2'!H65,'Avaliador 1'!I65='Avaliador 2'!I65),"Não","Sim"))</f>
        <v/>
      </c>
      <c r="O65" s="14"/>
      <c r="P65" s="10" t="str">
        <f aca="false">IF(LEN(H65)=3,"Defeito encontrado",IF(I65="Sim","Falso alarme",IF(H65="—","Nenhum defeito apontado","")))</f>
        <v/>
      </c>
    </row>
    <row r="66" customFormat="false" ht="15" hidden="false" customHeight="false" outlineLevel="0" collapsed="false">
      <c r="A66" s="11" t="str">
        <f aca="false">Apontamentos!C66</f>
        <v/>
      </c>
      <c r="B66" s="11" t="str">
        <f aca="false">IF(Apontamentos!$C66="","",Apontamentos!A66&amp;"")</f>
        <v/>
      </c>
      <c r="C66" s="11" t="str">
        <f aca="false">IF(B66="","",IFERROR(INDEX(Execuções!$C$2:$C$97,MATCH(B66,Execuções!$A$2:$A$97,0)),"ID?"))</f>
        <v/>
      </c>
      <c r="D66" s="10" t="str">
        <f aca="false">IF(B66="","",IFERROR(INDEX(Execuções!$B$2:$B$97,MATCH(B66,Execuções!$A$2:$A$97,0)),"ID?"))</f>
        <v/>
      </c>
      <c r="E66" s="11" t="str">
        <f aca="false">IF(B66="","",Apontamentos!D66)</f>
        <v/>
      </c>
      <c r="F66" s="11" t="str">
        <f aca="false">IF(B66="","",Apontamentos!E66)</f>
        <v/>
      </c>
      <c r="G66" s="10" t="str">
        <f aca="false">IF(B66="","",Apontamentos!G66&amp;"")</f>
        <v/>
      </c>
      <c r="H66" s="14" t="str">
        <f aca="false">IF('Avaliador 1'!F66='Avaliador 2'!F66,'Avaliador 1'!F66&amp;"","")</f>
        <v/>
      </c>
      <c r="I66" s="14" t="str">
        <f aca="false">IF('Avaliador 1'!G66='Avaliador 2'!G66,'Avaliador 1'!G66&amp;"","")</f>
        <v/>
      </c>
      <c r="J66" s="14" t="str">
        <f aca="false">IF('Avaliador 1'!H66='Avaliador 2'!H66,'Avaliador 1'!H66&amp;"","")</f>
        <v/>
      </c>
      <c r="K66" s="14" t="str">
        <f aca="false">IF('Avaliador 1'!I66='Avaliador 2'!I66,'Avaliador 1'!I66&amp;"","")</f>
        <v/>
      </c>
      <c r="L66" s="13"/>
      <c r="M66" s="13" t="str">
        <f aca="false">IF('Avaliador 1'!J66='Avaliador 2'!J66,'Avaliador 1'!J66&amp;"","")</f>
        <v/>
      </c>
      <c r="N66" s="11" t="str">
        <f aca="false">IF(OR('Avaliador 1'!F66="",'Avaliador 2'!F66=""),"",IF(AND('Avaliador 1'!F66='Avaliador 2'!F66,'Avaliador 1'!G66='Avaliador 2'!G66,'Avaliador 1'!H66='Avaliador 2'!H66,'Avaliador 1'!I66='Avaliador 2'!I66),"Não","Sim"))</f>
        <v/>
      </c>
      <c r="O66" s="14"/>
      <c r="P66" s="10" t="str">
        <f aca="false">IF(LEN(H66)=3,"Defeito encontrado",IF(I66="Sim","Falso alarme",IF(H66="—","Nenhum defeito apontado","")))</f>
        <v/>
      </c>
    </row>
    <row r="67" customFormat="false" ht="15" hidden="false" customHeight="false" outlineLevel="0" collapsed="false">
      <c r="A67" s="11" t="str">
        <f aca="false">Apontamentos!C67</f>
        <v/>
      </c>
      <c r="B67" s="11" t="str">
        <f aca="false">IF(Apontamentos!$C67="","",Apontamentos!A67&amp;"")</f>
        <v/>
      </c>
      <c r="C67" s="11" t="str">
        <f aca="false">IF(B67="","",IFERROR(INDEX(Execuções!$C$2:$C$97,MATCH(B67,Execuções!$A$2:$A$97,0)),"ID?"))</f>
        <v/>
      </c>
      <c r="D67" s="10" t="str">
        <f aca="false">IF(B67="","",IFERROR(INDEX(Execuções!$B$2:$B$97,MATCH(B67,Execuções!$A$2:$A$97,0)),"ID?"))</f>
        <v/>
      </c>
      <c r="E67" s="11" t="str">
        <f aca="false">IF(B67="","",Apontamentos!D67)</f>
        <v/>
      </c>
      <c r="F67" s="11" t="str">
        <f aca="false">IF(B67="","",Apontamentos!E67)</f>
        <v/>
      </c>
      <c r="G67" s="10" t="str">
        <f aca="false">IF(B67="","",Apontamentos!G67&amp;"")</f>
        <v/>
      </c>
      <c r="H67" s="14" t="str">
        <f aca="false">IF('Avaliador 1'!F67='Avaliador 2'!F67,'Avaliador 1'!F67&amp;"","")</f>
        <v/>
      </c>
      <c r="I67" s="14" t="str">
        <f aca="false">IF('Avaliador 1'!G67='Avaliador 2'!G67,'Avaliador 1'!G67&amp;"","")</f>
        <v/>
      </c>
      <c r="J67" s="14" t="str">
        <f aca="false">IF('Avaliador 1'!H67='Avaliador 2'!H67,'Avaliador 1'!H67&amp;"","")</f>
        <v/>
      </c>
      <c r="K67" s="14" t="str">
        <f aca="false">IF('Avaliador 1'!I67='Avaliador 2'!I67,'Avaliador 1'!I67&amp;"","")</f>
        <v/>
      </c>
      <c r="L67" s="13"/>
      <c r="M67" s="13" t="str">
        <f aca="false">IF('Avaliador 1'!J67='Avaliador 2'!J67,'Avaliador 1'!J67&amp;"","")</f>
        <v/>
      </c>
      <c r="N67" s="11" t="str">
        <f aca="false">IF(OR('Avaliador 1'!F67="",'Avaliador 2'!F67=""),"",IF(AND('Avaliador 1'!F67='Avaliador 2'!F67,'Avaliador 1'!G67='Avaliador 2'!G67,'Avaliador 1'!H67='Avaliador 2'!H67,'Avaliador 1'!I67='Avaliador 2'!I67),"Não","Sim"))</f>
        <v/>
      </c>
      <c r="O67" s="14"/>
      <c r="P67" s="10" t="str">
        <f aca="false">IF(LEN(H67)=3,"Defeito encontrado",IF(I67="Sim","Falso alarme",IF(H67="—","Nenhum defeito apontado","")))</f>
        <v/>
      </c>
    </row>
    <row r="68" customFormat="false" ht="15" hidden="false" customHeight="false" outlineLevel="0" collapsed="false">
      <c r="A68" s="11" t="str">
        <f aca="false">Apontamentos!C68</f>
        <v/>
      </c>
      <c r="B68" s="11" t="str">
        <f aca="false">IF(Apontamentos!$C68="","",Apontamentos!A68&amp;"")</f>
        <v/>
      </c>
      <c r="C68" s="11" t="str">
        <f aca="false">IF(B68="","",IFERROR(INDEX(Execuções!$C$2:$C$97,MATCH(B68,Execuções!$A$2:$A$97,0)),"ID?"))</f>
        <v/>
      </c>
      <c r="D68" s="10" t="str">
        <f aca="false">IF(B68="","",IFERROR(INDEX(Execuções!$B$2:$B$97,MATCH(B68,Execuções!$A$2:$A$97,0)),"ID?"))</f>
        <v/>
      </c>
      <c r="E68" s="11" t="str">
        <f aca="false">IF(B68="","",Apontamentos!D68)</f>
        <v/>
      </c>
      <c r="F68" s="11" t="str">
        <f aca="false">IF(B68="","",Apontamentos!E68)</f>
        <v/>
      </c>
      <c r="G68" s="10" t="str">
        <f aca="false">IF(B68="","",Apontamentos!G68&amp;"")</f>
        <v/>
      </c>
      <c r="H68" s="14" t="str">
        <f aca="false">IF('Avaliador 1'!F68='Avaliador 2'!F68,'Avaliador 1'!F68&amp;"","")</f>
        <v/>
      </c>
      <c r="I68" s="14" t="str">
        <f aca="false">IF('Avaliador 1'!G68='Avaliador 2'!G68,'Avaliador 1'!G68&amp;"","")</f>
        <v/>
      </c>
      <c r="J68" s="14" t="str">
        <f aca="false">IF('Avaliador 1'!H68='Avaliador 2'!H68,'Avaliador 1'!H68&amp;"","")</f>
        <v/>
      </c>
      <c r="K68" s="14" t="str">
        <f aca="false">IF('Avaliador 1'!I68='Avaliador 2'!I68,'Avaliador 1'!I68&amp;"","")</f>
        <v/>
      </c>
      <c r="L68" s="13"/>
      <c r="M68" s="13" t="str">
        <f aca="false">IF('Avaliador 1'!J68='Avaliador 2'!J68,'Avaliador 1'!J68&amp;"","")</f>
        <v/>
      </c>
      <c r="N68" s="11" t="str">
        <f aca="false">IF(OR('Avaliador 1'!F68="",'Avaliador 2'!F68=""),"",IF(AND('Avaliador 1'!F68='Avaliador 2'!F68,'Avaliador 1'!G68='Avaliador 2'!G68,'Avaliador 1'!H68='Avaliador 2'!H68,'Avaliador 1'!I68='Avaliador 2'!I68),"Não","Sim"))</f>
        <v/>
      </c>
      <c r="O68" s="14"/>
      <c r="P68" s="10" t="str">
        <f aca="false">IF(LEN(H68)=3,"Defeito encontrado",IF(I68="Sim","Falso alarme",IF(H68="—","Nenhum defeito apontado","")))</f>
        <v/>
      </c>
    </row>
    <row r="69" customFormat="false" ht="15" hidden="false" customHeight="false" outlineLevel="0" collapsed="false">
      <c r="A69" s="11" t="str">
        <f aca="false">Apontamentos!C69</f>
        <v/>
      </c>
      <c r="B69" s="11" t="str">
        <f aca="false">IF(Apontamentos!$C69="","",Apontamentos!A69&amp;"")</f>
        <v/>
      </c>
      <c r="C69" s="11" t="str">
        <f aca="false">IF(B69="","",IFERROR(INDEX(Execuções!$C$2:$C$97,MATCH(B69,Execuções!$A$2:$A$97,0)),"ID?"))</f>
        <v/>
      </c>
      <c r="D69" s="10" t="str">
        <f aca="false">IF(B69="","",IFERROR(INDEX(Execuções!$B$2:$B$97,MATCH(B69,Execuções!$A$2:$A$97,0)),"ID?"))</f>
        <v/>
      </c>
      <c r="E69" s="11" t="str">
        <f aca="false">IF(B69="","",Apontamentos!D69)</f>
        <v/>
      </c>
      <c r="F69" s="11" t="str">
        <f aca="false">IF(B69="","",Apontamentos!E69)</f>
        <v/>
      </c>
      <c r="G69" s="10" t="str">
        <f aca="false">IF(B69="","",Apontamentos!G69&amp;"")</f>
        <v/>
      </c>
      <c r="H69" s="14" t="str">
        <f aca="false">IF('Avaliador 1'!F69='Avaliador 2'!F69,'Avaliador 1'!F69&amp;"","")</f>
        <v/>
      </c>
      <c r="I69" s="14" t="str">
        <f aca="false">IF('Avaliador 1'!G69='Avaliador 2'!G69,'Avaliador 1'!G69&amp;"","")</f>
        <v/>
      </c>
      <c r="J69" s="14" t="str">
        <f aca="false">IF('Avaliador 1'!H69='Avaliador 2'!H69,'Avaliador 1'!H69&amp;"","")</f>
        <v/>
      </c>
      <c r="K69" s="14" t="str">
        <f aca="false">IF('Avaliador 1'!I69='Avaliador 2'!I69,'Avaliador 1'!I69&amp;"","")</f>
        <v/>
      </c>
      <c r="L69" s="13"/>
      <c r="M69" s="13" t="str">
        <f aca="false">IF('Avaliador 1'!J69='Avaliador 2'!J69,'Avaliador 1'!J69&amp;"","")</f>
        <v/>
      </c>
      <c r="N69" s="11" t="str">
        <f aca="false">IF(OR('Avaliador 1'!F69="",'Avaliador 2'!F69=""),"",IF(AND('Avaliador 1'!F69='Avaliador 2'!F69,'Avaliador 1'!G69='Avaliador 2'!G69,'Avaliador 1'!H69='Avaliador 2'!H69,'Avaliador 1'!I69='Avaliador 2'!I69),"Não","Sim"))</f>
        <v/>
      </c>
      <c r="O69" s="14"/>
      <c r="P69" s="10" t="str">
        <f aca="false">IF(LEN(H69)=3,"Defeito encontrado",IF(I69="Sim","Falso alarme",IF(H69="—","Nenhum defeito apontado","")))</f>
        <v/>
      </c>
    </row>
    <row r="70" customFormat="false" ht="15" hidden="false" customHeight="false" outlineLevel="0" collapsed="false">
      <c r="A70" s="11" t="str">
        <f aca="false">Apontamentos!C70</f>
        <v/>
      </c>
      <c r="B70" s="11" t="str">
        <f aca="false">IF(Apontamentos!$C70="","",Apontamentos!A70&amp;"")</f>
        <v/>
      </c>
      <c r="C70" s="11" t="str">
        <f aca="false">IF(B70="","",IFERROR(INDEX(Execuções!$C$2:$C$97,MATCH(B70,Execuções!$A$2:$A$97,0)),"ID?"))</f>
        <v/>
      </c>
      <c r="D70" s="10" t="str">
        <f aca="false">IF(B70="","",IFERROR(INDEX(Execuções!$B$2:$B$97,MATCH(B70,Execuções!$A$2:$A$97,0)),"ID?"))</f>
        <v/>
      </c>
      <c r="E70" s="11" t="str">
        <f aca="false">IF(B70="","",Apontamentos!D70)</f>
        <v/>
      </c>
      <c r="F70" s="11" t="str">
        <f aca="false">IF(B70="","",Apontamentos!E70)</f>
        <v/>
      </c>
      <c r="G70" s="10" t="str">
        <f aca="false">IF(B70="","",Apontamentos!G70&amp;"")</f>
        <v/>
      </c>
      <c r="H70" s="14" t="str">
        <f aca="false">IF('Avaliador 1'!F70='Avaliador 2'!F70,'Avaliador 1'!F70&amp;"","")</f>
        <v/>
      </c>
      <c r="I70" s="14" t="str">
        <f aca="false">IF('Avaliador 1'!G70='Avaliador 2'!G70,'Avaliador 1'!G70&amp;"","")</f>
        <v/>
      </c>
      <c r="J70" s="14" t="str">
        <f aca="false">IF('Avaliador 1'!H70='Avaliador 2'!H70,'Avaliador 1'!H70&amp;"","")</f>
        <v/>
      </c>
      <c r="K70" s="14" t="str">
        <f aca="false">IF('Avaliador 1'!I70='Avaliador 2'!I70,'Avaliador 1'!I70&amp;"","")</f>
        <v/>
      </c>
      <c r="L70" s="13"/>
      <c r="M70" s="13" t="str">
        <f aca="false">IF('Avaliador 1'!J70='Avaliador 2'!J70,'Avaliador 1'!J70&amp;"","")</f>
        <v/>
      </c>
      <c r="N70" s="11" t="str">
        <f aca="false">IF(OR('Avaliador 1'!F70="",'Avaliador 2'!F70=""),"",IF(AND('Avaliador 1'!F70='Avaliador 2'!F70,'Avaliador 1'!G70='Avaliador 2'!G70,'Avaliador 1'!H70='Avaliador 2'!H70,'Avaliador 1'!I70='Avaliador 2'!I70),"Não","Sim"))</f>
        <v/>
      </c>
      <c r="O70" s="14"/>
      <c r="P70" s="10" t="str">
        <f aca="false">IF(LEN(H70)=3,"Defeito encontrado",IF(I70="Sim","Falso alarme",IF(H70="—","Nenhum defeito apontado","")))</f>
        <v/>
      </c>
    </row>
    <row r="71" customFormat="false" ht="15" hidden="false" customHeight="false" outlineLevel="0" collapsed="false">
      <c r="A71" s="11" t="str">
        <f aca="false">Apontamentos!C71</f>
        <v/>
      </c>
      <c r="B71" s="11" t="str">
        <f aca="false">IF(Apontamentos!$C71="","",Apontamentos!A71&amp;"")</f>
        <v/>
      </c>
      <c r="C71" s="11" t="str">
        <f aca="false">IF(B71="","",IFERROR(INDEX(Execuções!$C$2:$C$97,MATCH(B71,Execuções!$A$2:$A$97,0)),"ID?"))</f>
        <v/>
      </c>
      <c r="D71" s="10" t="str">
        <f aca="false">IF(B71="","",IFERROR(INDEX(Execuções!$B$2:$B$97,MATCH(B71,Execuções!$A$2:$A$97,0)),"ID?"))</f>
        <v/>
      </c>
      <c r="E71" s="11" t="str">
        <f aca="false">IF(B71="","",Apontamentos!D71)</f>
        <v/>
      </c>
      <c r="F71" s="11" t="str">
        <f aca="false">IF(B71="","",Apontamentos!E71)</f>
        <v/>
      </c>
      <c r="G71" s="10" t="str">
        <f aca="false">IF(B71="","",Apontamentos!G71&amp;"")</f>
        <v/>
      </c>
      <c r="H71" s="14" t="str">
        <f aca="false">IF('Avaliador 1'!F71='Avaliador 2'!F71,'Avaliador 1'!F71&amp;"","")</f>
        <v/>
      </c>
      <c r="I71" s="14" t="str">
        <f aca="false">IF('Avaliador 1'!G71='Avaliador 2'!G71,'Avaliador 1'!G71&amp;"","")</f>
        <v/>
      </c>
      <c r="J71" s="14" t="str">
        <f aca="false">IF('Avaliador 1'!H71='Avaliador 2'!H71,'Avaliador 1'!H71&amp;"","")</f>
        <v/>
      </c>
      <c r="K71" s="14" t="str">
        <f aca="false">IF('Avaliador 1'!I71='Avaliador 2'!I71,'Avaliador 1'!I71&amp;"","")</f>
        <v/>
      </c>
      <c r="L71" s="13"/>
      <c r="M71" s="13" t="str">
        <f aca="false">IF('Avaliador 1'!J71='Avaliador 2'!J71,'Avaliador 1'!J71&amp;"","")</f>
        <v/>
      </c>
      <c r="N71" s="11" t="str">
        <f aca="false">IF(OR('Avaliador 1'!F71="",'Avaliador 2'!F71=""),"",IF(AND('Avaliador 1'!F71='Avaliador 2'!F71,'Avaliador 1'!G71='Avaliador 2'!G71,'Avaliador 1'!H71='Avaliador 2'!H71,'Avaliador 1'!I71='Avaliador 2'!I71),"Não","Sim"))</f>
        <v/>
      </c>
      <c r="O71" s="14"/>
      <c r="P71" s="10" t="str">
        <f aca="false">IF(LEN(H71)=3,"Defeito encontrado",IF(I71="Sim","Falso alarme",IF(H71="—","Nenhum defeito apontado","")))</f>
        <v/>
      </c>
    </row>
    <row r="72" customFormat="false" ht="15" hidden="false" customHeight="false" outlineLevel="0" collapsed="false">
      <c r="A72" s="11" t="str">
        <f aca="false">Apontamentos!C72</f>
        <v/>
      </c>
      <c r="B72" s="11" t="str">
        <f aca="false">IF(Apontamentos!$C72="","",Apontamentos!A72&amp;"")</f>
        <v/>
      </c>
      <c r="C72" s="11" t="str">
        <f aca="false">IF(B72="","",IFERROR(INDEX(Execuções!$C$2:$C$97,MATCH(B72,Execuções!$A$2:$A$97,0)),"ID?"))</f>
        <v/>
      </c>
      <c r="D72" s="10" t="str">
        <f aca="false">IF(B72="","",IFERROR(INDEX(Execuções!$B$2:$B$97,MATCH(B72,Execuções!$A$2:$A$97,0)),"ID?"))</f>
        <v/>
      </c>
      <c r="E72" s="11" t="str">
        <f aca="false">IF(B72="","",Apontamentos!D72)</f>
        <v/>
      </c>
      <c r="F72" s="11" t="str">
        <f aca="false">IF(B72="","",Apontamentos!E72)</f>
        <v/>
      </c>
      <c r="G72" s="10" t="str">
        <f aca="false">IF(B72="","",Apontamentos!G72&amp;"")</f>
        <v/>
      </c>
      <c r="H72" s="14" t="str">
        <f aca="false">IF('Avaliador 1'!F72='Avaliador 2'!F72,'Avaliador 1'!F72&amp;"","")</f>
        <v/>
      </c>
      <c r="I72" s="14" t="str">
        <f aca="false">IF('Avaliador 1'!G72='Avaliador 2'!G72,'Avaliador 1'!G72&amp;"","")</f>
        <v/>
      </c>
      <c r="J72" s="14" t="str">
        <f aca="false">IF('Avaliador 1'!H72='Avaliador 2'!H72,'Avaliador 1'!H72&amp;"","")</f>
        <v/>
      </c>
      <c r="K72" s="14" t="str">
        <f aca="false">IF('Avaliador 1'!I72='Avaliador 2'!I72,'Avaliador 1'!I72&amp;"","")</f>
        <v/>
      </c>
      <c r="L72" s="13"/>
      <c r="M72" s="13" t="str">
        <f aca="false">IF('Avaliador 1'!J72='Avaliador 2'!J72,'Avaliador 1'!J72&amp;"","")</f>
        <v/>
      </c>
      <c r="N72" s="11" t="str">
        <f aca="false">IF(OR('Avaliador 1'!F72="",'Avaliador 2'!F72=""),"",IF(AND('Avaliador 1'!F72='Avaliador 2'!F72,'Avaliador 1'!G72='Avaliador 2'!G72,'Avaliador 1'!H72='Avaliador 2'!H72,'Avaliador 1'!I72='Avaliador 2'!I72),"Não","Sim"))</f>
        <v/>
      </c>
      <c r="O72" s="14"/>
      <c r="P72" s="10" t="str">
        <f aca="false">IF(LEN(H72)=3,"Defeito encontrado",IF(I72="Sim","Falso alarme",IF(H72="—","Nenhum defeito apontado","")))</f>
        <v/>
      </c>
    </row>
    <row r="73" customFormat="false" ht="15" hidden="false" customHeight="false" outlineLevel="0" collapsed="false">
      <c r="A73" s="11" t="str">
        <f aca="false">Apontamentos!C73</f>
        <v/>
      </c>
      <c r="B73" s="11" t="str">
        <f aca="false">IF(Apontamentos!$C73="","",Apontamentos!A73&amp;"")</f>
        <v/>
      </c>
      <c r="C73" s="11" t="str">
        <f aca="false">IF(B73="","",IFERROR(INDEX(Execuções!$C$2:$C$97,MATCH(B73,Execuções!$A$2:$A$97,0)),"ID?"))</f>
        <v/>
      </c>
      <c r="D73" s="10" t="str">
        <f aca="false">IF(B73="","",IFERROR(INDEX(Execuções!$B$2:$B$97,MATCH(B73,Execuções!$A$2:$A$97,0)),"ID?"))</f>
        <v/>
      </c>
      <c r="E73" s="11" t="str">
        <f aca="false">IF(B73="","",Apontamentos!D73)</f>
        <v/>
      </c>
      <c r="F73" s="11" t="str">
        <f aca="false">IF(B73="","",Apontamentos!E73)</f>
        <v/>
      </c>
      <c r="G73" s="10" t="str">
        <f aca="false">IF(B73="","",Apontamentos!G73&amp;"")</f>
        <v/>
      </c>
      <c r="H73" s="14" t="str">
        <f aca="false">IF('Avaliador 1'!F73='Avaliador 2'!F73,'Avaliador 1'!F73&amp;"","")</f>
        <v/>
      </c>
      <c r="I73" s="14" t="str">
        <f aca="false">IF('Avaliador 1'!G73='Avaliador 2'!G73,'Avaliador 1'!G73&amp;"","")</f>
        <v/>
      </c>
      <c r="J73" s="14" t="str">
        <f aca="false">IF('Avaliador 1'!H73='Avaliador 2'!H73,'Avaliador 1'!H73&amp;"","")</f>
        <v/>
      </c>
      <c r="K73" s="14" t="str">
        <f aca="false">IF('Avaliador 1'!I73='Avaliador 2'!I73,'Avaliador 1'!I73&amp;"","")</f>
        <v/>
      </c>
      <c r="L73" s="13"/>
      <c r="M73" s="13" t="str">
        <f aca="false">IF('Avaliador 1'!J73='Avaliador 2'!J73,'Avaliador 1'!J73&amp;"","")</f>
        <v/>
      </c>
      <c r="N73" s="11" t="str">
        <f aca="false">IF(OR('Avaliador 1'!F73="",'Avaliador 2'!F73=""),"",IF(AND('Avaliador 1'!F73='Avaliador 2'!F73,'Avaliador 1'!G73='Avaliador 2'!G73,'Avaliador 1'!H73='Avaliador 2'!H73,'Avaliador 1'!I73='Avaliador 2'!I73),"Não","Sim"))</f>
        <v/>
      </c>
      <c r="O73" s="14"/>
      <c r="P73" s="10" t="str">
        <f aca="false">IF(LEN(H73)=3,"Defeito encontrado",IF(I73="Sim","Falso alarme",IF(H73="—","Nenhum defeito apontado","")))</f>
        <v/>
      </c>
    </row>
    <row r="74" customFormat="false" ht="15" hidden="false" customHeight="false" outlineLevel="0" collapsed="false">
      <c r="A74" s="11" t="str">
        <f aca="false">Apontamentos!C74</f>
        <v/>
      </c>
      <c r="B74" s="11" t="str">
        <f aca="false">IF(Apontamentos!$C74="","",Apontamentos!A74&amp;"")</f>
        <v/>
      </c>
      <c r="C74" s="11" t="str">
        <f aca="false">IF(B74="","",IFERROR(INDEX(Execuções!$C$2:$C$97,MATCH(B74,Execuções!$A$2:$A$97,0)),"ID?"))</f>
        <v/>
      </c>
      <c r="D74" s="10" t="str">
        <f aca="false">IF(B74="","",IFERROR(INDEX(Execuções!$B$2:$B$97,MATCH(B74,Execuções!$A$2:$A$97,0)),"ID?"))</f>
        <v/>
      </c>
      <c r="E74" s="11" t="str">
        <f aca="false">IF(B74="","",Apontamentos!D74)</f>
        <v/>
      </c>
      <c r="F74" s="11" t="str">
        <f aca="false">IF(B74="","",Apontamentos!E74)</f>
        <v/>
      </c>
      <c r="G74" s="10" t="str">
        <f aca="false">IF(B74="","",Apontamentos!G74&amp;"")</f>
        <v/>
      </c>
      <c r="H74" s="14" t="str">
        <f aca="false">IF('Avaliador 1'!F74='Avaliador 2'!F74,'Avaliador 1'!F74&amp;"","")</f>
        <v/>
      </c>
      <c r="I74" s="14" t="str">
        <f aca="false">IF('Avaliador 1'!G74='Avaliador 2'!G74,'Avaliador 1'!G74&amp;"","")</f>
        <v/>
      </c>
      <c r="J74" s="14" t="str">
        <f aca="false">IF('Avaliador 1'!H74='Avaliador 2'!H74,'Avaliador 1'!H74&amp;"","")</f>
        <v/>
      </c>
      <c r="K74" s="14" t="str">
        <f aca="false">IF('Avaliador 1'!I74='Avaliador 2'!I74,'Avaliador 1'!I74&amp;"","")</f>
        <v/>
      </c>
      <c r="L74" s="13"/>
      <c r="M74" s="13" t="str">
        <f aca="false">IF('Avaliador 1'!J74='Avaliador 2'!J74,'Avaliador 1'!J74&amp;"","")</f>
        <v/>
      </c>
      <c r="N74" s="11" t="str">
        <f aca="false">IF(OR('Avaliador 1'!F74="",'Avaliador 2'!F74=""),"",IF(AND('Avaliador 1'!F74='Avaliador 2'!F74,'Avaliador 1'!G74='Avaliador 2'!G74,'Avaliador 1'!H74='Avaliador 2'!H74,'Avaliador 1'!I74='Avaliador 2'!I74),"Não","Sim"))</f>
        <v/>
      </c>
      <c r="O74" s="14"/>
      <c r="P74" s="10" t="str">
        <f aca="false">IF(LEN(H74)=3,"Defeito encontrado",IF(I74="Sim","Falso alarme",IF(H74="—","Nenhum defeito apontado","")))</f>
        <v/>
      </c>
    </row>
    <row r="75" customFormat="false" ht="15" hidden="false" customHeight="false" outlineLevel="0" collapsed="false">
      <c r="A75" s="11" t="str">
        <f aca="false">Apontamentos!C75</f>
        <v/>
      </c>
      <c r="B75" s="11" t="str">
        <f aca="false">IF(Apontamentos!$C75="","",Apontamentos!A75&amp;"")</f>
        <v/>
      </c>
      <c r="C75" s="11" t="str">
        <f aca="false">IF(B75="","",IFERROR(INDEX(Execuções!$C$2:$C$97,MATCH(B75,Execuções!$A$2:$A$97,0)),"ID?"))</f>
        <v/>
      </c>
      <c r="D75" s="10" t="str">
        <f aca="false">IF(B75="","",IFERROR(INDEX(Execuções!$B$2:$B$97,MATCH(B75,Execuções!$A$2:$A$97,0)),"ID?"))</f>
        <v/>
      </c>
      <c r="E75" s="11" t="str">
        <f aca="false">IF(B75="","",Apontamentos!D75)</f>
        <v/>
      </c>
      <c r="F75" s="11" t="str">
        <f aca="false">IF(B75="","",Apontamentos!E75)</f>
        <v/>
      </c>
      <c r="G75" s="10" t="str">
        <f aca="false">IF(B75="","",Apontamentos!G75&amp;"")</f>
        <v/>
      </c>
      <c r="H75" s="14" t="str">
        <f aca="false">IF('Avaliador 1'!F75='Avaliador 2'!F75,'Avaliador 1'!F75&amp;"","")</f>
        <v/>
      </c>
      <c r="I75" s="14" t="str">
        <f aca="false">IF('Avaliador 1'!G75='Avaliador 2'!G75,'Avaliador 1'!G75&amp;"","")</f>
        <v/>
      </c>
      <c r="J75" s="14" t="str">
        <f aca="false">IF('Avaliador 1'!H75='Avaliador 2'!H75,'Avaliador 1'!H75&amp;"","")</f>
        <v/>
      </c>
      <c r="K75" s="14" t="str">
        <f aca="false">IF('Avaliador 1'!I75='Avaliador 2'!I75,'Avaliador 1'!I75&amp;"","")</f>
        <v/>
      </c>
      <c r="L75" s="13"/>
      <c r="M75" s="13" t="str">
        <f aca="false">IF('Avaliador 1'!J75='Avaliador 2'!J75,'Avaliador 1'!J75&amp;"","")</f>
        <v/>
      </c>
      <c r="N75" s="11" t="str">
        <f aca="false">IF(OR('Avaliador 1'!F75="",'Avaliador 2'!F75=""),"",IF(AND('Avaliador 1'!F75='Avaliador 2'!F75,'Avaliador 1'!G75='Avaliador 2'!G75,'Avaliador 1'!H75='Avaliador 2'!H75,'Avaliador 1'!I75='Avaliador 2'!I75),"Não","Sim"))</f>
        <v/>
      </c>
      <c r="O75" s="14"/>
      <c r="P75" s="10" t="str">
        <f aca="false">IF(LEN(H75)=3,"Defeito encontrado",IF(I75="Sim","Falso alarme",IF(H75="—","Nenhum defeito apontado","")))</f>
        <v/>
      </c>
    </row>
    <row r="76" customFormat="false" ht="15" hidden="false" customHeight="false" outlineLevel="0" collapsed="false">
      <c r="A76" s="11" t="str">
        <f aca="false">Apontamentos!C76</f>
        <v/>
      </c>
      <c r="B76" s="11" t="str">
        <f aca="false">IF(Apontamentos!$C76="","",Apontamentos!A76&amp;"")</f>
        <v/>
      </c>
      <c r="C76" s="11" t="str">
        <f aca="false">IF(B76="","",IFERROR(INDEX(Execuções!$C$2:$C$97,MATCH(B76,Execuções!$A$2:$A$97,0)),"ID?"))</f>
        <v/>
      </c>
      <c r="D76" s="10" t="str">
        <f aca="false">IF(B76="","",IFERROR(INDEX(Execuções!$B$2:$B$97,MATCH(B76,Execuções!$A$2:$A$97,0)),"ID?"))</f>
        <v/>
      </c>
      <c r="E76" s="11" t="str">
        <f aca="false">IF(B76="","",Apontamentos!D76)</f>
        <v/>
      </c>
      <c r="F76" s="11" t="str">
        <f aca="false">IF(B76="","",Apontamentos!E76)</f>
        <v/>
      </c>
      <c r="G76" s="10" t="str">
        <f aca="false">IF(B76="","",Apontamentos!G76&amp;"")</f>
        <v/>
      </c>
      <c r="H76" s="14" t="str">
        <f aca="false">IF('Avaliador 1'!F76='Avaliador 2'!F76,'Avaliador 1'!F76&amp;"","")</f>
        <v/>
      </c>
      <c r="I76" s="14" t="str">
        <f aca="false">IF('Avaliador 1'!G76='Avaliador 2'!G76,'Avaliador 1'!G76&amp;"","")</f>
        <v/>
      </c>
      <c r="J76" s="14" t="str">
        <f aca="false">IF('Avaliador 1'!H76='Avaliador 2'!H76,'Avaliador 1'!H76&amp;"","")</f>
        <v/>
      </c>
      <c r="K76" s="14" t="str">
        <f aca="false">IF('Avaliador 1'!I76='Avaliador 2'!I76,'Avaliador 1'!I76&amp;"","")</f>
        <v/>
      </c>
      <c r="L76" s="13"/>
      <c r="M76" s="13" t="str">
        <f aca="false">IF('Avaliador 1'!J76='Avaliador 2'!J76,'Avaliador 1'!J76&amp;"","")</f>
        <v/>
      </c>
      <c r="N76" s="11" t="str">
        <f aca="false">IF(OR('Avaliador 1'!F76="",'Avaliador 2'!F76=""),"",IF(AND('Avaliador 1'!F76='Avaliador 2'!F76,'Avaliador 1'!G76='Avaliador 2'!G76,'Avaliador 1'!H76='Avaliador 2'!H76,'Avaliador 1'!I76='Avaliador 2'!I76),"Não","Sim"))</f>
        <v/>
      </c>
      <c r="O76" s="14"/>
      <c r="P76" s="10" t="str">
        <f aca="false">IF(LEN(H76)=3,"Defeito encontrado",IF(I76="Sim","Falso alarme",IF(H76="—","Nenhum defeito apontado","")))</f>
        <v/>
      </c>
    </row>
    <row r="77" customFormat="false" ht="15" hidden="false" customHeight="false" outlineLevel="0" collapsed="false">
      <c r="A77" s="11" t="str">
        <f aca="false">Apontamentos!C77</f>
        <v/>
      </c>
      <c r="B77" s="11" t="str">
        <f aca="false">IF(Apontamentos!$C77="","",Apontamentos!A77&amp;"")</f>
        <v/>
      </c>
      <c r="C77" s="11" t="str">
        <f aca="false">IF(B77="","",IFERROR(INDEX(Execuções!$C$2:$C$97,MATCH(B77,Execuções!$A$2:$A$97,0)),"ID?"))</f>
        <v/>
      </c>
      <c r="D77" s="10" t="str">
        <f aca="false">IF(B77="","",IFERROR(INDEX(Execuções!$B$2:$B$97,MATCH(B77,Execuções!$A$2:$A$97,0)),"ID?"))</f>
        <v/>
      </c>
      <c r="E77" s="11" t="str">
        <f aca="false">IF(B77="","",Apontamentos!D77)</f>
        <v/>
      </c>
      <c r="F77" s="11" t="str">
        <f aca="false">IF(B77="","",Apontamentos!E77)</f>
        <v/>
      </c>
      <c r="G77" s="10" t="str">
        <f aca="false">IF(B77="","",Apontamentos!G77&amp;"")</f>
        <v/>
      </c>
      <c r="H77" s="14" t="str">
        <f aca="false">IF('Avaliador 1'!F77='Avaliador 2'!F77,'Avaliador 1'!F77&amp;"","")</f>
        <v/>
      </c>
      <c r="I77" s="14" t="str">
        <f aca="false">IF('Avaliador 1'!G77='Avaliador 2'!G77,'Avaliador 1'!G77&amp;"","")</f>
        <v/>
      </c>
      <c r="J77" s="14" t="str">
        <f aca="false">IF('Avaliador 1'!H77='Avaliador 2'!H77,'Avaliador 1'!H77&amp;"","")</f>
        <v/>
      </c>
      <c r="K77" s="14" t="str">
        <f aca="false">IF('Avaliador 1'!I77='Avaliador 2'!I77,'Avaliador 1'!I77&amp;"","")</f>
        <v/>
      </c>
      <c r="L77" s="13"/>
      <c r="M77" s="13" t="str">
        <f aca="false">IF('Avaliador 1'!J77='Avaliador 2'!J77,'Avaliador 1'!J77&amp;"","")</f>
        <v/>
      </c>
      <c r="N77" s="11" t="str">
        <f aca="false">IF(OR('Avaliador 1'!F77="",'Avaliador 2'!F77=""),"",IF(AND('Avaliador 1'!F77='Avaliador 2'!F77,'Avaliador 1'!G77='Avaliador 2'!G77,'Avaliador 1'!H77='Avaliador 2'!H77,'Avaliador 1'!I77='Avaliador 2'!I77),"Não","Sim"))</f>
        <v/>
      </c>
      <c r="O77" s="14"/>
      <c r="P77" s="10" t="str">
        <f aca="false">IF(LEN(H77)=3,"Defeito encontrado",IF(I77="Sim","Falso alarme",IF(H77="—","Nenhum defeito apontado","")))</f>
        <v/>
      </c>
    </row>
    <row r="78" customFormat="false" ht="15" hidden="false" customHeight="false" outlineLevel="0" collapsed="false">
      <c r="A78" s="11" t="str">
        <f aca="false">Apontamentos!C78</f>
        <v/>
      </c>
      <c r="B78" s="11" t="str">
        <f aca="false">IF(Apontamentos!$C78="","",Apontamentos!A78&amp;"")</f>
        <v/>
      </c>
      <c r="C78" s="11" t="str">
        <f aca="false">IF(B78="","",IFERROR(INDEX(Execuções!$C$2:$C$97,MATCH(B78,Execuções!$A$2:$A$97,0)),"ID?"))</f>
        <v/>
      </c>
      <c r="D78" s="10" t="str">
        <f aca="false">IF(B78="","",IFERROR(INDEX(Execuções!$B$2:$B$97,MATCH(B78,Execuções!$A$2:$A$97,0)),"ID?"))</f>
        <v/>
      </c>
      <c r="E78" s="11" t="str">
        <f aca="false">IF(B78="","",Apontamentos!D78)</f>
        <v/>
      </c>
      <c r="F78" s="11" t="str">
        <f aca="false">IF(B78="","",Apontamentos!E78)</f>
        <v/>
      </c>
      <c r="G78" s="10" t="str">
        <f aca="false">IF(B78="","",Apontamentos!G78&amp;"")</f>
        <v/>
      </c>
      <c r="H78" s="14" t="str">
        <f aca="false">IF('Avaliador 1'!F78='Avaliador 2'!F78,'Avaliador 1'!F78&amp;"","")</f>
        <v/>
      </c>
      <c r="I78" s="14" t="str">
        <f aca="false">IF('Avaliador 1'!G78='Avaliador 2'!G78,'Avaliador 1'!G78&amp;"","")</f>
        <v/>
      </c>
      <c r="J78" s="14" t="str">
        <f aca="false">IF('Avaliador 1'!H78='Avaliador 2'!H78,'Avaliador 1'!H78&amp;"","")</f>
        <v/>
      </c>
      <c r="K78" s="14" t="str">
        <f aca="false">IF('Avaliador 1'!I78='Avaliador 2'!I78,'Avaliador 1'!I78&amp;"","")</f>
        <v/>
      </c>
      <c r="L78" s="13"/>
      <c r="M78" s="13" t="str">
        <f aca="false">IF('Avaliador 1'!J78='Avaliador 2'!J78,'Avaliador 1'!J78&amp;"","")</f>
        <v/>
      </c>
      <c r="N78" s="11" t="str">
        <f aca="false">IF(OR('Avaliador 1'!F78="",'Avaliador 2'!F78=""),"",IF(AND('Avaliador 1'!F78='Avaliador 2'!F78,'Avaliador 1'!G78='Avaliador 2'!G78,'Avaliador 1'!H78='Avaliador 2'!H78,'Avaliador 1'!I78='Avaliador 2'!I78),"Não","Sim"))</f>
        <v/>
      </c>
      <c r="O78" s="14"/>
      <c r="P78" s="10" t="str">
        <f aca="false">IF(LEN(H78)=3,"Defeito encontrado",IF(I78="Sim","Falso alarme",IF(H78="—","Nenhum defeito apontado","")))</f>
        <v/>
      </c>
    </row>
    <row r="79" customFormat="false" ht="15" hidden="false" customHeight="false" outlineLevel="0" collapsed="false">
      <c r="A79" s="11" t="str">
        <f aca="false">Apontamentos!C79</f>
        <v/>
      </c>
      <c r="B79" s="11" t="str">
        <f aca="false">IF(Apontamentos!$C79="","",Apontamentos!A79&amp;"")</f>
        <v/>
      </c>
      <c r="C79" s="11" t="str">
        <f aca="false">IF(B79="","",IFERROR(INDEX(Execuções!$C$2:$C$97,MATCH(B79,Execuções!$A$2:$A$97,0)),"ID?"))</f>
        <v/>
      </c>
      <c r="D79" s="10" t="str">
        <f aca="false">IF(B79="","",IFERROR(INDEX(Execuções!$B$2:$B$97,MATCH(B79,Execuções!$A$2:$A$97,0)),"ID?"))</f>
        <v/>
      </c>
      <c r="E79" s="11" t="str">
        <f aca="false">IF(B79="","",Apontamentos!D79)</f>
        <v/>
      </c>
      <c r="F79" s="11" t="str">
        <f aca="false">IF(B79="","",Apontamentos!E79)</f>
        <v/>
      </c>
      <c r="G79" s="10" t="str">
        <f aca="false">IF(B79="","",Apontamentos!G79&amp;"")</f>
        <v/>
      </c>
      <c r="H79" s="14" t="str">
        <f aca="false">IF('Avaliador 1'!F79='Avaliador 2'!F79,'Avaliador 1'!F79&amp;"","")</f>
        <v/>
      </c>
      <c r="I79" s="14" t="str">
        <f aca="false">IF('Avaliador 1'!G79='Avaliador 2'!G79,'Avaliador 1'!G79&amp;"","")</f>
        <v/>
      </c>
      <c r="J79" s="14" t="str">
        <f aca="false">IF('Avaliador 1'!H79='Avaliador 2'!H79,'Avaliador 1'!H79&amp;"","")</f>
        <v/>
      </c>
      <c r="K79" s="14" t="str">
        <f aca="false">IF('Avaliador 1'!I79='Avaliador 2'!I79,'Avaliador 1'!I79&amp;"","")</f>
        <v/>
      </c>
      <c r="L79" s="13"/>
      <c r="M79" s="13" t="str">
        <f aca="false">IF('Avaliador 1'!J79='Avaliador 2'!J79,'Avaliador 1'!J79&amp;"","")</f>
        <v/>
      </c>
      <c r="N79" s="11" t="str">
        <f aca="false">IF(OR('Avaliador 1'!F79="",'Avaliador 2'!F79=""),"",IF(AND('Avaliador 1'!F79='Avaliador 2'!F79,'Avaliador 1'!G79='Avaliador 2'!G79,'Avaliador 1'!H79='Avaliador 2'!H79,'Avaliador 1'!I79='Avaliador 2'!I79),"Não","Sim"))</f>
        <v/>
      </c>
      <c r="O79" s="14"/>
      <c r="P79" s="10" t="str">
        <f aca="false">IF(LEN(H79)=3,"Defeito encontrado",IF(I79="Sim","Falso alarme",IF(H79="—","Nenhum defeito apontado","")))</f>
        <v/>
      </c>
    </row>
    <row r="80" customFormat="false" ht="15" hidden="false" customHeight="false" outlineLevel="0" collapsed="false">
      <c r="A80" s="11" t="str">
        <f aca="false">Apontamentos!C80</f>
        <v/>
      </c>
      <c r="B80" s="11" t="str">
        <f aca="false">IF(Apontamentos!$C80="","",Apontamentos!A80&amp;"")</f>
        <v/>
      </c>
      <c r="C80" s="11" t="str">
        <f aca="false">IF(B80="","",IFERROR(INDEX(Execuções!$C$2:$C$97,MATCH(B80,Execuções!$A$2:$A$97,0)),"ID?"))</f>
        <v/>
      </c>
      <c r="D80" s="10" t="str">
        <f aca="false">IF(B80="","",IFERROR(INDEX(Execuções!$B$2:$B$97,MATCH(B80,Execuções!$A$2:$A$97,0)),"ID?"))</f>
        <v/>
      </c>
      <c r="E80" s="11" t="str">
        <f aca="false">IF(B80="","",Apontamentos!D80)</f>
        <v/>
      </c>
      <c r="F80" s="11" t="str">
        <f aca="false">IF(B80="","",Apontamentos!E80)</f>
        <v/>
      </c>
      <c r="G80" s="10" t="str">
        <f aca="false">IF(B80="","",Apontamentos!G80&amp;"")</f>
        <v/>
      </c>
      <c r="H80" s="14" t="str">
        <f aca="false">IF('Avaliador 1'!F80='Avaliador 2'!F80,'Avaliador 1'!F80&amp;"","")</f>
        <v/>
      </c>
      <c r="I80" s="14" t="str">
        <f aca="false">IF('Avaliador 1'!G80='Avaliador 2'!G80,'Avaliador 1'!G80&amp;"","")</f>
        <v/>
      </c>
      <c r="J80" s="14" t="str">
        <f aca="false">IF('Avaliador 1'!H80='Avaliador 2'!H80,'Avaliador 1'!H80&amp;"","")</f>
        <v/>
      </c>
      <c r="K80" s="14" t="str">
        <f aca="false">IF('Avaliador 1'!I80='Avaliador 2'!I80,'Avaliador 1'!I80&amp;"","")</f>
        <v/>
      </c>
      <c r="L80" s="13"/>
      <c r="M80" s="13" t="str">
        <f aca="false">IF('Avaliador 1'!J80='Avaliador 2'!J80,'Avaliador 1'!J80&amp;"","")</f>
        <v/>
      </c>
      <c r="N80" s="11" t="str">
        <f aca="false">IF(OR('Avaliador 1'!F80="",'Avaliador 2'!F80=""),"",IF(AND('Avaliador 1'!F80='Avaliador 2'!F80,'Avaliador 1'!G80='Avaliador 2'!G80,'Avaliador 1'!H80='Avaliador 2'!H80,'Avaliador 1'!I80='Avaliador 2'!I80),"Não","Sim"))</f>
        <v/>
      </c>
      <c r="O80" s="14"/>
      <c r="P80" s="10" t="str">
        <f aca="false">IF(LEN(H80)=3,"Defeito encontrado",IF(I80="Sim","Falso alarme",IF(H80="—","Nenhum defeito apontado","")))</f>
        <v/>
      </c>
    </row>
    <row r="81" customFormat="false" ht="15" hidden="false" customHeight="false" outlineLevel="0" collapsed="false">
      <c r="A81" s="11" t="str">
        <f aca="false">Apontamentos!C81</f>
        <v/>
      </c>
      <c r="B81" s="11" t="str">
        <f aca="false">IF(Apontamentos!$C81="","",Apontamentos!A81&amp;"")</f>
        <v/>
      </c>
      <c r="C81" s="11" t="str">
        <f aca="false">IF(B81="","",IFERROR(INDEX(Execuções!$C$2:$C$97,MATCH(B81,Execuções!$A$2:$A$97,0)),"ID?"))</f>
        <v/>
      </c>
      <c r="D81" s="10" t="str">
        <f aca="false">IF(B81="","",IFERROR(INDEX(Execuções!$B$2:$B$97,MATCH(B81,Execuções!$A$2:$A$97,0)),"ID?"))</f>
        <v/>
      </c>
      <c r="E81" s="11" t="str">
        <f aca="false">IF(B81="","",Apontamentos!D81)</f>
        <v/>
      </c>
      <c r="F81" s="11" t="str">
        <f aca="false">IF(B81="","",Apontamentos!E81)</f>
        <v/>
      </c>
      <c r="G81" s="10" t="str">
        <f aca="false">IF(B81="","",Apontamentos!G81&amp;"")</f>
        <v/>
      </c>
      <c r="H81" s="14" t="str">
        <f aca="false">IF('Avaliador 1'!F81='Avaliador 2'!F81,'Avaliador 1'!F81&amp;"","")</f>
        <v/>
      </c>
      <c r="I81" s="14" t="str">
        <f aca="false">IF('Avaliador 1'!G81='Avaliador 2'!G81,'Avaliador 1'!G81&amp;"","")</f>
        <v/>
      </c>
      <c r="J81" s="14" t="str">
        <f aca="false">IF('Avaliador 1'!H81='Avaliador 2'!H81,'Avaliador 1'!H81&amp;"","")</f>
        <v/>
      </c>
      <c r="K81" s="14" t="str">
        <f aca="false">IF('Avaliador 1'!I81='Avaliador 2'!I81,'Avaliador 1'!I81&amp;"","")</f>
        <v/>
      </c>
      <c r="L81" s="13"/>
      <c r="M81" s="13" t="str">
        <f aca="false">IF('Avaliador 1'!J81='Avaliador 2'!J81,'Avaliador 1'!J81&amp;"","")</f>
        <v/>
      </c>
      <c r="N81" s="11" t="str">
        <f aca="false">IF(OR('Avaliador 1'!F81="",'Avaliador 2'!F81=""),"",IF(AND('Avaliador 1'!F81='Avaliador 2'!F81,'Avaliador 1'!G81='Avaliador 2'!G81,'Avaliador 1'!H81='Avaliador 2'!H81,'Avaliador 1'!I81='Avaliador 2'!I81),"Não","Sim"))</f>
        <v/>
      </c>
      <c r="O81" s="14"/>
      <c r="P81" s="10" t="str">
        <f aca="false">IF(LEN(H81)=3,"Defeito encontrado",IF(I81="Sim","Falso alarme",IF(H81="—","Nenhum defeito apontado","")))</f>
        <v/>
      </c>
    </row>
    <row r="82" customFormat="false" ht="15" hidden="false" customHeight="false" outlineLevel="0" collapsed="false">
      <c r="A82" s="11" t="str">
        <f aca="false">Apontamentos!C82</f>
        <v/>
      </c>
      <c r="B82" s="11" t="str">
        <f aca="false">IF(Apontamentos!$C82="","",Apontamentos!A82&amp;"")</f>
        <v/>
      </c>
      <c r="C82" s="11" t="str">
        <f aca="false">IF(B82="","",IFERROR(INDEX(Execuções!$C$2:$C$97,MATCH(B82,Execuções!$A$2:$A$97,0)),"ID?"))</f>
        <v/>
      </c>
      <c r="D82" s="10" t="str">
        <f aca="false">IF(B82="","",IFERROR(INDEX(Execuções!$B$2:$B$97,MATCH(B82,Execuções!$A$2:$A$97,0)),"ID?"))</f>
        <v/>
      </c>
      <c r="E82" s="11" t="str">
        <f aca="false">IF(B82="","",Apontamentos!D82)</f>
        <v/>
      </c>
      <c r="F82" s="11" t="str">
        <f aca="false">IF(B82="","",Apontamentos!E82)</f>
        <v/>
      </c>
      <c r="G82" s="10" t="str">
        <f aca="false">IF(B82="","",Apontamentos!G82&amp;"")</f>
        <v/>
      </c>
      <c r="H82" s="14" t="str">
        <f aca="false">IF('Avaliador 1'!F82='Avaliador 2'!F82,'Avaliador 1'!F82&amp;"","")</f>
        <v/>
      </c>
      <c r="I82" s="14" t="str">
        <f aca="false">IF('Avaliador 1'!G82='Avaliador 2'!G82,'Avaliador 1'!G82&amp;"","")</f>
        <v/>
      </c>
      <c r="J82" s="14" t="str">
        <f aca="false">IF('Avaliador 1'!H82='Avaliador 2'!H82,'Avaliador 1'!H82&amp;"","")</f>
        <v/>
      </c>
      <c r="K82" s="14" t="str">
        <f aca="false">IF('Avaliador 1'!I82='Avaliador 2'!I82,'Avaliador 1'!I82&amp;"","")</f>
        <v/>
      </c>
      <c r="L82" s="13"/>
      <c r="M82" s="13" t="str">
        <f aca="false">IF('Avaliador 1'!J82='Avaliador 2'!J82,'Avaliador 1'!J82&amp;"","")</f>
        <v/>
      </c>
      <c r="N82" s="11" t="str">
        <f aca="false">IF(OR('Avaliador 1'!F82="",'Avaliador 2'!F82=""),"",IF(AND('Avaliador 1'!F82='Avaliador 2'!F82,'Avaliador 1'!G82='Avaliador 2'!G82,'Avaliador 1'!H82='Avaliador 2'!H82,'Avaliador 1'!I82='Avaliador 2'!I82),"Não","Sim"))</f>
        <v/>
      </c>
      <c r="O82" s="14"/>
      <c r="P82" s="10" t="str">
        <f aca="false">IF(LEN(H82)=3,"Defeito encontrado",IF(I82="Sim","Falso alarme",IF(H82="—","Nenhum defeito apontado","")))</f>
        <v/>
      </c>
    </row>
    <row r="83" customFormat="false" ht="15" hidden="false" customHeight="false" outlineLevel="0" collapsed="false">
      <c r="A83" s="11" t="str">
        <f aca="false">Apontamentos!C83</f>
        <v/>
      </c>
      <c r="B83" s="11" t="str">
        <f aca="false">IF(Apontamentos!$C83="","",Apontamentos!A83&amp;"")</f>
        <v/>
      </c>
      <c r="C83" s="11" t="str">
        <f aca="false">IF(B83="","",IFERROR(INDEX(Execuções!$C$2:$C$97,MATCH(B83,Execuções!$A$2:$A$97,0)),"ID?"))</f>
        <v/>
      </c>
      <c r="D83" s="10" t="str">
        <f aca="false">IF(B83="","",IFERROR(INDEX(Execuções!$B$2:$B$97,MATCH(B83,Execuções!$A$2:$A$97,0)),"ID?"))</f>
        <v/>
      </c>
      <c r="E83" s="11" t="str">
        <f aca="false">IF(B83="","",Apontamentos!D83)</f>
        <v/>
      </c>
      <c r="F83" s="11" t="str">
        <f aca="false">IF(B83="","",Apontamentos!E83)</f>
        <v/>
      </c>
      <c r="G83" s="10" t="str">
        <f aca="false">IF(B83="","",Apontamentos!G83&amp;"")</f>
        <v/>
      </c>
      <c r="H83" s="14" t="str">
        <f aca="false">IF('Avaliador 1'!F83='Avaliador 2'!F83,'Avaliador 1'!F83&amp;"","")</f>
        <v/>
      </c>
      <c r="I83" s="14" t="str">
        <f aca="false">IF('Avaliador 1'!G83='Avaliador 2'!G83,'Avaliador 1'!G83&amp;"","")</f>
        <v/>
      </c>
      <c r="J83" s="14" t="str">
        <f aca="false">IF('Avaliador 1'!H83='Avaliador 2'!H83,'Avaliador 1'!H83&amp;"","")</f>
        <v/>
      </c>
      <c r="K83" s="14" t="str">
        <f aca="false">IF('Avaliador 1'!I83='Avaliador 2'!I83,'Avaliador 1'!I83&amp;"","")</f>
        <v/>
      </c>
      <c r="L83" s="13"/>
      <c r="M83" s="13" t="str">
        <f aca="false">IF('Avaliador 1'!J83='Avaliador 2'!J83,'Avaliador 1'!J83&amp;"","")</f>
        <v/>
      </c>
      <c r="N83" s="11" t="str">
        <f aca="false">IF(OR('Avaliador 1'!F83="",'Avaliador 2'!F83=""),"",IF(AND('Avaliador 1'!F83='Avaliador 2'!F83,'Avaliador 1'!G83='Avaliador 2'!G83,'Avaliador 1'!H83='Avaliador 2'!H83,'Avaliador 1'!I83='Avaliador 2'!I83),"Não","Sim"))</f>
        <v/>
      </c>
      <c r="O83" s="14"/>
      <c r="P83" s="10" t="str">
        <f aca="false">IF(LEN(H83)=3,"Defeito encontrado",IF(I83="Sim","Falso alarme",IF(H83="—","Nenhum defeito apontado","")))</f>
        <v/>
      </c>
    </row>
    <row r="84" customFormat="false" ht="15" hidden="false" customHeight="false" outlineLevel="0" collapsed="false">
      <c r="A84" s="11" t="str">
        <f aca="false">Apontamentos!C84</f>
        <v/>
      </c>
      <c r="B84" s="11" t="str">
        <f aca="false">IF(Apontamentos!$C84="","",Apontamentos!A84&amp;"")</f>
        <v/>
      </c>
      <c r="C84" s="11" t="str">
        <f aca="false">IF(B84="","",IFERROR(INDEX(Execuções!$C$2:$C$97,MATCH(B84,Execuções!$A$2:$A$97,0)),"ID?"))</f>
        <v/>
      </c>
      <c r="D84" s="10" t="str">
        <f aca="false">IF(B84="","",IFERROR(INDEX(Execuções!$B$2:$B$97,MATCH(B84,Execuções!$A$2:$A$97,0)),"ID?"))</f>
        <v/>
      </c>
      <c r="E84" s="11" t="str">
        <f aca="false">IF(B84="","",Apontamentos!D84)</f>
        <v/>
      </c>
      <c r="F84" s="11" t="str">
        <f aca="false">IF(B84="","",Apontamentos!E84)</f>
        <v/>
      </c>
      <c r="G84" s="10" t="str">
        <f aca="false">IF(B84="","",Apontamentos!G84&amp;"")</f>
        <v/>
      </c>
      <c r="H84" s="14" t="str">
        <f aca="false">IF('Avaliador 1'!F84='Avaliador 2'!F84,'Avaliador 1'!F84&amp;"","")</f>
        <v/>
      </c>
      <c r="I84" s="14" t="str">
        <f aca="false">IF('Avaliador 1'!G84='Avaliador 2'!G84,'Avaliador 1'!G84&amp;"","")</f>
        <v/>
      </c>
      <c r="J84" s="14" t="str">
        <f aca="false">IF('Avaliador 1'!H84='Avaliador 2'!H84,'Avaliador 1'!H84&amp;"","")</f>
        <v/>
      </c>
      <c r="K84" s="14" t="str">
        <f aca="false">IF('Avaliador 1'!I84='Avaliador 2'!I84,'Avaliador 1'!I84&amp;"","")</f>
        <v/>
      </c>
      <c r="L84" s="13"/>
      <c r="M84" s="13" t="str">
        <f aca="false">IF('Avaliador 1'!J84='Avaliador 2'!J84,'Avaliador 1'!J84&amp;"","")</f>
        <v/>
      </c>
      <c r="N84" s="11" t="str">
        <f aca="false">IF(OR('Avaliador 1'!F84="",'Avaliador 2'!F84=""),"",IF(AND('Avaliador 1'!F84='Avaliador 2'!F84,'Avaliador 1'!G84='Avaliador 2'!G84,'Avaliador 1'!H84='Avaliador 2'!H84,'Avaliador 1'!I84='Avaliador 2'!I84),"Não","Sim"))</f>
        <v/>
      </c>
      <c r="O84" s="14"/>
      <c r="P84" s="10" t="str">
        <f aca="false">IF(LEN(H84)=3,"Defeito encontrado",IF(I84="Sim","Falso alarme",IF(H84="—","Nenhum defeito apontado","")))</f>
        <v/>
      </c>
    </row>
    <row r="85" customFormat="false" ht="15" hidden="false" customHeight="false" outlineLevel="0" collapsed="false">
      <c r="A85" s="11" t="str">
        <f aca="false">Apontamentos!C85</f>
        <v/>
      </c>
      <c r="B85" s="11" t="str">
        <f aca="false">IF(Apontamentos!$C85="","",Apontamentos!A85&amp;"")</f>
        <v/>
      </c>
      <c r="C85" s="11" t="str">
        <f aca="false">IF(B85="","",IFERROR(INDEX(Execuções!$C$2:$C$97,MATCH(B85,Execuções!$A$2:$A$97,0)),"ID?"))</f>
        <v/>
      </c>
      <c r="D85" s="10" t="str">
        <f aca="false">IF(B85="","",IFERROR(INDEX(Execuções!$B$2:$B$97,MATCH(B85,Execuções!$A$2:$A$97,0)),"ID?"))</f>
        <v/>
      </c>
      <c r="E85" s="11" t="str">
        <f aca="false">IF(B85="","",Apontamentos!D85)</f>
        <v/>
      </c>
      <c r="F85" s="11" t="str">
        <f aca="false">IF(B85="","",Apontamentos!E85)</f>
        <v/>
      </c>
      <c r="G85" s="10" t="str">
        <f aca="false">IF(B85="","",Apontamentos!G85&amp;"")</f>
        <v/>
      </c>
      <c r="H85" s="14" t="str">
        <f aca="false">IF('Avaliador 1'!F85='Avaliador 2'!F85,'Avaliador 1'!F85&amp;"","")</f>
        <v/>
      </c>
      <c r="I85" s="14" t="str">
        <f aca="false">IF('Avaliador 1'!G85='Avaliador 2'!G85,'Avaliador 1'!G85&amp;"","")</f>
        <v/>
      </c>
      <c r="J85" s="14" t="str">
        <f aca="false">IF('Avaliador 1'!H85='Avaliador 2'!H85,'Avaliador 1'!H85&amp;"","")</f>
        <v/>
      </c>
      <c r="K85" s="14" t="str">
        <f aca="false">IF('Avaliador 1'!I85='Avaliador 2'!I85,'Avaliador 1'!I85&amp;"","")</f>
        <v/>
      </c>
      <c r="L85" s="13"/>
      <c r="M85" s="13" t="str">
        <f aca="false">IF('Avaliador 1'!J85='Avaliador 2'!J85,'Avaliador 1'!J85&amp;"","")</f>
        <v/>
      </c>
      <c r="N85" s="11" t="str">
        <f aca="false">IF(OR('Avaliador 1'!F85="",'Avaliador 2'!F85=""),"",IF(AND('Avaliador 1'!F85='Avaliador 2'!F85,'Avaliador 1'!G85='Avaliador 2'!G85,'Avaliador 1'!H85='Avaliador 2'!H85,'Avaliador 1'!I85='Avaliador 2'!I85),"Não","Sim"))</f>
        <v/>
      </c>
      <c r="O85" s="14"/>
      <c r="P85" s="10" t="str">
        <f aca="false">IF(LEN(H85)=3,"Defeito encontrado",IF(I85="Sim","Falso alarme",IF(H85="—","Nenhum defeito apontado","")))</f>
        <v/>
      </c>
    </row>
    <row r="86" customFormat="false" ht="15" hidden="false" customHeight="false" outlineLevel="0" collapsed="false">
      <c r="A86" s="11" t="str">
        <f aca="false">Apontamentos!C86</f>
        <v/>
      </c>
      <c r="B86" s="11" t="str">
        <f aca="false">IF(Apontamentos!$C86="","",Apontamentos!A86&amp;"")</f>
        <v/>
      </c>
      <c r="C86" s="11" t="str">
        <f aca="false">IF(B86="","",IFERROR(INDEX(Execuções!$C$2:$C$97,MATCH(B86,Execuções!$A$2:$A$97,0)),"ID?"))</f>
        <v/>
      </c>
      <c r="D86" s="10" t="str">
        <f aca="false">IF(B86="","",IFERROR(INDEX(Execuções!$B$2:$B$97,MATCH(B86,Execuções!$A$2:$A$97,0)),"ID?"))</f>
        <v/>
      </c>
      <c r="E86" s="11" t="str">
        <f aca="false">IF(B86="","",Apontamentos!D86)</f>
        <v/>
      </c>
      <c r="F86" s="11" t="str">
        <f aca="false">IF(B86="","",Apontamentos!E86)</f>
        <v/>
      </c>
      <c r="G86" s="10" t="str">
        <f aca="false">IF(B86="","",Apontamentos!G86&amp;"")</f>
        <v/>
      </c>
      <c r="H86" s="14" t="str">
        <f aca="false">IF('Avaliador 1'!F86='Avaliador 2'!F86,'Avaliador 1'!F86&amp;"","")</f>
        <v/>
      </c>
      <c r="I86" s="14" t="str">
        <f aca="false">IF('Avaliador 1'!G86='Avaliador 2'!G86,'Avaliador 1'!G86&amp;"","")</f>
        <v/>
      </c>
      <c r="J86" s="14" t="str">
        <f aca="false">IF('Avaliador 1'!H86='Avaliador 2'!H86,'Avaliador 1'!H86&amp;"","")</f>
        <v/>
      </c>
      <c r="K86" s="14" t="str">
        <f aca="false">IF('Avaliador 1'!I86='Avaliador 2'!I86,'Avaliador 1'!I86&amp;"","")</f>
        <v/>
      </c>
      <c r="L86" s="13"/>
      <c r="M86" s="13" t="str">
        <f aca="false">IF('Avaliador 1'!J86='Avaliador 2'!J86,'Avaliador 1'!J86&amp;"","")</f>
        <v/>
      </c>
      <c r="N86" s="11" t="str">
        <f aca="false">IF(OR('Avaliador 1'!F86="",'Avaliador 2'!F86=""),"",IF(AND('Avaliador 1'!F86='Avaliador 2'!F86,'Avaliador 1'!G86='Avaliador 2'!G86,'Avaliador 1'!H86='Avaliador 2'!H86,'Avaliador 1'!I86='Avaliador 2'!I86),"Não","Sim"))</f>
        <v/>
      </c>
      <c r="O86" s="14"/>
      <c r="P86" s="10" t="str">
        <f aca="false">IF(LEN(H86)=3,"Defeito encontrado",IF(I86="Sim","Falso alarme",IF(H86="—","Nenhum defeito apontado","")))</f>
        <v/>
      </c>
    </row>
    <row r="87" customFormat="false" ht="15" hidden="false" customHeight="false" outlineLevel="0" collapsed="false">
      <c r="A87" s="11" t="str">
        <f aca="false">Apontamentos!C87</f>
        <v/>
      </c>
      <c r="B87" s="11" t="str">
        <f aca="false">IF(Apontamentos!$C87="","",Apontamentos!A87&amp;"")</f>
        <v/>
      </c>
      <c r="C87" s="11" t="str">
        <f aca="false">IF(B87="","",IFERROR(INDEX(Execuções!$C$2:$C$97,MATCH(B87,Execuções!$A$2:$A$97,0)),"ID?"))</f>
        <v/>
      </c>
      <c r="D87" s="10" t="str">
        <f aca="false">IF(B87="","",IFERROR(INDEX(Execuções!$B$2:$B$97,MATCH(B87,Execuções!$A$2:$A$97,0)),"ID?"))</f>
        <v/>
      </c>
      <c r="E87" s="11" t="str">
        <f aca="false">IF(B87="","",Apontamentos!D87)</f>
        <v/>
      </c>
      <c r="F87" s="11" t="str">
        <f aca="false">IF(B87="","",Apontamentos!E87)</f>
        <v/>
      </c>
      <c r="G87" s="10" t="str">
        <f aca="false">IF(B87="","",Apontamentos!G87&amp;"")</f>
        <v/>
      </c>
      <c r="H87" s="14" t="str">
        <f aca="false">IF('Avaliador 1'!F87='Avaliador 2'!F87,'Avaliador 1'!F87&amp;"","")</f>
        <v/>
      </c>
      <c r="I87" s="14" t="str">
        <f aca="false">IF('Avaliador 1'!G87='Avaliador 2'!G87,'Avaliador 1'!G87&amp;"","")</f>
        <v/>
      </c>
      <c r="J87" s="14" t="str">
        <f aca="false">IF('Avaliador 1'!H87='Avaliador 2'!H87,'Avaliador 1'!H87&amp;"","")</f>
        <v/>
      </c>
      <c r="K87" s="14" t="str">
        <f aca="false">IF('Avaliador 1'!I87='Avaliador 2'!I87,'Avaliador 1'!I87&amp;"","")</f>
        <v/>
      </c>
      <c r="L87" s="13"/>
      <c r="M87" s="13" t="str">
        <f aca="false">IF('Avaliador 1'!J87='Avaliador 2'!J87,'Avaliador 1'!J87&amp;"","")</f>
        <v/>
      </c>
      <c r="N87" s="11" t="str">
        <f aca="false">IF(OR('Avaliador 1'!F87="",'Avaliador 2'!F87=""),"",IF(AND('Avaliador 1'!F87='Avaliador 2'!F87,'Avaliador 1'!G87='Avaliador 2'!G87,'Avaliador 1'!H87='Avaliador 2'!H87,'Avaliador 1'!I87='Avaliador 2'!I87),"Não","Sim"))</f>
        <v/>
      </c>
      <c r="O87" s="14"/>
      <c r="P87" s="10" t="str">
        <f aca="false">IF(LEN(H87)=3,"Defeito encontrado",IF(I87="Sim","Falso alarme",IF(H87="—","Nenhum defeito apontado","")))</f>
        <v/>
      </c>
    </row>
    <row r="88" customFormat="false" ht="15" hidden="false" customHeight="false" outlineLevel="0" collapsed="false">
      <c r="A88" s="11" t="str">
        <f aca="false">Apontamentos!C88</f>
        <v/>
      </c>
      <c r="B88" s="11" t="str">
        <f aca="false">IF(Apontamentos!$C88="","",Apontamentos!A88&amp;"")</f>
        <v/>
      </c>
      <c r="C88" s="11" t="str">
        <f aca="false">IF(B88="","",IFERROR(INDEX(Execuções!$C$2:$C$97,MATCH(B88,Execuções!$A$2:$A$97,0)),"ID?"))</f>
        <v/>
      </c>
      <c r="D88" s="10" t="str">
        <f aca="false">IF(B88="","",IFERROR(INDEX(Execuções!$B$2:$B$97,MATCH(B88,Execuções!$A$2:$A$97,0)),"ID?"))</f>
        <v/>
      </c>
      <c r="E88" s="11" t="str">
        <f aca="false">IF(B88="","",Apontamentos!D88)</f>
        <v/>
      </c>
      <c r="F88" s="11" t="str">
        <f aca="false">IF(B88="","",Apontamentos!E88)</f>
        <v/>
      </c>
      <c r="G88" s="10" t="str">
        <f aca="false">IF(B88="","",Apontamentos!G88&amp;"")</f>
        <v/>
      </c>
      <c r="H88" s="14" t="str">
        <f aca="false">IF('Avaliador 1'!F88='Avaliador 2'!F88,'Avaliador 1'!F88&amp;"","")</f>
        <v/>
      </c>
      <c r="I88" s="14" t="str">
        <f aca="false">IF('Avaliador 1'!G88='Avaliador 2'!G88,'Avaliador 1'!G88&amp;"","")</f>
        <v/>
      </c>
      <c r="J88" s="14" t="str">
        <f aca="false">IF('Avaliador 1'!H88='Avaliador 2'!H88,'Avaliador 1'!H88&amp;"","")</f>
        <v/>
      </c>
      <c r="K88" s="14" t="str">
        <f aca="false">IF('Avaliador 1'!I88='Avaliador 2'!I88,'Avaliador 1'!I88&amp;"","")</f>
        <v/>
      </c>
      <c r="L88" s="13"/>
      <c r="M88" s="13" t="str">
        <f aca="false">IF('Avaliador 1'!J88='Avaliador 2'!J88,'Avaliador 1'!J88&amp;"","")</f>
        <v/>
      </c>
      <c r="N88" s="11" t="str">
        <f aca="false">IF(OR('Avaliador 1'!F88="",'Avaliador 2'!F88=""),"",IF(AND('Avaliador 1'!F88='Avaliador 2'!F88,'Avaliador 1'!G88='Avaliador 2'!G88,'Avaliador 1'!H88='Avaliador 2'!H88,'Avaliador 1'!I88='Avaliador 2'!I88),"Não","Sim"))</f>
        <v/>
      </c>
      <c r="O88" s="14"/>
      <c r="P88" s="10" t="str">
        <f aca="false">IF(LEN(H88)=3,"Defeito encontrado",IF(I88="Sim","Falso alarme",IF(H88="—","Nenhum defeito apontado","")))</f>
        <v/>
      </c>
    </row>
    <row r="89" customFormat="false" ht="15" hidden="false" customHeight="false" outlineLevel="0" collapsed="false">
      <c r="A89" s="11" t="str">
        <f aca="false">Apontamentos!C89</f>
        <v/>
      </c>
      <c r="B89" s="11" t="str">
        <f aca="false">IF(Apontamentos!$C89="","",Apontamentos!A89&amp;"")</f>
        <v/>
      </c>
      <c r="C89" s="11" t="str">
        <f aca="false">IF(B89="","",IFERROR(INDEX(Execuções!$C$2:$C$97,MATCH(B89,Execuções!$A$2:$A$97,0)),"ID?"))</f>
        <v/>
      </c>
      <c r="D89" s="10" t="str">
        <f aca="false">IF(B89="","",IFERROR(INDEX(Execuções!$B$2:$B$97,MATCH(B89,Execuções!$A$2:$A$97,0)),"ID?"))</f>
        <v/>
      </c>
      <c r="E89" s="11" t="str">
        <f aca="false">IF(B89="","",Apontamentos!D89)</f>
        <v/>
      </c>
      <c r="F89" s="11" t="str">
        <f aca="false">IF(B89="","",Apontamentos!E89)</f>
        <v/>
      </c>
      <c r="G89" s="10" t="str">
        <f aca="false">IF(B89="","",Apontamentos!G89&amp;"")</f>
        <v/>
      </c>
      <c r="H89" s="14" t="str">
        <f aca="false">IF('Avaliador 1'!F89='Avaliador 2'!F89,'Avaliador 1'!F89&amp;"","")</f>
        <v/>
      </c>
      <c r="I89" s="14" t="str">
        <f aca="false">IF('Avaliador 1'!G89='Avaliador 2'!G89,'Avaliador 1'!G89&amp;"","")</f>
        <v/>
      </c>
      <c r="J89" s="14" t="str">
        <f aca="false">IF('Avaliador 1'!H89='Avaliador 2'!H89,'Avaliador 1'!H89&amp;"","")</f>
        <v/>
      </c>
      <c r="K89" s="14" t="str">
        <f aca="false">IF('Avaliador 1'!I89='Avaliador 2'!I89,'Avaliador 1'!I89&amp;"","")</f>
        <v/>
      </c>
      <c r="L89" s="13"/>
      <c r="M89" s="13" t="str">
        <f aca="false">IF('Avaliador 1'!J89='Avaliador 2'!J89,'Avaliador 1'!J89&amp;"","")</f>
        <v/>
      </c>
      <c r="N89" s="11" t="str">
        <f aca="false">IF(OR('Avaliador 1'!F89="",'Avaliador 2'!F89=""),"",IF(AND('Avaliador 1'!F89='Avaliador 2'!F89,'Avaliador 1'!G89='Avaliador 2'!G89,'Avaliador 1'!H89='Avaliador 2'!H89,'Avaliador 1'!I89='Avaliador 2'!I89),"Não","Sim"))</f>
        <v/>
      </c>
      <c r="O89" s="14"/>
      <c r="P89" s="10" t="str">
        <f aca="false">IF(LEN(H89)=3,"Defeito encontrado",IF(I89="Sim","Falso alarme",IF(H89="—","Nenhum defeito apontado","")))</f>
        <v/>
      </c>
    </row>
    <row r="90" customFormat="false" ht="15" hidden="false" customHeight="false" outlineLevel="0" collapsed="false">
      <c r="A90" s="11" t="str">
        <f aca="false">Apontamentos!C90</f>
        <v/>
      </c>
      <c r="B90" s="11" t="str">
        <f aca="false">IF(Apontamentos!$C90="","",Apontamentos!A90&amp;"")</f>
        <v/>
      </c>
      <c r="C90" s="11" t="str">
        <f aca="false">IF(B90="","",IFERROR(INDEX(Execuções!$C$2:$C$97,MATCH(B90,Execuções!$A$2:$A$97,0)),"ID?"))</f>
        <v/>
      </c>
      <c r="D90" s="10" t="str">
        <f aca="false">IF(B90="","",IFERROR(INDEX(Execuções!$B$2:$B$97,MATCH(B90,Execuções!$A$2:$A$97,0)),"ID?"))</f>
        <v/>
      </c>
      <c r="E90" s="11" t="str">
        <f aca="false">IF(B90="","",Apontamentos!D90)</f>
        <v/>
      </c>
      <c r="F90" s="11" t="str">
        <f aca="false">IF(B90="","",Apontamentos!E90)</f>
        <v/>
      </c>
      <c r="G90" s="10" t="str">
        <f aca="false">IF(B90="","",Apontamentos!G90&amp;"")</f>
        <v/>
      </c>
      <c r="H90" s="14" t="str">
        <f aca="false">IF('Avaliador 1'!F90='Avaliador 2'!F90,'Avaliador 1'!F90&amp;"","")</f>
        <v/>
      </c>
      <c r="I90" s="14" t="str">
        <f aca="false">IF('Avaliador 1'!G90='Avaliador 2'!G90,'Avaliador 1'!G90&amp;"","")</f>
        <v/>
      </c>
      <c r="J90" s="14" t="str">
        <f aca="false">IF('Avaliador 1'!H90='Avaliador 2'!H90,'Avaliador 1'!H90&amp;"","")</f>
        <v/>
      </c>
      <c r="K90" s="14" t="str">
        <f aca="false">IF('Avaliador 1'!I90='Avaliador 2'!I90,'Avaliador 1'!I90&amp;"","")</f>
        <v/>
      </c>
      <c r="L90" s="13"/>
      <c r="M90" s="13" t="str">
        <f aca="false">IF('Avaliador 1'!J90='Avaliador 2'!J90,'Avaliador 1'!J90&amp;"","")</f>
        <v/>
      </c>
      <c r="N90" s="11" t="str">
        <f aca="false">IF(OR('Avaliador 1'!F90="",'Avaliador 2'!F90=""),"",IF(AND('Avaliador 1'!F90='Avaliador 2'!F90,'Avaliador 1'!G90='Avaliador 2'!G90,'Avaliador 1'!H90='Avaliador 2'!H90,'Avaliador 1'!I90='Avaliador 2'!I90),"Não","Sim"))</f>
        <v/>
      </c>
      <c r="O90" s="14"/>
      <c r="P90" s="10" t="str">
        <f aca="false">IF(LEN(H90)=3,"Defeito encontrado",IF(I90="Sim","Falso alarme",IF(H90="—","Nenhum defeito apontado","")))</f>
        <v/>
      </c>
    </row>
    <row r="91" customFormat="false" ht="15" hidden="false" customHeight="false" outlineLevel="0" collapsed="false">
      <c r="A91" s="11" t="str">
        <f aca="false">Apontamentos!C91</f>
        <v/>
      </c>
      <c r="B91" s="11" t="str">
        <f aca="false">IF(Apontamentos!$C91="","",Apontamentos!A91&amp;"")</f>
        <v/>
      </c>
      <c r="C91" s="11" t="str">
        <f aca="false">IF(B91="","",IFERROR(INDEX(Execuções!$C$2:$C$97,MATCH(B91,Execuções!$A$2:$A$97,0)),"ID?"))</f>
        <v/>
      </c>
      <c r="D91" s="10" t="str">
        <f aca="false">IF(B91="","",IFERROR(INDEX(Execuções!$B$2:$B$97,MATCH(B91,Execuções!$A$2:$A$97,0)),"ID?"))</f>
        <v/>
      </c>
      <c r="E91" s="11" t="str">
        <f aca="false">IF(B91="","",Apontamentos!D91)</f>
        <v/>
      </c>
      <c r="F91" s="11" t="str">
        <f aca="false">IF(B91="","",Apontamentos!E91)</f>
        <v/>
      </c>
      <c r="G91" s="10" t="str">
        <f aca="false">IF(B91="","",Apontamentos!G91&amp;"")</f>
        <v/>
      </c>
      <c r="H91" s="14" t="str">
        <f aca="false">IF('Avaliador 1'!F91='Avaliador 2'!F91,'Avaliador 1'!F91&amp;"","")</f>
        <v/>
      </c>
      <c r="I91" s="14" t="str">
        <f aca="false">IF('Avaliador 1'!G91='Avaliador 2'!G91,'Avaliador 1'!G91&amp;"","")</f>
        <v/>
      </c>
      <c r="J91" s="14" t="str">
        <f aca="false">IF('Avaliador 1'!H91='Avaliador 2'!H91,'Avaliador 1'!H91&amp;"","")</f>
        <v/>
      </c>
      <c r="K91" s="14" t="str">
        <f aca="false">IF('Avaliador 1'!I91='Avaliador 2'!I91,'Avaliador 1'!I91&amp;"","")</f>
        <v/>
      </c>
      <c r="L91" s="13"/>
      <c r="M91" s="13" t="str">
        <f aca="false">IF('Avaliador 1'!J91='Avaliador 2'!J91,'Avaliador 1'!J91&amp;"","")</f>
        <v/>
      </c>
      <c r="N91" s="11" t="str">
        <f aca="false">IF(OR('Avaliador 1'!F91="",'Avaliador 2'!F91=""),"",IF(AND('Avaliador 1'!F91='Avaliador 2'!F91,'Avaliador 1'!G91='Avaliador 2'!G91,'Avaliador 1'!H91='Avaliador 2'!H91,'Avaliador 1'!I91='Avaliador 2'!I91),"Não","Sim"))</f>
        <v/>
      </c>
      <c r="O91" s="14"/>
      <c r="P91" s="10" t="str">
        <f aca="false">IF(LEN(H91)=3,"Defeito encontrado",IF(I91="Sim","Falso alarme",IF(H91="—","Nenhum defeito apontado","")))</f>
        <v/>
      </c>
    </row>
    <row r="92" customFormat="false" ht="15" hidden="false" customHeight="false" outlineLevel="0" collapsed="false">
      <c r="A92" s="11" t="str">
        <f aca="false">Apontamentos!C92</f>
        <v/>
      </c>
      <c r="B92" s="11" t="str">
        <f aca="false">IF(Apontamentos!$C92="","",Apontamentos!A92&amp;"")</f>
        <v/>
      </c>
      <c r="C92" s="11" t="str">
        <f aca="false">IF(B92="","",IFERROR(INDEX(Execuções!$C$2:$C$97,MATCH(B92,Execuções!$A$2:$A$97,0)),"ID?"))</f>
        <v/>
      </c>
      <c r="D92" s="10" t="str">
        <f aca="false">IF(B92="","",IFERROR(INDEX(Execuções!$B$2:$B$97,MATCH(B92,Execuções!$A$2:$A$97,0)),"ID?"))</f>
        <v/>
      </c>
      <c r="E92" s="11" t="str">
        <f aca="false">IF(B92="","",Apontamentos!D92)</f>
        <v/>
      </c>
      <c r="F92" s="11" t="str">
        <f aca="false">IF(B92="","",Apontamentos!E92)</f>
        <v/>
      </c>
      <c r="G92" s="10" t="str">
        <f aca="false">IF(B92="","",Apontamentos!G92&amp;"")</f>
        <v/>
      </c>
      <c r="H92" s="14" t="str">
        <f aca="false">IF('Avaliador 1'!F92='Avaliador 2'!F92,'Avaliador 1'!F92&amp;"","")</f>
        <v/>
      </c>
      <c r="I92" s="14" t="str">
        <f aca="false">IF('Avaliador 1'!G92='Avaliador 2'!G92,'Avaliador 1'!G92&amp;"","")</f>
        <v/>
      </c>
      <c r="J92" s="14" t="str">
        <f aca="false">IF('Avaliador 1'!H92='Avaliador 2'!H92,'Avaliador 1'!H92&amp;"","")</f>
        <v/>
      </c>
      <c r="K92" s="14" t="str">
        <f aca="false">IF('Avaliador 1'!I92='Avaliador 2'!I92,'Avaliador 1'!I92&amp;"","")</f>
        <v/>
      </c>
      <c r="L92" s="13"/>
      <c r="M92" s="13" t="str">
        <f aca="false">IF('Avaliador 1'!J92='Avaliador 2'!J92,'Avaliador 1'!J92&amp;"","")</f>
        <v/>
      </c>
      <c r="N92" s="11" t="str">
        <f aca="false">IF(OR('Avaliador 1'!F92="",'Avaliador 2'!F92=""),"",IF(AND('Avaliador 1'!F92='Avaliador 2'!F92,'Avaliador 1'!G92='Avaliador 2'!G92,'Avaliador 1'!H92='Avaliador 2'!H92,'Avaliador 1'!I92='Avaliador 2'!I92),"Não","Sim"))</f>
        <v/>
      </c>
      <c r="O92" s="14"/>
      <c r="P92" s="10" t="str">
        <f aca="false">IF(LEN(H92)=3,"Defeito encontrado",IF(I92="Sim","Falso alarme",IF(H92="—","Nenhum defeito apontado","")))</f>
        <v/>
      </c>
    </row>
    <row r="93" customFormat="false" ht="15" hidden="false" customHeight="false" outlineLevel="0" collapsed="false">
      <c r="A93" s="11" t="str">
        <f aca="false">Apontamentos!C93</f>
        <v/>
      </c>
      <c r="B93" s="11" t="str">
        <f aca="false">IF(Apontamentos!$C93="","",Apontamentos!A93&amp;"")</f>
        <v/>
      </c>
      <c r="C93" s="11" t="str">
        <f aca="false">IF(B93="","",IFERROR(INDEX(Execuções!$C$2:$C$97,MATCH(B93,Execuções!$A$2:$A$97,0)),"ID?"))</f>
        <v/>
      </c>
      <c r="D93" s="10" t="str">
        <f aca="false">IF(B93="","",IFERROR(INDEX(Execuções!$B$2:$B$97,MATCH(B93,Execuções!$A$2:$A$97,0)),"ID?"))</f>
        <v/>
      </c>
      <c r="E93" s="11" t="str">
        <f aca="false">IF(B93="","",Apontamentos!D93)</f>
        <v/>
      </c>
      <c r="F93" s="11" t="str">
        <f aca="false">IF(B93="","",Apontamentos!E93)</f>
        <v/>
      </c>
      <c r="G93" s="10" t="str">
        <f aca="false">IF(B93="","",Apontamentos!G93&amp;"")</f>
        <v/>
      </c>
      <c r="H93" s="14" t="str">
        <f aca="false">IF('Avaliador 1'!F93='Avaliador 2'!F93,'Avaliador 1'!F93&amp;"","")</f>
        <v/>
      </c>
      <c r="I93" s="14" t="str">
        <f aca="false">IF('Avaliador 1'!G93='Avaliador 2'!G93,'Avaliador 1'!G93&amp;"","")</f>
        <v/>
      </c>
      <c r="J93" s="14" t="str">
        <f aca="false">IF('Avaliador 1'!H93='Avaliador 2'!H93,'Avaliador 1'!H93&amp;"","")</f>
        <v/>
      </c>
      <c r="K93" s="14" t="str">
        <f aca="false">IF('Avaliador 1'!I93='Avaliador 2'!I93,'Avaliador 1'!I93&amp;"","")</f>
        <v/>
      </c>
      <c r="L93" s="13"/>
      <c r="M93" s="13" t="str">
        <f aca="false">IF('Avaliador 1'!J93='Avaliador 2'!J93,'Avaliador 1'!J93&amp;"","")</f>
        <v/>
      </c>
      <c r="N93" s="11" t="str">
        <f aca="false">IF(OR('Avaliador 1'!F93="",'Avaliador 2'!F93=""),"",IF(AND('Avaliador 1'!F93='Avaliador 2'!F93,'Avaliador 1'!G93='Avaliador 2'!G93,'Avaliador 1'!H93='Avaliador 2'!H93,'Avaliador 1'!I93='Avaliador 2'!I93),"Não","Sim"))</f>
        <v/>
      </c>
      <c r="O93" s="14"/>
      <c r="P93" s="10" t="str">
        <f aca="false">IF(LEN(H93)=3,"Defeito encontrado",IF(I93="Sim","Falso alarme",IF(H93="—","Nenhum defeito apontado","")))</f>
        <v/>
      </c>
    </row>
    <row r="94" customFormat="false" ht="15" hidden="false" customHeight="false" outlineLevel="0" collapsed="false">
      <c r="A94" s="11" t="str">
        <f aca="false">Apontamentos!C94</f>
        <v/>
      </c>
      <c r="B94" s="11" t="str">
        <f aca="false">IF(Apontamentos!$C94="","",Apontamentos!A94&amp;"")</f>
        <v/>
      </c>
      <c r="C94" s="11" t="str">
        <f aca="false">IF(B94="","",IFERROR(INDEX(Execuções!$C$2:$C$97,MATCH(B94,Execuções!$A$2:$A$97,0)),"ID?"))</f>
        <v/>
      </c>
      <c r="D94" s="10" t="str">
        <f aca="false">IF(B94="","",IFERROR(INDEX(Execuções!$B$2:$B$97,MATCH(B94,Execuções!$A$2:$A$97,0)),"ID?"))</f>
        <v/>
      </c>
      <c r="E94" s="11" t="str">
        <f aca="false">IF(B94="","",Apontamentos!D94)</f>
        <v/>
      </c>
      <c r="F94" s="11" t="str">
        <f aca="false">IF(B94="","",Apontamentos!E94)</f>
        <v/>
      </c>
      <c r="G94" s="10" t="str">
        <f aca="false">IF(B94="","",Apontamentos!G94&amp;"")</f>
        <v/>
      </c>
      <c r="H94" s="14" t="str">
        <f aca="false">IF('Avaliador 1'!F94='Avaliador 2'!F94,'Avaliador 1'!F94&amp;"","")</f>
        <v/>
      </c>
      <c r="I94" s="14" t="str">
        <f aca="false">IF('Avaliador 1'!G94='Avaliador 2'!G94,'Avaliador 1'!G94&amp;"","")</f>
        <v/>
      </c>
      <c r="J94" s="14" t="str">
        <f aca="false">IF('Avaliador 1'!H94='Avaliador 2'!H94,'Avaliador 1'!H94&amp;"","")</f>
        <v/>
      </c>
      <c r="K94" s="14" t="str">
        <f aca="false">IF('Avaliador 1'!I94='Avaliador 2'!I94,'Avaliador 1'!I94&amp;"","")</f>
        <v/>
      </c>
      <c r="L94" s="13"/>
      <c r="M94" s="13" t="str">
        <f aca="false">IF('Avaliador 1'!J94='Avaliador 2'!J94,'Avaliador 1'!J94&amp;"","")</f>
        <v/>
      </c>
      <c r="N94" s="11" t="str">
        <f aca="false">IF(OR('Avaliador 1'!F94="",'Avaliador 2'!F94=""),"",IF(AND('Avaliador 1'!F94='Avaliador 2'!F94,'Avaliador 1'!G94='Avaliador 2'!G94,'Avaliador 1'!H94='Avaliador 2'!H94,'Avaliador 1'!I94='Avaliador 2'!I94),"Não","Sim"))</f>
        <v/>
      </c>
      <c r="O94" s="14"/>
      <c r="P94" s="10" t="str">
        <f aca="false">IF(LEN(H94)=3,"Defeito encontrado",IF(I94="Sim","Falso alarme",IF(H94="—","Nenhum defeito apontado","")))</f>
        <v/>
      </c>
    </row>
    <row r="95" customFormat="false" ht="15" hidden="false" customHeight="false" outlineLevel="0" collapsed="false">
      <c r="A95" s="11" t="str">
        <f aca="false">Apontamentos!C95</f>
        <v/>
      </c>
      <c r="B95" s="11" t="str">
        <f aca="false">IF(Apontamentos!$C95="","",Apontamentos!A95&amp;"")</f>
        <v/>
      </c>
      <c r="C95" s="11" t="str">
        <f aca="false">IF(B95="","",IFERROR(INDEX(Execuções!$C$2:$C$97,MATCH(B95,Execuções!$A$2:$A$97,0)),"ID?"))</f>
        <v/>
      </c>
      <c r="D95" s="10" t="str">
        <f aca="false">IF(B95="","",IFERROR(INDEX(Execuções!$B$2:$B$97,MATCH(B95,Execuções!$A$2:$A$97,0)),"ID?"))</f>
        <v/>
      </c>
      <c r="E95" s="11" t="str">
        <f aca="false">IF(B95="","",Apontamentos!D95)</f>
        <v/>
      </c>
      <c r="F95" s="11" t="str">
        <f aca="false">IF(B95="","",Apontamentos!E95)</f>
        <v/>
      </c>
      <c r="G95" s="10" t="str">
        <f aca="false">IF(B95="","",Apontamentos!G95&amp;"")</f>
        <v/>
      </c>
      <c r="H95" s="14" t="str">
        <f aca="false">IF('Avaliador 1'!F95='Avaliador 2'!F95,'Avaliador 1'!F95&amp;"","")</f>
        <v/>
      </c>
      <c r="I95" s="14" t="str">
        <f aca="false">IF('Avaliador 1'!G95='Avaliador 2'!G95,'Avaliador 1'!G95&amp;"","")</f>
        <v/>
      </c>
      <c r="J95" s="14" t="str">
        <f aca="false">IF('Avaliador 1'!H95='Avaliador 2'!H95,'Avaliador 1'!H95&amp;"","")</f>
        <v/>
      </c>
      <c r="K95" s="14" t="str">
        <f aca="false">IF('Avaliador 1'!I95='Avaliador 2'!I95,'Avaliador 1'!I95&amp;"","")</f>
        <v/>
      </c>
      <c r="L95" s="13"/>
      <c r="M95" s="13" t="str">
        <f aca="false">IF('Avaliador 1'!J95='Avaliador 2'!J95,'Avaliador 1'!J95&amp;"","")</f>
        <v/>
      </c>
      <c r="N95" s="11" t="str">
        <f aca="false">IF(OR('Avaliador 1'!F95="",'Avaliador 2'!F95=""),"",IF(AND('Avaliador 1'!F95='Avaliador 2'!F95,'Avaliador 1'!G95='Avaliador 2'!G95,'Avaliador 1'!H95='Avaliador 2'!H95,'Avaliador 1'!I95='Avaliador 2'!I95),"Não","Sim"))</f>
        <v/>
      </c>
      <c r="O95" s="14"/>
      <c r="P95" s="10" t="str">
        <f aca="false">IF(LEN(H95)=3,"Defeito encontrado",IF(I95="Sim","Falso alarme",IF(H95="—","Nenhum defeito apontado","")))</f>
        <v/>
      </c>
    </row>
    <row r="96" customFormat="false" ht="15" hidden="false" customHeight="false" outlineLevel="0" collapsed="false">
      <c r="A96" s="11" t="str">
        <f aca="false">Apontamentos!C96</f>
        <v/>
      </c>
      <c r="B96" s="11" t="str">
        <f aca="false">IF(Apontamentos!$C96="","",Apontamentos!A96&amp;"")</f>
        <v/>
      </c>
      <c r="C96" s="11" t="str">
        <f aca="false">IF(B96="","",IFERROR(INDEX(Execuções!$C$2:$C$97,MATCH(B96,Execuções!$A$2:$A$97,0)),"ID?"))</f>
        <v/>
      </c>
      <c r="D96" s="10" t="str">
        <f aca="false">IF(B96="","",IFERROR(INDEX(Execuções!$B$2:$B$97,MATCH(B96,Execuções!$A$2:$A$97,0)),"ID?"))</f>
        <v/>
      </c>
      <c r="E96" s="11" t="str">
        <f aca="false">IF(B96="","",Apontamentos!D96)</f>
        <v/>
      </c>
      <c r="F96" s="11" t="str">
        <f aca="false">IF(B96="","",Apontamentos!E96)</f>
        <v/>
      </c>
      <c r="G96" s="10" t="str">
        <f aca="false">IF(B96="","",Apontamentos!G96&amp;"")</f>
        <v/>
      </c>
      <c r="H96" s="14" t="str">
        <f aca="false">IF('Avaliador 1'!F96='Avaliador 2'!F96,'Avaliador 1'!F96&amp;"","")</f>
        <v/>
      </c>
      <c r="I96" s="14" t="str">
        <f aca="false">IF('Avaliador 1'!G96='Avaliador 2'!G96,'Avaliador 1'!G96&amp;"","")</f>
        <v/>
      </c>
      <c r="J96" s="14" t="str">
        <f aca="false">IF('Avaliador 1'!H96='Avaliador 2'!H96,'Avaliador 1'!H96&amp;"","")</f>
        <v/>
      </c>
      <c r="K96" s="14" t="str">
        <f aca="false">IF('Avaliador 1'!I96='Avaliador 2'!I96,'Avaliador 1'!I96&amp;"","")</f>
        <v/>
      </c>
      <c r="L96" s="13"/>
      <c r="M96" s="13" t="str">
        <f aca="false">IF('Avaliador 1'!J96='Avaliador 2'!J96,'Avaliador 1'!J96&amp;"","")</f>
        <v/>
      </c>
      <c r="N96" s="11" t="str">
        <f aca="false">IF(OR('Avaliador 1'!F96="",'Avaliador 2'!F96=""),"",IF(AND('Avaliador 1'!F96='Avaliador 2'!F96,'Avaliador 1'!G96='Avaliador 2'!G96,'Avaliador 1'!H96='Avaliador 2'!H96,'Avaliador 1'!I96='Avaliador 2'!I96),"Não","Sim"))</f>
        <v/>
      </c>
      <c r="O96" s="14"/>
      <c r="P96" s="10" t="str">
        <f aca="false">IF(LEN(H96)=3,"Defeito encontrado",IF(I96="Sim","Falso alarme",IF(H96="—","Nenhum defeito apontado","")))</f>
        <v/>
      </c>
    </row>
    <row r="97" customFormat="false" ht="15" hidden="false" customHeight="false" outlineLevel="0" collapsed="false">
      <c r="A97" s="11" t="str">
        <f aca="false">Apontamentos!C97</f>
        <v/>
      </c>
      <c r="B97" s="11" t="str">
        <f aca="false">IF(Apontamentos!$C97="","",Apontamentos!A97&amp;"")</f>
        <v/>
      </c>
      <c r="C97" s="11" t="str">
        <f aca="false">IF(B97="","",IFERROR(INDEX(Execuções!$C$2:$C$97,MATCH(B97,Execuções!$A$2:$A$97,0)),"ID?"))</f>
        <v/>
      </c>
      <c r="D97" s="10" t="str">
        <f aca="false">IF(B97="","",IFERROR(INDEX(Execuções!$B$2:$B$97,MATCH(B97,Execuções!$A$2:$A$97,0)),"ID?"))</f>
        <v/>
      </c>
      <c r="E97" s="11" t="str">
        <f aca="false">IF(B97="","",Apontamentos!D97)</f>
        <v/>
      </c>
      <c r="F97" s="11" t="str">
        <f aca="false">IF(B97="","",Apontamentos!E97)</f>
        <v/>
      </c>
      <c r="G97" s="10" t="str">
        <f aca="false">IF(B97="","",Apontamentos!G97&amp;"")</f>
        <v/>
      </c>
      <c r="H97" s="14" t="str">
        <f aca="false">IF('Avaliador 1'!F97='Avaliador 2'!F97,'Avaliador 1'!F97&amp;"","")</f>
        <v/>
      </c>
      <c r="I97" s="14" t="str">
        <f aca="false">IF('Avaliador 1'!G97='Avaliador 2'!G97,'Avaliador 1'!G97&amp;"","")</f>
        <v/>
      </c>
      <c r="J97" s="14" t="str">
        <f aca="false">IF('Avaliador 1'!H97='Avaliador 2'!H97,'Avaliador 1'!H97&amp;"","")</f>
        <v/>
      </c>
      <c r="K97" s="14" t="str">
        <f aca="false">IF('Avaliador 1'!I97='Avaliador 2'!I97,'Avaliador 1'!I97&amp;"","")</f>
        <v/>
      </c>
      <c r="L97" s="13"/>
      <c r="M97" s="13" t="str">
        <f aca="false">IF('Avaliador 1'!J97='Avaliador 2'!J97,'Avaliador 1'!J97&amp;"","")</f>
        <v/>
      </c>
      <c r="N97" s="11" t="str">
        <f aca="false">IF(OR('Avaliador 1'!F97="",'Avaliador 2'!F97=""),"",IF(AND('Avaliador 1'!F97='Avaliador 2'!F97,'Avaliador 1'!G97='Avaliador 2'!G97,'Avaliador 1'!H97='Avaliador 2'!H97,'Avaliador 1'!I97='Avaliador 2'!I97),"Não","Sim"))</f>
        <v/>
      </c>
      <c r="O97" s="14"/>
      <c r="P97" s="10" t="str">
        <f aca="false">IF(LEN(H97)=3,"Defeito encontrado",IF(I97="Sim","Falso alarme",IF(H97="—","Nenhum defeito apontado","")))</f>
        <v/>
      </c>
    </row>
    <row r="98" customFormat="false" ht="15" hidden="false" customHeight="false" outlineLevel="0" collapsed="false">
      <c r="A98" s="11" t="str">
        <f aca="false">Apontamentos!C98</f>
        <v/>
      </c>
      <c r="B98" s="11" t="str">
        <f aca="false">IF(Apontamentos!$C98="","",Apontamentos!A98&amp;"")</f>
        <v/>
      </c>
      <c r="C98" s="11" t="str">
        <f aca="false">IF(B98="","",IFERROR(INDEX(Execuções!$C$2:$C$97,MATCH(B98,Execuções!$A$2:$A$97,0)),"ID?"))</f>
        <v/>
      </c>
      <c r="D98" s="10" t="str">
        <f aca="false">IF(B98="","",IFERROR(INDEX(Execuções!$B$2:$B$97,MATCH(B98,Execuções!$A$2:$A$97,0)),"ID?"))</f>
        <v/>
      </c>
      <c r="E98" s="11" t="str">
        <f aca="false">IF(B98="","",Apontamentos!D98)</f>
        <v/>
      </c>
      <c r="F98" s="11" t="str">
        <f aca="false">IF(B98="","",Apontamentos!E98)</f>
        <v/>
      </c>
      <c r="G98" s="10" t="str">
        <f aca="false">IF(B98="","",Apontamentos!G98&amp;"")</f>
        <v/>
      </c>
      <c r="H98" s="14" t="str">
        <f aca="false">IF('Avaliador 1'!F98='Avaliador 2'!F98,'Avaliador 1'!F98&amp;"","")</f>
        <v/>
      </c>
      <c r="I98" s="14" t="str">
        <f aca="false">IF('Avaliador 1'!G98='Avaliador 2'!G98,'Avaliador 1'!G98&amp;"","")</f>
        <v/>
      </c>
      <c r="J98" s="14" t="str">
        <f aca="false">IF('Avaliador 1'!H98='Avaliador 2'!H98,'Avaliador 1'!H98&amp;"","")</f>
        <v/>
      </c>
      <c r="K98" s="14" t="str">
        <f aca="false">IF('Avaliador 1'!I98='Avaliador 2'!I98,'Avaliador 1'!I98&amp;"","")</f>
        <v/>
      </c>
      <c r="L98" s="13"/>
      <c r="M98" s="13" t="str">
        <f aca="false">IF('Avaliador 1'!J98='Avaliador 2'!J98,'Avaliador 1'!J98&amp;"","")</f>
        <v/>
      </c>
      <c r="N98" s="11" t="str">
        <f aca="false">IF(OR('Avaliador 1'!F98="",'Avaliador 2'!F98=""),"",IF(AND('Avaliador 1'!F98='Avaliador 2'!F98,'Avaliador 1'!G98='Avaliador 2'!G98,'Avaliador 1'!H98='Avaliador 2'!H98,'Avaliador 1'!I98='Avaliador 2'!I98),"Não","Sim"))</f>
        <v/>
      </c>
      <c r="O98" s="14"/>
      <c r="P98" s="10" t="str">
        <f aca="false">IF(LEN(H98)=3,"Defeito encontrado",IF(I98="Sim","Falso alarme",IF(H98="—","Nenhum defeito apontado","")))</f>
        <v/>
      </c>
    </row>
    <row r="99" customFormat="false" ht="15" hidden="false" customHeight="false" outlineLevel="0" collapsed="false">
      <c r="A99" s="11" t="str">
        <f aca="false">Apontamentos!C99</f>
        <v/>
      </c>
      <c r="B99" s="11" t="str">
        <f aca="false">IF(Apontamentos!$C99="","",Apontamentos!A99&amp;"")</f>
        <v/>
      </c>
      <c r="C99" s="11" t="str">
        <f aca="false">IF(B99="","",IFERROR(INDEX(Execuções!$C$2:$C$97,MATCH(B99,Execuções!$A$2:$A$97,0)),"ID?"))</f>
        <v/>
      </c>
      <c r="D99" s="10" t="str">
        <f aca="false">IF(B99="","",IFERROR(INDEX(Execuções!$B$2:$B$97,MATCH(B99,Execuções!$A$2:$A$97,0)),"ID?"))</f>
        <v/>
      </c>
      <c r="E99" s="11" t="str">
        <f aca="false">IF(B99="","",Apontamentos!D99)</f>
        <v/>
      </c>
      <c r="F99" s="11" t="str">
        <f aca="false">IF(B99="","",Apontamentos!E99)</f>
        <v/>
      </c>
      <c r="G99" s="10" t="str">
        <f aca="false">IF(B99="","",Apontamentos!G99&amp;"")</f>
        <v/>
      </c>
      <c r="H99" s="14" t="str">
        <f aca="false">IF('Avaliador 1'!F99='Avaliador 2'!F99,'Avaliador 1'!F99&amp;"","")</f>
        <v/>
      </c>
      <c r="I99" s="14" t="str">
        <f aca="false">IF('Avaliador 1'!G99='Avaliador 2'!G99,'Avaliador 1'!G99&amp;"","")</f>
        <v/>
      </c>
      <c r="J99" s="14" t="str">
        <f aca="false">IF('Avaliador 1'!H99='Avaliador 2'!H99,'Avaliador 1'!H99&amp;"","")</f>
        <v/>
      </c>
      <c r="K99" s="14" t="str">
        <f aca="false">IF('Avaliador 1'!I99='Avaliador 2'!I99,'Avaliador 1'!I99&amp;"","")</f>
        <v/>
      </c>
      <c r="L99" s="13"/>
      <c r="M99" s="13" t="str">
        <f aca="false">IF('Avaliador 1'!J99='Avaliador 2'!J99,'Avaliador 1'!J99&amp;"","")</f>
        <v/>
      </c>
      <c r="N99" s="11" t="str">
        <f aca="false">IF(OR('Avaliador 1'!F99="",'Avaliador 2'!F99=""),"",IF(AND('Avaliador 1'!F99='Avaliador 2'!F99,'Avaliador 1'!G99='Avaliador 2'!G99,'Avaliador 1'!H99='Avaliador 2'!H99,'Avaliador 1'!I99='Avaliador 2'!I99),"Não","Sim"))</f>
        <v/>
      </c>
      <c r="O99" s="14"/>
      <c r="P99" s="10" t="str">
        <f aca="false">IF(LEN(H99)=3,"Defeito encontrado",IF(I99="Sim","Falso alarme",IF(H99="—","Nenhum defeito apontado","")))</f>
        <v/>
      </c>
    </row>
    <row r="100" customFormat="false" ht="15" hidden="false" customHeight="false" outlineLevel="0" collapsed="false">
      <c r="A100" s="11" t="str">
        <f aca="false">Apontamentos!C100</f>
        <v/>
      </c>
      <c r="B100" s="11" t="str">
        <f aca="false">IF(Apontamentos!$C100="","",Apontamentos!A100&amp;"")</f>
        <v/>
      </c>
      <c r="C100" s="11" t="str">
        <f aca="false">IF(B100="","",IFERROR(INDEX(Execuções!$C$2:$C$97,MATCH(B100,Execuções!$A$2:$A$97,0)),"ID?"))</f>
        <v/>
      </c>
      <c r="D100" s="10" t="str">
        <f aca="false">IF(B100="","",IFERROR(INDEX(Execuções!$B$2:$B$97,MATCH(B100,Execuções!$A$2:$A$97,0)),"ID?"))</f>
        <v/>
      </c>
      <c r="E100" s="11" t="str">
        <f aca="false">IF(B100="","",Apontamentos!D100)</f>
        <v/>
      </c>
      <c r="F100" s="11" t="str">
        <f aca="false">IF(B100="","",Apontamentos!E100)</f>
        <v/>
      </c>
      <c r="G100" s="10" t="str">
        <f aca="false">IF(B100="","",Apontamentos!G100&amp;"")</f>
        <v/>
      </c>
      <c r="H100" s="14" t="str">
        <f aca="false">IF('Avaliador 1'!F100='Avaliador 2'!F100,'Avaliador 1'!F100&amp;"","")</f>
        <v/>
      </c>
      <c r="I100" s="14" t="str">
        <f aca="false">IF('Avaliador 1'!G100='Avaliador 2'!G100,'Avaliador 1'!G100&amp;"","")</f>
        <v/>
      </c>
      <c r="J100" s="14" t="str">
        <f aca="false">IF('Avaliador 1'!H100='Avaliador 2'!H100,'Avaliador 1'!H100&amp;"","")</f>
        <v/>
      </c>
      <c r="K100" s="14" t="str">
        <f aca="false">IF('Avaliador 1'!I100='Avaliador 2'!I100,'Avaliador 1'!I100&amp;"","")</f>
        <v/>
      </c>
      <c r="L100" s="13"/>
      <c r="M100" s="13" t="str">
        <f aca="false">IF('Avaliador 1'!J100='Avaliador 2'!J100,'Avaliador 1'!J100&amp;"","")</f>
        <v/>
      </c>
      <c r="N100" s="11" t="str">
        <f aca="false">IF(OR('Avaliador 1'!F100="",'Avaliador 2'!F100=""),"",IF(AND('Avaliador 1'!F100='Avaliador 2'!F100,'Avaliador 1'!G100='Avaliador 2'!G100,'Avaliador 1'!H100='Avaliador 2'!H100,'Avaliador 1'!I100='Avaliador 2'!I100),"Não","Sim"))</f>
        <v/>
      </c>
      <c r="O100" s="14"/>
      <c r="P100" s="10" t="str">
        <f aca="false">IF(LEN(H100)=3,"Defeito encontrado",IF(I100="Sim","Falso alarme",IF(H100="—","Nenhum defeito apontado","")))</f>
        <v/>
      </c>
    </row>
    <row r="101" customFormat="false" ht="15" hidden="false" customHeight="false" outlineLevel="0" collapsed="false">
      <c r="A101" s="11" t="str">
        <f aca="false">Apontamentos!C101</f>
        <v/>
      </c>
      <c r="B101" s="11" t="str">
        <f aca="false">IF(Apontamentos!$C101="","",Apontamentos!A101&amp;"")</f>
        <v/>
      </c>
      <c r="C101" s="11" t="str">
        <f aca="false">IF(B101="","",IFERROR(INDEX(Execuções!$C$2:$C$97,MATCH(B101,Execuções!$A$2:$A$97,0)),"ID?"))</f>
        <v/>
      </c>
      <c r="D101" s="10" t="str">
        <f aca="false">IF(B101="","",IFERROR(INDEX(Execuções!$B$2:$B$97,MATCH(B101,Execuções!$A$2:$A$97,0)),"ID?"))</f>
        <v/>
      </c>
      <c r="E101" s="11" t="str">
        <f aca="false">IF(B101="","",Apontamentos!D101)</f>
        <v/>
      </c>
      <c r="F101" s="11" t="str">
        <f aca="false">IF(B101="","",Apontamentos!E101)</f>
        <v/>
      </c>
      <c r="G101" s="10" t="str">
        <f aca="false">IF(B101="","",Apontamentos!G101&amp;"")</f>
        <v/>
      </c>
      <c r="H101" s="14" t="str">
        <f aca="false">IF('Avaliador 1'!F101='Avaliador 2'!F101,'Avaliador 1'!F101&amp;"","")</f>
        <v/>
      </c>
      <c r="I101" s="14" t="str">
        <f aca="false">IF('Avaliador 1'!G101='Avaliador 2'!G101,'Avaliador 1'!G101&amp;"","")</f>
        <v/>
      </c>
      <c r="J101" s="14" t="str">
        <f aca="false">IF('Avaliador 1'!H101='Avaliador 2'!H101,'Avaliador 1'!H101&amp;"","")</f>
        <v/>
      </c>
      <c r="K101" s="14" t="str">
        <f aca="false">IF('Avaliador 1'!I101='Avaliador 2'!I101,'Avaliador 1'!I101&amp;"","")</f>
        <v/>
      </c>
      <c r="L101" s="13"/>
      <c r="M101" s="13" t="str">
        <f aca="false">IF('Avaliador 1'!J101='Avaliador 2'!J101,'Avaliador 1'!J101&amp;"","")</f>
        <v/>
      </c>
      <c r="N101" s="11" t="str">
        <f aca="false">IF(OR('Avaliador 1'!F101="",'Avaliador 2'!F101=""),"",IF(AND('Avaliador 1'!F101='Avaliador 2'!F101,'Avaliador 1'!G101='Avaliador 2'!G101,'Avaliador 1'!H101='Avaliador 2'!H101,'Avaliador 1'!I101='Avaliador 2'!I101),"Não","Sim"))</f>
        <v/>
      </c>
      <c r="O101" s="14"/>
      <c r="P101" s="10" t="str">
        <f aca="false">IF(LEN(H101)=3,"Defeito encontrado",IF(I101="Sim","Falso alarme",IF(H101="—","Nenhum defeito apontado","")))</f>
        <v/>
      </c>
    </row>
    <row r="102" customFormat="false" ht="15" hidden="false" customHeight="false" outlineLevel="0" collapsed="false">
      <c r="A102" s="11" t="str">
        <f aca="false">Apontamentos!C102</f>
        <v/>
      </c>
      <c r="B102" s="11" t="str">
        <f aca="false">IF(Apontamentos!$C102="","",Apontamentos!A102&amp;"")</f>
        <v/>
      </c>
      <c r="C102" s="11" t="str">
        <f aca="false">IF(B102="","",IFERROR(INDEX(Execuções!$C$2:$C$97,MATCH(B102,Execuções!$A$2:$A$97,0)),"ID?"))</f>
        <v/>
      </c>
      <c r="D102" s="10" t="str">
        <f aca="false">IF(B102="","",IFERROR(INDEX(Execuções!$B$2:$B$97,MATCH(B102,Execuções!$A$2:$A$97,0)),"ID?"))</f>
        <v/>
      </c>
      <c r="E102" s="11" t="str">
        <f aca="false">IF(B102="","",Apontamentos!D102)</f>
        <v/>
      </c>
      <c r="F102" s="11" t="str">
        <f aca="false">IF(B102="","",Apontamentos!E102)</f>
        <v/>
      </c>
      <c r="G102" s="10" t="str">
        <f aca="false">IF(B102="","",Apontamentos!G102&amp;"")</f>
        <v/>
      </c>
      <c r="H102" s="14" t="str">
        <f aca="false">IF('Avaliador 1'!F102='Avaliador 2'!F102,'Avaliador 1'!F102&amp;"","")</f>
        <v/>
      </c>
      <c r="I102" s="14" t="str">
        <f aca="false">IF('Avaliador 1'!G102='Avaliador 2'!G102,'Avaliador 1'!G102&amp;"","")</f>
        <v/>
      </c>
      <c r="J102" s="14" t="str">
        <f aca="false">IF('Avaliador 1'!H102='Avaliador 2'!H102,'Avaliador 1'!H102&amp;"","")</f>
        <v/>
      </c>
      <c r="K102" s="14" t="str">
        <f aca="false">IF('Avaliador 1'!I102='Avaliador 2'!I102,'Avaliador 1'!I102&amp;"","")</f>
        <v/>
      </c>
      <c r="L102" s="13"/>
      <c r="M102" s="13" t="str">
        <f aca="false">IF('Avaliador 1'!J102='Avaliador 2'!J102,'Avaliador 1'!J102&amp;"","")</f>
        <v/>
      </c>
      <c r="N102" s="11" t="str">
        <f aca="false">IF(OR('Avaliador 1'!F102="",'Avaliador 2'!F102=""),"",IF(AND('Avaliador 1'!F102='Avaliador 2'!F102,'Avaliador 1'!G102='Avaliador 2'!G102,'Avaliador 1'!H102='Avaliador 2'!H102,'Avaliador 1'!I102='Avaliador 2'!I102),"Não","Sim"))</f>
        <v/>
      </c>
      <c r="O102" s="14"/>
      <c r="P102" s="10" t="str">
        <f aca="false">IF(LEN(H102)=3,"Defeito encontrado",IF(I102="Sim","Falso alarme",IF(H102="—","Nenhum defeito apontado","")))</f>
        <v/>
      </c>
    </row>
    <row r="103" customFormat="false" ht="15" hidden="false" customHeight="false" outlineLevel="0" collapsed="false">
      <c r="A103" s="11" t="str">
        <f aca="false">Apontamentos!C103</f>
        <v/>
      </c>
      <c r="B103" s="11" t="str">
        <f aca="false">IF(Apontamentos!$C103="","",Apontamentos!A103&amp;"")</f>
        <v/>
      </c>
      <c r="C103" s="11" t="str">
        <f aca="false">IF(B103="","",IFERROR(INDEX(Execuções!$C$2:$C$97,MATCH(B103,Execuções!$A$2:$A$97,0)),"ID?"))</f>
        <v/>
      </c>
      <c r="D103" s="10" t="str">
        <f aca="false">IF(B103="","",IFERROR(INDEX(Execuções!$B$2:$B$97,MATCH(B103,Execuções!$A$2:$A$97,0)),"ID?"))</f>
        <v/>
      </c>
      <c r="E103" s="11" t="str">
        <f aca="false">IF(B103="","",Apontamentos!D103)</f>
        <v/>
      </c>
      <c r="F103" s="11" t="str">
        <f aca="false">IF(B103="","",Apontamentos!E103)</f>
        <v/>
      </c>
      <c r="G103" s="10" t="str">
        <f aca="false">IF(B103="","",Apontamentos!G103&amp;"")</f>
        <v/>
      </c>
      <c r="H103" s="14" t="str">
        <f aca="false">IF('Avaliador 1'!F103='Avaliador 2'!F103,'Avaliador 1'!F103&amp;"","")</f>
        <v/>
      </c>
      <c r="I103" s="14" t="str">
        <f aca="false">IF('Avaliador 1'!G103='Avaliador 2'!G103,'Avaliador 1'!G103&amp;"","")</f>
        <v/>
      </c>
      <c r="J103" s="14" t="str">
        <f aca="false">IF('Avaliador 1'!H103='Avaliador 2'!H103,'Avaliador 1'!H103&amp;"","")</f>
        <v/>
      </c>
      <c r="K103" s="14" t="str">
        <f aca="false">IF('Avaliador 1'!I103='Avaliador 2'!I103,'Avaliador 1'!I103&amp;"","")</f>
        <v/>
      </c>
      <c r="L103" s="13"/>
      <c r="M103" s="13" t="str">
        <f aca="false">IF('Avaliador 1'!J103='Avaliador 2'!J103,'Avaliador 1'!J103&amp;"","")</f>
        <v/>
      </c>
      <c r="N103" s="11" t="str">
        <f aca="false">IF(OR('Avaliador 1'!F103="",'Avaliador 2'!F103=""),"",IF(AND('Avaliador 1'!F103='Avaliador 2'!F103,'Avaliador 1'!G103='Avaliador 2'!G103,'Avaliador 1'!H103='Avaliador 2'!H103,'Avaliador 1'!I103='Avaliador 2'!I103),"Não","Sim"))</f>
        <v/>
      </c>
      <c r="O103" s="14"/>
      <c r="P103" s="10" t="str">
        <f aca="false">IF(LEN(H103)=3,"Defeito encontrado",IF(I103="Sim","Falso alarme",IF(H103="—","Nenhum defeito apontado","")))</f>
        <v/>
      </c>
    </row>
    <row r="104" customFormat="false" ht="15" hidden="false" customHeight="false" outlineLevel="0" collapsed="false">
      <c r="A104" s="11" t="str">
        <f aca="false">Apontamentos!C104</f>
        <v/>
      </c>
      <c r="B104" s="11" t="str">
        <f aca="false">IF(Apontamentos!$C104="","",Apontamentos!A104&amp;"")</f>
        <v/>
      </c>
      <c r="C104" s="11" t="str">
        <f aca="false">IF(B104="","",IFERROR(INDEX(Execuções!$C$2:$C$97,MATCH(B104,Execuções!$A$2:$A$97,0)),"ID?"))</f>
        <v/>
      </c>
      <c r="D104" s="10" t="str">
        <f aca="false">IF(B104="","",IFERROR(INDEX(Execuções!$B$2:$B$97,MATCH(B104,Execuções!$A$2:$A$97,0)),"ID?"))</f>
        <v/>
      </c>
      <c r="E104" s="11" t="str">
        <f aca="false">IF(B104="","",Apontamentos!D104)</f>
        <v/>
      </c>
      <c r="F104" s="11" t="str">
        <f aca="false">IF(B104="","",Apontamentos!E104)</f>
        <v/>
      </c>
      <c r="G104" s="10" t="str">
        <f aca="false">IF(B104="","",Apontamentos!G104&amp;"")</f>
        <v/>
      </c>
      <c r="H104" s="14" t="str">
        <f aca="false">IF('Avaliador 1'!F104='Avaliador 2'!F104,'Avaliador 1'!F104&amp;"","")</f>
        <v/>
      </c>
      <c r="I104" s="14" t="str">
        <f aca="false">IF('Avaliador 1'!G104='Avaliador 2'!G104,'Avaliador 1'!G104&amp;"","")</f>
        <v/>
      </c>
      <c r="J104" s="14" t="str">
        <f aca="false">IF('Avaliador 1'!H104='Avaliador 2'!H104,'Avaliador 1'!H104&amp;"","")</f>
        <v/>
      </c>
      <c r="K104" s="14" t="str">
        <f aca="false">IF('Avaliador 1'!I104='Avaliador 2'!I104,'Avaliador 1'!I104&amp;"","")</f>
        <v/>
      </c>
      <c r="L104" s="13"/>
      <c r="M104" s="13" t="str">
        <f aca="false">IF('Avaliador 1'!J104='Avaliador 2'!J104,'Avaliador 1'!J104&amp;"","")</f>
        <v/>
      </c>
      <c r="N104" s="11" t="str">
        <f aca="false">IF(OR('Avaliador 1'!F104="",'Avaliador 2'!F104=""),"",IF(AND('Avaliador 1'!F104='Avaliador 2'!F104,'Avaliador 1'!G104='Avaliador 2'!G104,'Avaliador 1'!H104='Avaliador 2'!H104,'Avaliador 1'!I104='Avaliador 2'!I104),"Não","Sim"))</f>
        <v/>
      </c>
      <c r="O104" s="14"/>
      <c r="P104" s="10" t="str">
        <f aca="false">IF(LEN(H104)=3,"Defeito encontrado",IF(I104="Sim","Falso alarme",IF(H104="—","Nenhum defeito apontado","")))</f>
        <v/>
      </c>
    </row>
    <row r="105" customFormat="false" ht="15" hidden="false" customHeight="false" outlineLevel="0" collapsed="false">
      <c r="A105" s="11" t="str">
        <f aca="false">Apontamentos!C105</f>
        <v/>
      </c>
      <c r="B105" s="11" t="str">
        <f aca="false">IF(Apontamentos!$C105="","",Apontamentos!A105&amp;"")</f>
        <v/>
      </c>
      <c r="C105" s="11" t="str">
        <f aca="false">IF(B105="","",IFERROR(INDEX(Execuções!$C$2:$C$97,MATCH(B105,Execuções!$A$2:$A$97,0)),"ID?"))</f>
        <v/>
      </c>
      <c r="D105" s="10" t="str">
        <f aca="false">IF(B105="","",IFERROR(INDEX(Execuções!$B$2:$B$97,MATCH(B105,Execuções!$A$2:$A$97,0)),"ID?"))</f>
        <v/>
      </c>
      <c r="E105" s="11" t="str">
        <f aca="false">IF(B105="","",Apontamentos!D105)</f>
        <v/>
      </c>
      <c r="F105" s="11" t="str">
        <f aca="false">IF(B105="","",Apontamentos!E105)</f>
        <v/>
      </c>
      <c r="G105" s="10" t="str">
        <f aca="false">IF(B105="","",Apontamentos!G105&amp;"")</f>
        <v/>
      </c>
      <c r="H105" s="14" t="str">
        <f aca="false">IF('Avaliador 1'!F105='Avaliador 2'!F105,'Avaliador 1'!F105&amp;"","")</f>
        <v/>
      </c>
      <c r="I105" s="14" t="str">
        <f aca="false">IF('Avaliador 1'!G105='Avaliador 2'!G105,'Avaliador 1'!G105&amp;"","")</f>
        <v/>
      </c>
      <c r="J105" s="14" t="str">
        <f aca="false">IF('Avaliador 1'!H105='Avaliador 2'!H105,'Avaliador 1'!H105&amp;"","")</f>
        <v/>
      </c>
      <c r="K105" s="14" t="str">
        <f aca="false">IF('Avaliador 1'!I105='Avaliador 2'!I105,'Avaliador 1'!I105&amp;"","")</f>
        <v/>
      </c>
      <c r="L105" s="13"/>
      <c r="M105" s="13" t="str">
        <f aca="false">IF('Avaliador 1'!J105='Avaliador 2'!J105,'Avaliador 1'!J105&amp;"","")</f>
        <v/>
      </c>
      <c r="N105" s="11" t="str">
        <f aca="false">IF(OR('Avaliador 1'!F105="",'Avaliador 2'!F105=""),"",IF(AND('Avaliador 1'!F105='Avaliador 2'!F105,'Avaliador 1'!G105='Avaliador 2'!G105,'Avaliador 1'!H105='Avaliador 2'!H105,'Avaliador 1'!I105='Avaliador 2'!I105),"Não","Sim"))</f>
        <v/>
      </c>
      <c r="O105" s="14"/>
      <c r="P105" s="10" t="str">
        <f aca="false">IF(LEN(H105)=3,"Defeito encontrado",IF(I105="Sim","Falso alarme",IF(H105="—","Nenhum defeito apontado","")))</f>
        <v/>
      </c>
    </row>
    <row r="106" customFormat="false" ht="15" hidden="false" customHeight="false" outlineLevel="0" collapsed="false">
      <c r="A106" s="11" t="str">
        <f aca="false">Apontamentos!C106</f>
        <v/>
      </c>
      <c r="B106" s="11" t="str">
        <f aca="false">IF(Apontamentos!$C106="","",Apontamentos!A106&amp;"")</f>
        <v/>
      </c>
      <c r="C106" s="11" t="str">
        <f aca="false">IF(B106="","",IFERROR(INDEX(Execuções!$C$2:$C$97,MATCH(B106,Execuções!$A$2:$A$97,0)),"ID?"))</f>
        <v/>
      </c>
      <c r="D106" s="10" t="str">
        <f aca="false">IF(B106="","",IFERROR(INDEX(Execuções!$B$2:$B$97,MATCH(B106,Execuções!$A$2:$A$97,0)),"ID?"))</f>
        <v/>
      </c>
      <c r="E106" s="11" t="str">
        <f aca="false">IF(B106="","",Apontamentos!D106)</f>
        <v/>
      </c>
      <c r="F106" s="11" t="str">
        <f aca="false">IF(B106="","",Apontamentos!E106)</f>
        <v/>
      </c>
      <c r="G106" s="10" t="str">
        <f aca="false">IF(B106="","",Apontamentos!G106&amp;"")</f>
        <v/>
      </c>
      <c r="H106" s="14" t="str">
        <f aca="false">IF('Avaliador 1'!F106='Avaliador 2'!F106,'Avaliador 1'!F106&amp;"","")</f>
        <v/>
      </c>
      <c r="I106" s="14" t="str">
        <f aca="false">IF('Avaliador 1'!G106='Avaliador 2'!G106,'Avaliador 1'!G106&amp;"","")</f>
        <v/>
      </c>
      <c r="J106" s="14" t="str">
        <f aca="false">IF('Avaliador 1'!H106='Avaliador 2'!H106,'Avaliador 1'!H106&amp;"","")</f>
        <v/>
      </c>
      <c r="K106" s="14" t="str">
        <f aca="false">IF('Avaliador 1'!I106='Avaliador 2'!I106,'Avaliador 1'!I106&amp;"","")</f>
        <v/>
      </c>
      <c r="L106" s="13"/>
      <c r="M106" s="13" t="str">
        <f aca="false">IF('Avaliador 1'!J106='Avaliador 2'!J106,'Avaliador 1'!J106&amp;"","")</f>
        <v/>
      </c>
      <c r="N106" s="11" t="str">
        <f aca="false">IF(OR('Avaliador 1'!F106="",'Avaliador 2'!F106=""),"",IF(AND('Avaliador 1'!F106='Avaliador 2'!F106,'Avaliador 1'!G106='Avaliador 2'!G106,'Avaliador 1'!H106='Avaliador 2'!H106,'Avaliador 1'!I106='Avaliador 2'!I106),"Não","Sim"))</f>
        <v/>
      </c>
      <c r="O106" s="14"/>
      <c r="P106" s="10" t="str">
        <f aca="false">IF(LEN(H106)=3,"Defeito encontrado",IF(I106="Sim","Falso alarme",IF(H106="—","Nenhum defeito apontado","")))</f>
        <v/>
      </c>
    </row>
    <row r="107" customFormat="false" ht="15" hidden="false" customHeight="false" outlineLevel="0" collapsed="false">
      <c r="A107" s="11" t="str">
        <f aca="false">Apontamentos!C107</f>
        <v/>
      </c>
      <c r="B107" s="11" t="str">
        <f aca="false">IF(Apontamentos!$C107="","",Apontamentos!A107&amp;"")</f>
        <v/>
      </c>
      <c r="C107" s="11" t="str">
        <f aca="false">IF(B107="","",IFERROR(INDEX(Execuções!$C$2:$C$97,MATCH(B107,Execuções!$A$2:$A$97,0)),"ID?"))</f>
        <v/>
      </c>
      <c r="D107" s="10" t="str">
        <f aca="false">IF(B107="","",IFERROR(INDEX(Execuções!$B$2:$B$97,MATCH(B107,Execuções!$A$2:$A$97,0)),"ID?"))</f>
        <v/>
      </c>
      <c r="E107" s="11" t="str">
        <f aca="false">IF(B107="","",Apontamentos!D107)</f>
        <v/>
      </c>
      <c r="F107" s="11" t="str">
        <f aca="false">IF(B107="","",Apontamentos!E107)</f>
        <v/>
      </c>
      <c r="G107" s="10" t="str">
        <f aca="false">IF(B107="","",Apontamentos!G107&amp;"")</f>
        <v/>
      </c>
      <c r="H107" s="14" t="str">
        <f aca="false">IF('Avaliador 1'!F107='Avaliador 2'!F107,'Avaliador 1'!F107&amp;"","")</f>
        <v/>
      </c>
      <c r="I107" s="14" t="str">
        <f aca="false">IF('Avaliador 1'!G107='Avaliador 2'!G107,'Avaliador 1'!G107&amp;"","")</f>
        <v/>
      </c>
      <c r="J107" s="14" t="str">
        <f aca="false">IF('Avaliador 1'!H107='Avaliador 2'!H107,'Avaliador 1'!H107&amp;"","")</f>
        <v/>
      </c>
      <c r="K107" s="14" t="str">
        <f aca="false">IF('Avaliador 1'!I107='Avaliador 2'!I107,'Avaliador 1'!I107&amp;"","")</f>
        <v/>
      </c>
      <c r="L107" s="13"/>
      <c r="M107" s="13" t="str">
        <f aca="false">IF('Avaliador 1'!J107='Avaliador 2'!J107,'Avaliador 1'!J107&amp;"","")</f>
        <v/>
      </c>
      <c r="N107" s="11" t="str">
        <f aca="false">IF(OR('Avaliador 1'!F107="",'Avaliador 2'!F107=""),"",IF(AND('Avaliador 1'!F107='Avaliador 2'!F107,'Avaliador 1'!G107='Avaliador 2'!G107,'Avaliador 1'!H107='Avaliador 2'!H107,'Avaliador 1'!I107='Avaliador 2'!I107),"Não","Sim"))</f>
        <v/>
      </c>
      <c r="O107" s="14"/>
      <c r="P107" s="10" t="str">
        <f aca="false">IF(LEN(H107)=3,"Defeito encontrado",IF(I107="Sim","Falso alarme",IF(H107="—","Nenhum defeito apontado","")))</f>
        <v/>
      </c>
    </row>
    <row r="108" customFormat="false" ht="15" hidden="false" customHeight="false" outlineLevel="0" collapsed="false">
      <c r="A108" s="11" t="str">
        <f aca="false">Apontamentos!C108</f>
        <v/>
      </c>
      <c r="B108" s="11" t="str">
        <f aca="false">IF(Apontamentos!$C108="","",Apontamentos!A108&amp;"")</f>
        <v/>
      </c>
      <c r="C108" s="11" t="str">
        <f aca="false">IF(B108="","",IFERROR(INDEX(Execuções!$C$2:$C$97,MATCH(B108,Execuções!$A$2:$A$97,0)),"ID?"))</f>
        <v/>
      </c>
      <c r="D108" s="10" t="str">
        <f aca="false">IF(B108="","",IFERROR(INDEX(Execuções!$B$2:$B$97,MATCH(B108,Execuções!$A$2:$A$97,0)),"ID?"))</f>
        <v/>
      </c>
      <c r="E108" s="11" t="str">
        <f aca="false">IF(B108="","",Apontamentos!D108)</f>
        <v/>
      </c>
      <c r="F108" s="11" t="str">
        <f aca="false">IF(B108="","",Apontamentos!E108)</f>
        <v/>
      </c>
      <c r="G108" s="10" t="str">
        <f aca="false">IF(B108="","",Apontamentos!G108&amp;"")</f>
        <v/>
      </c>
      <c r="H108" s="14" t="str">
        <f aca="false">IF('Avaliador 1'!F108='Avaliador 2'!F108,'Avaliador 1'!F108&amp;"","")</f>
        <v/>
      </c>
      <c r="I108" s="14" t="str">
        <f aca="false">IF('Avaliador 1'!G108='Avaliador 2'!G108,'Avaliador 1'!G108&amp;"","")</f>
        <v/>
      </c>
      <c r="J108" s="14" t="str">
        <f aca="false">IF('Avaliador 1'!H108='Avaliador 2'!H108,'Avaliador 1'!H108&amp;"","")</f>
        <v/>
      </c>
      <c r="K108" s="14" t="str">
        <f aca="false">IF('Avaliador 1'!I108='Avaliador 2'!I108,'Avaliador 1'!I108&amp;"","")</f>
        <v/>
      </c>
      <c r="L108" s="13"/>
      <c r="M108" s="13" t="str">
        <f aca="false">IF('Avaliador 1'!J108='Avaliador 2'!J108,'Avaliador 1'!J108&amp;"","")</f>
        <v/>
      </c>
      <c r="N108" s="11" t="str">
        <f aca="false">IF(OR('Avaliador 1'!F108="",'Avaliador 2'!F108=""),"",IF(AND('Avaliador 1'!F108='Avaliador 2'!F108,'Avaliador 1'!G108='Avaliador 2'!G108,'Avaliador 1'!H108='Avaliador 2'!H108,'Avaliador 1'!I108='Avaliador 2'!I108),"Não","Sim"))</f>
        <v/>
      </c>
      <c r="O108" s="14"/>
      <c r="P108" s="10" t="str">
        <f aca="false">IF(LEN(H108)=3,"Defeito encontrado",IF(I108="Sim","Falso alarme",IF(H108="—","Nenhum defeito apontado","")))</f>
        <v/>
      </c>
    </row>
    <row r="109" customFormat="false" ht="15" hidden="false" customHeight="false" outlineLevel="0" collapsed="false">
      <c r="A109" s="11" t="str">
        <f aca="false">Apontamentos!C109</f>
        <v/>
      </c>
      <c r="B109" s="11" t="str">
        <f aca="false">IF(Apontamentos!$C109="","",Apontamentos!A109&amp;"")</f>
        <v/>
      </c>
      <c r="C109" s="11" t="str">
        <f aca="false">IF(B109="","",IFERROR(INDEX(Execuções!$C$2:$C$97,MATCH(B109,Execuções!$A$2:$A$97,0)),"ID?"))</f>
        <v/>
      </c>
      <c r="D109" s="10" t="str">
        <f aca="false">IF(B109="","",IFERROR(INDEX(Execuções!$B$2:$B$97,MATCH(B109,Execuções!$A$2:$A$97,0)),"ID?"))</f>
        <v/>
      </c>
      <c r="E109" s="11" t="str">
        <f aca="false">IF(B109="","",Apontamentos!D109)</f>
        <v/>
      </c>
      <c r="F109" s="11" t="str">
        <f aca="false">IF(B109="","",Apontamentos!E109)</f>
        <v/>
      </c>
      <c r="G109" s="10" t="str">
        <f aca="false">IF(B109="","",Apontamentos!G109&amp;"")</f>
        <v/>
      </c>
      <c r="H109" s="14" t="str">
        <f aca="false">IF('Avaliador 1'!F109='Avaliador 2'!F109,'Avaliador 1'!F109&amp;"","")</f>
        <v/>
      </c>
      <c r="I109" s="14" t="str">
        <f aca="false">IF('Avaliador 1'!G109='Avaliador 2'!G109,'Avaliador 1'!G109&amp;"","")</f>
        <v/>
      </c>
      <c r="J109" s="14" t="str">
        <f aca="false">IF('Avaliador 1'!H109='Avaliador 2'!H109,'Avaliador 1'!H109&amp;"","")</f>
        <v/>
      </c>
      <c r="K109" s="14" t="str">
        <f aca="false">IF('Avaliador 1'!I109='Avaliador 2'!I109,'Avaliador 1'!I109&amp;"","")</f>
        <v/>
      </c>
      <c r="L109" s="13"/>
      <c r="M109" s="13" t="str">
        <f aca="false">IF('Avaliador 1'!J109='Avaliador 2'!J109,'Avaliador 1'!J109&amp;"","")</f>
        <v/>
      </c>
      <c r="N109" s="11" t="str">
        <f aca="false">IF(OR('Avaliador 1'!F109="",'Avaliador 2'!F109=""),"",IF(AND('Avaliador 1'!F109='Avaliador 2'!F109,'Avaliador 1'!G109='Avaliador 2'!G109,'Avaliador 1'!H109='Avaliador 2'!H109,'Avaliador 1'!I109='Avaliador 2'!I109),"Não","Sim"))</f>
        <v/>
      </c>
      <c r="O109" s="14"/>
      <c r="P109" s="10" t="str">
        <f aca="false">IF(LEN(H109)=3,"Defeito encontrado",IF(I109="Sim","Falso alarme",IF(H109="—","Nenhum defeito apontado","")))</f>
        <v/>
      </c>
    </row>
    <row r="110" customFormat="false" ht="15" hidden="false" customHeight="false" outlineLevel="0" collapsed="false">
      <c r="A110" s="11" t="str">
        <f aca="false">Apontamentos!C110</f>
        <v/>
      </c>
      <c r="B110" s="11" t="str">
        <f aca="false">IF(Apontamentos!$C110="","",Apontamentos!A110&amp;"")</f>
        <v/>
      </c>
      <c r="C110" s="11" t="str">
        <f aca="false">IF(B110="","",IFERROR(INDEX(Execuções!$C$2:$C$97,MATCH(B110,Execuções!$A$2:$A$97,0)),"ID?"))</f>
        <v/>
      </c>
      <c r="D110" s="10" t="str">
        <f aca="false">IF(B110="","",IFERROR(INDEX(Execuções!$B$2:$B$97,MATCH(B110,Execuções!$A$2:$A$97,0)),"ID?"))</f>
        <v/>
      </c>
      <c r="E110" s="11" t="str">
        <f aca="false">IF(B110="","",Apontamentos!D110)</f>
        <v/>
      </c>
      <c r="F110" s="11" t="str">
        <f aca="false">IF(B110="","",Apontamentos!E110)</f>
        <v/>
      </c>
      <c r="G110" s="10" t="str">
        <f aca="false">IF(B110="","",Apontamentos!G110&amp;"")</f>
        <v/>
      </c>
      <c r="H110" s="14" t="str">
        <f aca="false">IF('Avaliador 1'!F110='Avaliador 2'!F110,'Avaliador 1'!F110&amp;"","")</f>
        <v/>
      </c>
      <c r="I110" s="14" t="str">
        <f aca="false">IF('Avaliador 1'!G110='Avaliador 2'!G110,'Avaliador 1'!G110&amp;"","")</f>
        <v/>
      </c>
      <c r="J110" s="14" t="str">
        <f aca="false">IF('Avaliador 1'!H110='Avaliador 2'!H110,'Avaliador 1'!H110&amp;"","")</f>
        <v/>
      </c>
      <c r="K110" s="14" t="str">
        <f aca="false">IF('Avaliador 1'!I110='Avaliador 2'!I110,'Avaliador 1'!I110&amp;"","")</f>
        <v/>
      </c>
      <c r="L110" s="13"/>
      <c r="M110" s="13" t="str">
        <f aca="false">IF('Avaliador 1'!J110='Avaliador 2'!J110,'Avaliador 1'!J110&amp;"","")</f>
        <v/>
      </c>
      <c r="N110" s="11" t="str">
        <f aca="false">IF(OR('Avaliador 1'!F110="",'Avaliador 2'!F110=""),"",IF(AND('Avaliador 1'!F110='Avaliador 2'!F110,'Avaliador 1'!G110='Avaliador 2'!G110,'Avaliador 1'!H110='Avaliador 2'!H110,'Avaliador 1'!I110='Avaliador 2'!I110),"Não","Sim"))</f>
        <v/>
      </c>
      <c r="O110" s="14"/>
      <c r="P110" s="10" t="str">
        <f aca="false">IF(LEN(H110)=3,"Defeito encontrado",IF(I110="Sim","Falso alarme",IF(H110="—","Nenhum defeito apontado","")))</f>
        <v/>
      </c>
    </row>
    <row r="111" customFormat="false" ht="15" hidden="false" customHeight="false" outlineLevel="0" collapsed="false">
      <c r="A111" s="11" t="str">
        <f aca="false">Apontamentos!C111</f>
        <v/>
      </c>
      <c r="B111" s="11" t="str">
        <f aca="false">IF(Apontamentos!$C111="","",Apontamentos!A111&amp;"")</f>
        <v/>
      </c>
      <c r="C111" s="11" t="str">
        <f aca="false">IF(B111="","",IFERROR(INDEX(Execuções!$C$2:$C$97,MATCH(B111,Execuções!$A$2:$A$97,0)),"ID?"))</f>
        <v/>
      </c>
      <c r="D111" s="10" t="str">
        <f aca="false">IF(B111="","",IFERROR(INDEX(Execuções!$B$2:$B$97,MATCH(B111,Execuções!$A$2:$A$97,0)),"ID?"))</f>
        <v/>
      </c>
      <c r="E111" s="11" t="str">
        <f aca="false">IF(B111="","",Apontamentos!D111)</f>
        <v/>
      </c>
      <c r="F111" s="11" t="str">
        <f aca="false">IF(B111="","",Apontamentos!E111)</f>
        <v/>
      </c>
      <c r="G111" s="10" t="str">
        <f aca="false">IF(B111="","",Apontamentos!G111&amp;"")</f>
        <v/>
      </c>
      <c r="H111" s="14" t="str">
        <f aca="false">IF('Avaliador 1'!F111='Avaliador 2'!F111,'Avaliador 1'!F111&amp;"","")</f>
        <v/>
      </c>
      <c r="I111" s="14" t="str">
        <f aca="false">IF('Avaliador 1'!G111='Avaliador 2'!G111,'Avaliador 1'!G111&amp;"","")</f>
        <v/>
      </c>
      <c r="J111" s="14" t="str">
        <f aca="false">IF('Avaliador 1'!H111='Avaliador 2'!H111,'Avaliador 1'!H111&amp;"","")</f>
        <v/>
      </c>
      <c r="K111" s="14" t="str">
        <f aca="false">IF('Avaliador 1'!I111='Avaliador 2'!I111,'Avaliador 1'!I111&amp;"","")</f>
        <v/>
      </c>
      <c r="L111" s="13"/>
      <c r="M111" s="13" t="str">
        <f aca="false">IF('Avaliador 1'!J111='Avaliador 2'!J111,'Avaliador 1'!J111&amp;"","")</f>
        <v/>
      </c>
      <c r="N111" s="11" t="str">
        <f aca="false">IF(OR('Avaliador 1'!F111="",'Avaliador 2'!F111=""),"",IF(AND('Avaliador 1'!F111='Avaliador 2'!F111,'Avaliador 1'!G111='Avaliador 2'!G111,'Avaliador 1'!H111='Avaliador 2'!H111,'Avaliador 1'!I111='Avaliador 2'!I111),"Não","Sim"))</f>
        <v/>
      </c>
      <c r="O111" s="14"/>
      <c r="P111" s="10" t="str">
        <f aca="false">IF(LEN(H111)=3,"Defeito encontrado",IF(I111="Sim","Falso alarme",IF(H111="—","Nenhum defeito apontado","")))</f>
        <v/>
      </c>
    </row>
    <row r="112" customFormat="false" ht="15" hidden="false" customHeight="false" outlineLevel="0" collapsed="false">
      <c r="A112" s="11" t="str">
        <f aca="false">Apontamentos!C112</f>
        <v/>
      </c>
      <c r="B112" s="11" t="str">
        <f aca="false">IF(Apontamentos!$C112="","",Apontamentos!A112&amp;"")</f>
        <v/>
      </c>
      <c r="C112" s="11" t="str">
        <f aca="false">IF(B112="","",IFERROR(INDEX(Execuções!$C$2:$C$97,MATCH(B112,Execuções!$A$2:$A$97,0)),"ID?"))</f>
        <v/>
      </c>
      <c r="D112" s="10" t="str">
        <f aca="false">IF(B112="","",IFERROR(INDEX(Execuções!$B$2:$B$97,MATCH(B112,Execuções!$A$2:$A$97,0)),"ID?"))</f>
        <v/>
      </c>
      <c r="E112" s="11" t="str">
        <f aca="false">IF(B112="","",Apontamentos!D112)</f>
        <v/>
      </c>
      <c r="F112" s="11" t="str">
        <f aca="false">IF(B112="","",Apontamentos!E112)</f>
        <v/>
      </c>
      <c r="G112" s="10" t="str">
        <f aca="false">IF(B112="","",Apontamentos!G112&amp;"")</f>
        <v/>
      </c>
      <c r="H112" s="14" t="str">
        <f aca="false">IF('Avaliador 1'!F112='Avaliador 2'!F112,'Avaliador 1'!F112&amp;"","")</f>
        <v/>
      </c>
      <c r="I112" s="14" t="str">
        <f aca="false">IF('Avaliador 1'!G112='Avaliador 2'!G112,'Avaliador 1'!G112&amp;"","")</f>
        <v/>
      </c>
      <c r="J112" s="14" t="str">
        <f aca="false">IF('Avaliador 1'!H112='Avaliador 2'!H112,'Avaliador 1'!H112&amp;"","")</f>
        <v/>
      </c>
      <c r="K112" s="14" t="str">
        <f aca="false">IF('Avaliador 1'!I112='Avaliador 2'!I112,'Avaliador 1'!I112&amp;"","")</f>
        <v/>
      </c>
      <c r="L112" s="13"/>
      <c r="M112" s="13" t="str">
        <f aca="false">IF('Avaliador 1'!J112='Avaliador 2'!J112,'Avaliador 1'!J112&amp;"","")</f>
        <v/>
      </c>
      <c r="N112" s="11" t="str">
        <f aca="false">IF(OR('Avaliador 1'!F112="",'Avaliador 2'!F112=""),"",IF(AND('Avaliador 1'!F112='Avaliador 2'!F112,'Avaliador 1'!G112='Avaliador 2'!G112,'Avaliador 1'!H112='Avaliador 2'!H112,'Avaliador 1'!I112='Avaliador 2'!I112),"Não","Sim"))</f>
        <v/>
      </c>
      <c r="O112" s="14"/>
      <c r="P112" s="10" t="str">
        <f aca="false">IF(LEN(H112)=3,"Defeito encontrado",IF(I112="Sim","Falso alarme",IF(H112="—","Nenhum defeito apontado","")))</f>
        <v/>
      </c>
    </row>
    <row r="113" customFormat="false" ht="15" hidden="false" customHeight="false" outlineLevel="0" collapsed="false">
      <c r="A113" s="11" t="str">
        <f aca="false">Apontamentos!C113</f>
        <v/>
      </c>
      <c r="B113" s="11" t="str">
        <f aca="false">IF(Apontamentos!$C113="","",Apontamentos!A113&amp;"")</f>
        <v/>
      </c>
      <c r="C113" s="11" t="str">
        <f aca="false">IF(B113="","",IFERROR(INDEX(Execuções!$C$2:$C$97,MATCH(B113,Execuções!$A$2:$A$97,0)),"ID?"))</f>
        <v/>
      </c>
      <c r="D113" s="10" t="str">
        <f aca="false">IF(B113="","",IFERROR(INDEX(Execuções!$B$2:$B$97,MATCH(B113,Execuções!$A$2:$A$97,0)),"ID?"))</f>
        <v/>
      </c>
      <c r="E113" s="11" t="str">
        <f aca="false">IF(B113="","",Apontamentos!D113)</f>
        <v/>
      </c>
      <c r="F113" s="11" t="str">
        <f aca="false">IF(B113="","",Apontamentos!E113)</f>
        <v/>
      </c>
      <c r="G113" s="10" t="str">
        <f aca="false">IF(B113="","",Apontamentos!G113&amp;"")</f>
        <v/>
      </c>
      <c r="H113" s="14" t="str">
        <f aca="false">IF('Avaliador 1'!F113='Avaliador 2'!F113,'Avaliador 1'!F113&amp;"","")</f>
        <v/>
      </c>
      <c r="I113" s="14" t="str">
        <f aca="false">IF('Avaliador 1'!G113='Avaliador 2'!G113,'Avaliador 1'!G113&amp;"","")</f>
        <v/>
      </c>
      <c r="J113" s="14" t="str">
        <f aca="false">IF('Avaliador 1'!H113='Avaliador 2'!H113,'Avaliador 1'!H113&amp;"","")</f>
        <v/>
      </c>
      <c r="K113" s="14" t="str">
        <f aca="false">IF('Avaliador 1'!I113='Avaliador 2'!I113,'Avaliador 1'!I113&amp;"","")</f>
        <v/>
      </c>
      <c r="L113" s="13"/>
      <c r="M113" s="13" t="str">
        <f aca="false">IF('Avaliador 1'!J113='Avaliador 2'!J113,'Avaliador 1'!J113&amp;"","")</f>
        <v/>
      </c>
      <c r="N113" s="11" t="str">
        <f aca="false">IF(OR('Avaliador 1'!F113="",'Avaliador 2'!F113=""),"",IF(AND('Avaliador 1'!F113='Avaliador 2'!F113,'Avaliador 1'!G113='Avaliador 2'!G113,'Avaliador 1'!H113='Avaliador 2'!H113,'Avaliador 1'!I113='Avaliador 2'!I113),"Não","Sim"))</f>
        <v/>
      </c>
      <c r="O113" s="14"/>
      <c r="P113" s="10" t="str">
        <f aca="false">IF(LEN(H113)=3,"Defeito encontrado",IF(I113="Sim","Falso alarme",IF(H113="—","Nenhum defeito apontado","")))</f>
        <v/>
      </c>
    </row>
    <row r="114" customFormat="false" ht="15" hidden="false" customHeight="false" outlineLevel="0" collapsed="false">
      <c r="A114" s="11" t="str">
        <f aca="false">Apontamentos!C114</f>
        <v/>
      </c>
      <c r="B114" s="11" t="str">
        <f aca="false">IF(Apontamentos!$C114="","",Apontamentos!A114&amp;"")</f>
        <v/>
      </c>
      <c r="C114" s="11" t="str">
        <f aca="false">IF(B114="","",IFERROR(INDEX(Execuções!$C$2:$C$97,MATCH(B114,Execuções!$A$2:$A$97,0)),"ID?"))</f>
        <v/>
      </c>
      <c r="D114" s="10" t="str">
        <f aca="false">IF(B114="","",IFERROR(INDEX(Execuções!$B$2:$B$97,MATCH(B114,Execuções!$A$2:$A$97,0)),"ID?"))</f>
        <v/>
      </c>
      <c r="E114" s="11" t="str">
        <f aca="false">IF(B114="","",Apontamentos!D114)</f>
        <v/>
      </c>
      <c r="F114" s="11" t="str">
        <f aca="false">IF(B114="","",Apontamentos!E114)</f>
        <v/>
      </c>
      <c r="G114" s="10" t="str">
        <f aca="false">IF(B114="","",Apontamentos!G114&amp;"")</f>
        <v/>
      </c>
      <c r="H114" s="14" t="str">
        <f aca="false">IF('Avaliador 1'!F114='Avaliador 2'!F114,'Avaliador 1'!F114&amp;"","")</f>
        <v/>
      </c>
      <c r="I114" s="14" t="str">
        <f aca="false">IF('Avaliador 1'!G114='Avaliador 2'!G114,'Avaliador 1'!G114&amp;"","")</f>
        <v/>
      </c>
      <c r="J114" s="14" t="str">
        <f aca="false">IF('Avaliador 1'!H114='Avaliador 2'!H114,'Avaliador 1'!H114&amp;"","")</f>
        <v/>
      </c>
      <c r="K114" s="14" t="str">
        <f aca="false">IF('Avaliador 1'!I114='Avaliador 2'!I114,'Avaliador 1'!I114&amp;"","")</f>
        <v/>
      </c>
      <c r="L114" s="13"/>
      <c r="M114" s="13" t="str">
        <f aca="false">IF('Avaliador 1'!J114='Avaliador 2'!J114,'Avaliador 1'!J114&amp;"","")</f>
        <v/>
      </c>
      <c r="N114" s="11" t="str">
        <f aca="false">IF(OR('Avaliador 1'!F114="",'Avaliador 2'!F114=""),"",IF(AND('Avaliador 1'!F114='Avaliador 2'!F114,'Avaliador 1'!G114='Avaliador 2'!G114,'Avaliador 1'!H114='Avaliador 2'!H114,'Avaliador 1'!I114='Avaliador 2'!I114),"Não","Sim"))</f>
        <v/>
      </c>
      <c r="O114" s="14"/>
      <c r="P114" s="10" t="str">
        <f aca="false">IF(LEN(H114)=3,"Defeito encontrado",IF(I114="Sim","Falso alarme",IF(H114="—","Nenhum defeito apontado","")))</f>
        <v/>
      </c>
    </row>
    <row r="115" customFormat="false" ht="15" hidden="false" customHeight="false" outlineLevel="0" collapsed="false">
      <c r="A115" s="11" t="str">
        <f aca="false">Apontamentos!C115</f>
        <v/>
      </c>
      <c r="B115" s="11" t="str">
        <f aca="false">IF(Apontamentos!$C115="","",Apontamentos!A115&amp;"")</f>
        <v/>
      </c>
      <c r="C115" s="11" t="str">
        <f aca="false">IF(B115="","",IFERROR(INDEX(Execuções!$C$2:$C$97,MATCH(B115,Execuções!$A$2:$A$97,0)),"ID?"))</f>
        <v/>
      </c>
      <c r="D115" s="10" t="str">
        <f aca="false">IF(B115="","",IFERROR(INDEX(Execuções!$B$2:$B$97,MATCH(B115,Execuções!$A$2:$A$97,0)),"ID?"))</f>
        <v/>
      </c>
      <c r="E115" s="11" t="str">
        <f aca="false">IF(B115="","",Apontamentos!D115)</f>
        <v/>
      </c>
      <c r="F115" s="11" t="str">
        <f aca="false">IF(B115="","",Apontamentos!E115)</f>
        <v/>
      </c>
      <c r="G115" s="10" t="str">
        <f aca="false">IF(B115="","",Apontamentos!G115&amp;"")</f>
        <v/>
      </c>
      <c r="H115" s="14" t="str">
        <f aca="false">IF('Avaliador 1'!F115='Avaliador 2'!F115,'Avaliador 1'!F115&amp;"","")</f>
        <v/>
      </c>
      <c r="I115" s="14" t="str">
        <f aca="false">IF('Avaliador 1'!G115='Avaliador 2'!G115,'Avaliador 1'!G115&amp;"","")</f>
        <v/>
      </c>
      <c r="J115" s="14" t="str">
        <f aca="false">IF('Avaliador 1'!H115='Avaliador 2'!H115,'Avaliador 1'!H115&amp;"","")</f>
        <v/>
      </c>
      <c r="K115" s="14" t="str">
        <f aca="false">IF('Avaliador 1'!I115='Avaliador 2'!I115,'Avaliador 1'!I115&amp;"","")</f>
        <v/>
      </c>
      <c r="L115" s="13"/>
      <c r="M115" s="13" t="str">
        <f aca="false">IF('Avaliador 1'!J115='Avaliador 2'!J115,'Avaliador 1'!J115&amp;"","")</f>
        <v/>
      </c>
      <c r="N115" s="11" t="str">
        <f aca="false">IF(OR('Avaliador 1'!F115="",'Avaliador 2'!F115=""),"",IF(AND('Avaliador 1'!F115='Avaliador 2'!F115,'Avaliador 1'!G115='Avaliador 2'!G115,'Avaliador 1'!H115='Avaliador 2'!H115,'Avaliador 1'!I115='Avaliador 2'!I115),"Não","Sim"))</f>
        <v/>
      </c>
      <c r="O115" s="14"/>
      <c r="P115" s="10" t="str">
        <f aca="false">IF(LEN(H115)=3,"Defeito encontrado",IF(I115="Sim","Falso alarme",IF(H115="—","Nenhum defeito apontado","")))</f>
        <v/>
      </c>
    </row>
    <row r="116" customFormat="false" ht="15" hidden="false" customHeight="false" outlineLevel="0" collapsed="false">
      <c r="A116" s="11" t="str">
        <f aca="false">Apontamentos!C116</f>
        <v/>
      </c>
      <c r="B116" s="11" t="str">
        <f aca="false">IF(Apontamentos!$C116="","",Apontamentos!A116&amp;"")</f>
        <v/>
      </c>
      <c r="C116" s="11" t="str">
        <f aca="false">IF(B116="","",IFERROR(INDEX(Execuções!$C$2:$C$97,MATCH(B116,Execuções!$A$2:$A$97,0)),"ID?"))</f>
        <v/>
      </c>
      <c r="D116" s="10" t="str">
        <f aca="false">IF(B116="","",IFERROR(INDEX(Execuções!$B$2:$B$97,MATCH(B116,Execuções!$A$2:$A$97,0)),"ID?"))</f>
        <v/>
      </c>
      <c r="E116" s="11" t="str">
        <f aca="false">IF(B116="","",Apontamentos!D116)</f>
        <v/>
      </c>
      <c r="F116" s="11" t="str">
        <f aca="false">IF(B116="","",Apontamentos!E116)</f>
        <v/>
      </c>
      <c r="G116" s="10" t="str">
        <f aca="false">IF(B116="","",Apontamentos!G116&amp;"")</f>
        <v/>
      </c>
      <c r="H116" s="14" t="str">
        <f aca="false">IF('Avaliador 1'!F116='Avaliador 2'!F116,'Avaliador 1'!F116&amp;"","")</f>
        <v/>
      </c>
      <c r="I116" s="14" t="str">
        <f aca="false">IF('Avaliador 1'!G116='Avaliador 2'!G116,'Avaliador 1'!G116&amp;"","")</f>
        <v/>
      </c>
      <c r="J116" s="14" t="str">
        <f aca="false">IF('Avaliador 1'!H116='Avaliador 2'!H116,'Avaliador 1'!H116&amp;"","")</f>
        <v/>
      </c>
      <c r="K116" s="14" t="str">
        <f aca="false">IF('Avaliador 1'!I116='Avaliador 2'!I116,'Avaliador 1'!I116&amp;"","")</f>
        <v/>
      </c>
      <c r="L116" s="13"/>
      <c r="M116" s="13" t="str">
        <f aca="false">IF('Avaliador 1'!J116='Avaliador 2'!J116,'Avaliador 1'!J116&amp;"","")</f>
        <v/>
      </c>
      <c r="N116" s="11" t="str">
        <f aca="false">IF(OR('Avaliador 1'!F116="",'Avaliador 2'!F116=""),"",IF(AND('Avaliador 1'!F116='Avaliador 2'!F116,'Avaliador 1'!G116='Avaliador 2'!G116,'Avaliador 1'!H116='Avaliador 2'!H116,'Avaliador 1'!I116='Avaliador 2'!I116),"Não","Sim"))</f>
        <v/>
      </c>
      <c r="O116" s="14"/>
      <c r="P116" s="10" t="str">
        <f aca="false">IF(LEN(H116)=3,"Defeito encontrado",IF(I116="Sim","Falso alarme",IF(H116="—","Nenhum defeito apontado","")))</f>
        <v/>
      </c>
    </row>
    <row r="117" customFormat="false" ht="15" hidden="false" customHeight="false" outlineLevel="0" collapsed="false">
      <c r="A117" s="11" t="str">
        <f aca="false">Apontamentos!C117</f>
        <v/>
      </c>
      <c r="B117" s="11" t="str">
        <f aca="false">IF(Apontamentos!$C117="","",Apontamentos!A117&amp;"")</f>
        <v/>
      </c>
      <c r="C117" s="11" t="str">
        <f aca="false">IF(B117="","",IFERROR(INDEX(Execuções!$C$2:$C$97,MATCH(B117,Execuções!$A$2:$A$97,0)),"ID?"))</f>
        <v/>
      </c>
      <c r="D117" s="10" t="str">
        <f aca="false">IF(B117="","",IFERROR(INDEX(Execuções!$B$2:$B$97,MATCH(B117,Execuções!$A$2:$A$97,0)),"ID?"))</f>
        <v/>
      </c>
      <c r="E117" s="11" t="str">
        <f aca="false">IF(B117="","",Apontamentos!D117)</f>
        <v/>
      </c>
      <c r="F117" s="11" t="str">
        <f aca="false">IF(B117="","",Apontamentos!E117)</f>
        <v/>
      </c>
      <c r="G117" s="10" t="str">
        <f aca="false">IF(B117="","",Apontamentos!G117&amp;"")</f>
        <v/>
      </c>
      <c r="H117" s="14" t="str">
        <f aca="false">IF('Avaliador 1'!F117='Avaliador 2'!F117,'Avaliador 1'!F117&amp;"","")</f>
        <v/>
      </c>
      <c r="I117" s="14" t="str">
        <f aca="false">IF('Avaliador 1'!G117='Avaliador 2'!G117,'Avaliador 1'!G117&amp;"","")</f>
        <v/>
      </c>
      <c r="J117" s="14" t="str">
        <f aca="false">IF('Avaliador 1'!H117='Avaliador 2'!H117,'Avaliador 1'!H117&amp;"","")</f>
        <v/>
      </c>
      <c r="K117" s="14" t="str">
        <f aca="false">IF('Avaliador 1'!I117='Avaliador 2'!I117,'Avaliador 1'!I117&amp;"","")</f>
        <v/>
      </c>
      <c r="L117" s="13"/>
      <c r="M117" s="13" t="str">
        <f aca="false">IF('Avaliador 1'!J117='Avaliador 2'!J117,'Avaliador 1'!J117&amp;"","")</f>
        <v/>
      </c>
      <c r="N117" s="11" t="str">
        <f aca="false">IF(OR('Avaliador 1'!F117="",'Avaliador 2'!F117=""),"",IF(AND('Avaliador 1'!F117='Avaliador 2'!F117,'Avaliador 1'!G117='Avaliador 2'!G117,'Avaliador 1'!H117='Avaliador 2'!H117,'Avaliador 1'!I117='Avaliador 2'!I117),"Não","Sim"))</f>
        <v/>
      </c>
      <c r="O117" s="14"/>
      <c r="P117" s="10" t="str">
        <f aca="false">IF(LEN(H117)=3,"Defeito encontrado",IF(I117="Sim","Falso alarme",IF(H117="—","Nenhum defeito apontado","")))</f>
        <v/>
      </c>
    </row>
    <row r="118" customFormat="false" ht="15" hidden="false" customHeight="false" outlineLevel="0" collapsed="false">
      <c r="A118" s="11" t="str">
        <f aca="false">Apontamentos!C118</f>
        <v/>
      </c>
      <c r="B118" s="11" t="str">
        <f aca="false">IF(Apontamentos!$C118="","",Apontamentos!A118&amp;"")</f>
        <v/>
      </c>
      <c r="C118" s="11" t="str">
        <f aca="false">IF(B118="","",IFERROR(INDEX(Execuções!$C$2:$C$97,MATCH(B118,Execuções!$A$2:$A$97,0)),"ID?"))</f>
        <v/>
      </c>
      <c r="D118" s="10" t="str">
        <f aca="false">IF(B118="","",IFERROR(INDEX(Execuções!$B$2:$B$97,MATCH(B118,Execuções!$A$2:$A$97,0)),"ID?"))</f>
        <v/>
      </c>
      <c r="E118" s="11" t="str">
        <f aca="false">IF(B118="","",Apontamentos!D118)</f>
        <v/>
      </c>
      <c r="F118" s="11" t="str">
        <f aca="false">IF(B118="","",Apontamentos!E118)</f>
        <v/>
      </c>
      <c r="G118" s="10" t="str">
        <f aca="false">IF(B118="","",Apontamentos!G118&amp;"")</f>
        <v/>
      </c>
      <c r="H118" s="14" t="str">
        <f aca="false">IF('Avaliador 1'!F118='Avaliador 2'!F118,'Avaliador 1'!F118&amp;"","")</f>
        <v/>
      </c>
      <c r="I118" s="14" t="str">
        <f aca="false">IF('Avaliador 1'!G118='Avaliador 2'!G118,'Avaliador 1'!G118&amp;"","")</f>
        <v/>
      </c>
      <c r="J118" s="14" t="str">
        <f aca="false">IF('Avaliador 1'!H118='Avaliador 2'!H118,'Avaliador 1'!H118&amp;"","")</f>
        <v/>
      </c>
      <c r="K118" s="14" t="str">
        <f aca="false">IF('Avaliador 1'!I118='Avaliador 2'!I118,'Avaliador 1'!I118&amp;"","")</f>
        <v/>
      </c>
      <c r="L118" s="13"/>
      <c r="M118" s="13" t="str">
        <f aca="false">IF('Avaliador 1'!J118='Avaliador 2'!J118,'Avaliador 1'!J118&amp;"","")</f>
        <v/>
      </c>
      <c r="N118" s="11" t="str">
        <f aca="false">IF(OR('Avaliador 1'!F118="",'Avaliador 2'!F118=""),"",IF(AND('Avaliador 1'!F118='Avaliador 2'!F118,'Avaliador 1'!G118='Avaliador 2'!G118,'Avaliador 1'!H118='Avaliador 2'!H118,'Avaliador 1'!I118='Avaliador 2'!I118),"Não","Sim"))</f>
        <v/>
      </c>
      <c r="O118" s="14"/>
      <c r="P118" s="10" t="str">
        <f aca="false">IF(LEN(H118)=3,"Defeito encontrado",IF(I118="Sim","Falso alarme",IF(H118="—","Nenhum defeito apontado","")))</f>
        <v/>
      </c>
    </row>
    <row r="119" customFormat="false" ht="15" hidden="false" customHeight="false" outlineLevel="0" collapsed="false">
      <c r="A119" s="11" t="str">
        <f aca="false">Apontamentos!C119</f>
        <v/>
      </c>
      <c r="B119" s="11" t="str">
        <f aca="false">IF(Apontamentos!$C119="","",Apontamentos!A119&amp;"")</f>
        <v/>
      </c>
      <c r="C119" s="11" t="str">
        <f aca="false">IF(B119="","",IFERROR(INDEX(Execuções!$C$2:$C$97,MATCH(B119,Execuções!$A$2:$A$97,0)),"ID?"))</f>
        <v/>
      </c>
      <c r="D119" s="10" t="str">
        <f aca="false">IF(B119="","",IFERROR(INDEX(Execuções!$B$2:$B$97,MATCH(B119,Execuções!$A$2:$A$97,0)),"ID?"))</f>
        <v/>
      </c>
      <c r="E119" s="11" t="str">
        <f aca="false">IF(B119="","",Apontamentos!D119)</f>
        <v/>
      </c>
      <c r="F119" s="11" t="str">
        <f aca="false">IF(B119="","",Apontamentos!E119)</f>
        <v/>
      </c>
      <c r="G119" s="10" t="str">
        <f aca="false">IF(B119="","",Apontamentos!G119&amp;"")</f>
        <v/>
      </c>
      <c r="H119" s="14" t="str">
        <f aca="false">IF('Avaliador 1'!F119='Avaliador 2'!F119,'Avaliador 1'!F119&amp;"","")</f>
        <v/>
      </c>
      <c r="I119" s="14" t="str">
        <f aca="false">IF('Avaliador 1'!G119='Avaliador 2'!G119,'Avaliador 1'!G119&amp;"","")</f>
        <v/>
      </c>
      <c r="J119" s="14" t="str">
        <f aca="false">IF('Avaliador 1'!H119='Avaliador 2'!H119,'Avaliador 1'!H119&amp;"","")</f>
        <v/>
      </c>
      <c r="K119" s="14" t="str">
        <f aca="false">IF('Avaliador 1'!I119='Avaliador 2'!I119,'Avaliador 1'!I119&amp;"","")</f>
        <v/>
      </c>
      <c r="L119" s="13"/>
      <c r="M119" s="13" t="str">
        <f aca="false">IF('Avaliador 1'!J119='Avaliador 2'!J119,'Avaliador 1'!J119&amp;"","")</f>
        <v/>
      </c>
      <c r="N119" s="11" t="str">
        <f aca="false">IF(OR('Avaliador 1'!F119="",'Avaliador 2'!F119=""),"",IF(AND('Avaliador 1'!F119='Avaliador 2'!F119,'Avaliador 1'!G119='Avaliador 2'!G119,'Avaliador 1'!H119='Avaliador 2'!H119,'Avaliador 1'!I119='Avaliador 2'!I119),"Não","Sim"))</f>
        <v/>
      </c>
      <c r="O119" s="14"/>
      <c r="P119" s="10" t="str">
        <f aca="false">IF(LEN(H119)=3,"Defeito encontrado",IF(I119="Sim","Falso alarme",IF(H119="—","Nenhum defeito apontado","")))</f>
        <v/>
      </c>
    </row>
    <row r="120" customFormat="false" ht="15" hidden="false" customHeight="false" outlineLevel="0" collapsed="false">
      <c r="A120" s="11" t="str">
        <f aca="false">Apontamentos!C120</f>
        <v/>
      </c>
      <c r="B120" s="11" t="str">
        <f aca="false">IF(Apontamentos!$C120="","",Apontamentos!A120&amp;"")</f>
        <v/>
      </c>
      <c r="C120" s="11" t="str">
        <f aca="false">IF(B120="","",IFERROR(INDEX(Execuções!$C$2:$C$97,MATCH(B120,Execuções!$A$2:$A$97,0)),"ID?"))</f>
        <v/>
      </c>
      <c r="D120" s="10" t="str">
        <f aca="false">IF(B120="","",IFERROR(INDEX(Execuções!$B$2:$B$97,MATCH(B120,Execuções!$A$2:$A$97,0)),"ID?"))</f>
        <v/>
      </c>
      <c r="E120" s="11" t="str">
        <f aca="false">IF(B120="","",Apontamentos!D120)</f>
        <v/>
      </c>
      <c r="F120" s="11" t="str">
        <f aca="false">IF(B120="","",Apontamentos!E120)</f>
        <v/>
      </c>
      <c r="G120" s="10" t="str">
        <f aca="false">IF(B120="","",Apontamentos!G120&amp;"")</f>
        <v/>
      </c>
      <c r="H120" s="14" t="str">
        <f aca="false">IF('Avaliador 1'!F120='Avaliador 2'!F120,'Avaliador 1'!F120&amp;"","")</f>
        <v/>
      </c>
      <c r="I120" s="14" t="str">
        <f aca="false">IF('Avaliador 1'!G120='Avaliador 2'!G120,'Avaliador 1'!G120&amp;"","")</f>
        <v/>
      </c>
      <c r="J120" s="14" t="str">
        <f aca="false">IF('Avaliador 1'!H120='Avaliador 2'!H120,'Avaliador 1'!H120&amp;"","")</f>
        <v/>
      </c>
      <c r="K120" s="14" t="str">
        <f aca="false">IF('Avaliador 1'!I120='Avaliador 2'!I120,'Avaliador 1'!I120&amp;"","")</f>
        <v/>
      </c>
      <c r="L120" s="13"/>
      <c r="M120" s="13" t="str">
        <f aca="false">IF('Avaliador 1'!J120='Avaliador 2'!J120,'Avaliador 1'!J120&amp;"","")</f>
        <v/>
      </c>
      <c r="N120" s="11" t="str">
        <f aca="false">IF(OR('Avaliador 1'!F120="",'Avaliador 2'!F120=""),"",IF(AND('Avaliador 1'!F120='Avaliador 2'!F120,'Avaliador 1'!G120='Avaliador 2'!G120,'Avaliador 1'!H120='Avaliador 2'!H120,'Avaliador 1'!I120='Avaliador 2'!I120),"Não","Sim"))</f>
        <v/>
      </c>
      <c r="O120" s="14"/>
      <c r="P120" s="10" t="str">
        <f aca="false">IF(LEN(H120)=3,"Defeito encontrado",IF(I120="Sim","Falso alarme",IF(H120="—","Nenhum defeito apontado","")))</f>
        <v/>
      </c>
    </row>
    <row r="121" customFormat="false" ht="15" hidden="false" customHeight="false" outlineLevel="0" collapsed="false">
      <c r="A121" s="11" t="str">
        <f aca="false">Apontamentos!C121</f>
        <v/>
      </c>
      <c r="B121" s="11" t="str">
        <f aca="false">IF(Apontamentos!$C121="","",Apontamentos!A121&amp;"")</f>
        <v/>
      </c>
      <c r="C121" s="11" t="str">
        <f aca="false">IF(B121="","",IFERROR(INDEX(Execuções!$C$2:$C$97,MATCH(B121,Execuções!$A$2:$A$97,0)),"ID?"))</f>
        <v/>
      </c>
      <c r="D121" s="10" t="str">
        <f aca="false">IF(B121="","",IFERROR(INDEX(Execuções!$B$2:$B$97,MATCH(B121,Execuções!$A$2:$A$97,0)),"ID?"))</f>
        <v/>
      </c>
      <c r="E121" s="11" t="str">
        <f aca="false">IF(B121="","",Apontamentos!D121)</f>
        <v/>
      </c>
      <c r="F121" s="11" t="str">
        <f aca="false">IF(B121="","",Apontamentos!E121)</f>
        <v/>
      </c>
      <c r="G121" s="10" t="str">
        <f aca="false">IF(B121="","",Apontamentos!G121&amp;"")</f>
        <v/>
      </c>
      <c r="H121" s="14" t="str">
        <f aca="false">IF('Avaliador 1'!F121='Avaliador 2'!F121,'Avaliador 1'!F121&amp;"","")</f>
        <v/>
      </c>
      <c r="I121" s="14" t="str">
        <f aca="false">IF('Avaliador 1'!G121='Avaliador 2'!G121,'Avaliador 1'!G121&amp;"","")</f>
        <v/>
      </c>
      <c r="J121" s="14" t="str">
        <f aca="false">IF('Avaliador 1'!H121='Avaliador 2'!H121,'Avaliador 1'!H121&amp;"","")</f>
        <v/>
      </c>
      <c r="K121" s="14" t="str">
        <f aca="false">IF('Avaliador 1'!I121='Avaliador 2'!I121,'Avaliador 1'!I121&amp;"","")</f>
        <v/>
      </c>
      <c r="L121" s="13"/>
      <c r="M121" s="13" t="str">
        <f aca="false">IF('Avaliador 1'!J121='Avaliador 2'!J121,'Avaliador 1'!J121&amp;"","")</f>
        <v/>
      </c>
      <c r="N121" s="11" t="str">
        <f aca="false">IF(OR('Avaliador 1'!F121="",'Avaliador 2'!F121=""),"",IF(AND('Avaliador 1'!F121='Avaliador 2'!F121,'Avaliador 1'!G121='Avaliador 2'!G121,'Avaliador 1'!H121='Avaliador 2'!H121,'Avaliador 1'!I121='Avaliador 2'!I121),"Não","Sim"))</f>
        <v/>
      </c>
      <c r="O121" s="14"/>
      <c r="P121" s="10" t="str">
        <f aca="false">IF(LEN(H121)=3,"Defeito encontrado",IF(I121="Sim","Falso alarme",IF(H121="—","Nenhum defeito apontado","")))</f>
        <v/>
      </c>
    </row>
    <row r="122" customFormat="false" ht="15" hidden="false" customHeight="false" outlineLevel="0" collapsed="false">
      <c r="A122" s="11" t="str">
        <f aca="false">Apontamentos!C122</f>
        <v/>
      </c>
      <c r="B122" s="11" t="str">
        <f aca="false">IF(Apontamentos!$C122="","",Apontamentos!A122&amp;"")</f>
        <v/>
      </c>
      <c r="C122" s="11" t="str">
        <f aca="false">IF(B122="","",IFERROR(INDEX(Execuções!$C$2:$C$97,MATCH(B122,Execuções!$A$2:$A$97,0)),"ID?"))</f>
        <v/>
      </c>
      <c r="D122" s="10" t="str">
        <f aca="false">IF(B122="","",IFERROR(INDEX(Execuções!$B$2:$B$97,MATCH(B122,Execuções!$A$2:$A$97,0)),"ID?"))</f>
        <v/>
      </c>
      <c r="E122" s="11" t="str">
        <f aca="false">IF(B122="","",Apontamentos!D122)</f>
        <v/>
      </c>
      <c r="F122" s="11" t="str">
        <f aca="false">IF(B122="","",Apontamentos!E122)</f>
        <v/>
      </c>
      <c r="G122" s="10" t="str">
        <f aca="false">IF(B122="","",Apontamentos!G122&amp;"")</f>
        <v/>
      </c>
      <c r="H122" s="14" t="str">
        <f aca="false">IF('Avaliador 1'!F122='Avaliador 2'!F122,'Avaliador 1'!F122&amp;"","")</f>
        <v/>
      </c>
      <c r="I122" s="14" t="str">
        <f aca="false">IF('Avaliador 1'!G122='Avaliador 2'!G122,'Avaliador 1'!G122&amp;"","")</f>
        <v/>
      </c>
      <c r="J122" s="14" t="str">
        <f aca="false">IF('Avaliador 1'!H122='Avaliador 2'!H122,'Avaliador 1'!H122&amp;"","")</f>
        <v/>
      </c>
      <c r="K122" s="14" t="str">
        <f aca="false">IF('Avaliador 1'!I122='Avaliador 2'!I122,'Avaliador 1'!I122&amp;"","")</f>
        <v/>
      </c>
      <c r="L122" s="13"/>
      <c r="M122" s="13" t="str">
        <f aca="false">IF('Avaliador 1'!J122='Avaliador 2'!J122,'Avaliador 1'!J122&amp;"","")</f>
        <v/>
      </c>
      <c r="N122" s="11" t="str">
        <f aca="false">IF(OR('Avaliador 1'!F122="",'Avaliador 2'!F122=""),"",IF(AND('Avaliador 1'!F122='Avaliador 2'!F122,'Avaliador 1'!G122='Avaliador 2'!G122,'Avaliador 1'!H122='Avaliador 2'!H122,'Avaliador 1'!I122='Avaliador 2'!I122),"Não","Sim"))</f>
        <v/>
      </c>
      <c r="O122" s="14"/>
      <c r="P122" s="10" t="str">
        <f aca="false">IF(LEN(H122)=3,"Defeito encontrado",IF(I122="Sim","Falso alarme",IF(H122="—","Nenhum defeito apontado","")))</f>
        <v/>
      </c>
    </row>
    <row r="123" customFormat="false" ht="15" hidden="false" customHeight="false" outlineLevel="0" collapsed="false">
      <c r="A123" s="11" t="str">
        <f aca="false">Apontamentos!C123</f>
        <v/>
      </c>
      <c r="B123" s="11" t="str">
        <f aca="false">IF(Apontamentos!$C123="","",Apontamentos!A123&amp;"")</f>
        <v/>
      </c>
      <c r="C123" s="11" t="str">
        <f aca="false">IF(B123="","",IFERROR(INDEX(Execuções!$C$2:$C$97,MATCH(B123,Execuções!$A$2:$A$97,0)),"ID?"))</f>
        <v/>
      </c>
      <c r="D123" s="10" t="str">
        <f aca="false">IF(B123="","",IFERROR(INDEX(Execuções!$B$2:$B$97,MATCH(B123,Execuções!$A$2:$A$97,0)),"ID?"))</f>
        <v/>
      </c>
      <c r="E123" s="11" t="str">
        <f aca="false">IF(B123="","",Apontamentos!D123)</f>
        <v/>
      </c>
      <c r="F123" s="11" t="str">
        <f aca="false">IF(B123="","",Apontamentos!E123)</f>
        <v/>
      </c>
      <c r="G123" s="10" t="str">
        <f aca="false">IF(B123="","",Apontamentos!G123&amp;"")</f>
        <v/>
      </c>
      <c r="H123" s="14" t="str">
        <f aca="false">IF('Avaliador 1'!F123='Avaliador 2'!F123,'Avaliador 1'!F123&amp;"","")</f>
        <v/>
      </c>
      <c r="I123" s="14" t="str">
        <f aca="false">IF('Avaliador 1'!G123='Avaliador 2'!G123,'Avaliador 1'!G123&amp;"","")</f>
        <v/>
      </c>
      <c r="J123" s="14" t="str">
        <f aca="false">IF('Avaliador 1'!H123='Avaliador 2'!H123,'Avaliador 1'!H123&amp;"","")</f>
        <v/>
      </c>
      <c r="K123" s="14" t="str">
        <f aca="false">IF('Avaliador 1'!I123='Avaliador 2'!I123,'Avaliador 1'!I123&amp;"","")</f>
        <v/>
      </c>
      <c r="L123" s="13"/>
      <c r="M123" s="13" t="str">
        <f aca="false">IF('Avaliador 1'!J123='Avaliador 2'!J123,'Avaliador 1'!J123&amp;"","")</f>
        <v/>
      </c>
      <c r="N123" s="11" t="str">
        <f aca="false">IF(OR('Avaliador 1'!F123="",'Avaliador 2'!F123=""),"",IF(AND('Avaliador 1'!F123='Avaliador 2'!F123,'Avaliador 1'!G123='Avaliador 2'!G123,'Avaliador 1'!H123='Avaliador 2'!H123,'Avaliador 1'!I123='Avaliador 2'!I123),"Não","Sim"))</f>
        <v/>
      </c>
      <c r="O123" s="14"/>
      <c r="P123" s="10" t="str">
        <f aca="false">IF(LEN(H123)=3,"Defeito encontrado",IF(I123="Sim","Falso alarme",IF(H123="—","Nenhum defeito apontado","")))</f>
        <v/>
      </c>
    </row>
    <row r="124" customFormat="false" ht="15" hidden="false" customHeight="false" outlineLevel="0" collapsed="false">
      <c r="A124" s="11" t="str">
        <f aca="false">Apontamentos!C124</f>
        <v/>
      </c>
      <c r="B124" s="11" t="str">
        <f aca="false">IF(Apontamentos!$C124="","",Apontamentos!A124&amp;"")</f>
        <v/>
      </c>
      <c r="C124" s="11" t="str">
        <f aca="false">IF(B124="","",IFERROR(INDEX(Execuções!$C$2:$C$97,MATCH(B124,Execuções!$A$2:$A$97,0)),"ID?"))</f>
        <v/>
      </c>
      <c r="D124" s="10" t="str">
        <f aca="false">IF(B124="","",IFERROR(INDEX(Execuções!$B$2:$B$97,MATCH(B124,Execuções!$A$2:$A$97,0)),"ID?"))</f>
        <v/>
      </c>
      <c r="E124" s="11" t="str">
        <f aca="false">IF(B124="","",Apontamentos!D124)</f>
        <v/>
      </c>
      <c r="F124" s="11" t="str">
        <f aca="false">IF(B124="","",Apontamentos!E124)</f>
        <v/>
      </c>
      <c r="G124" s="10" t="str">
        <f aca="false">IF(B124="","",Apontamentos!G124&amp;"")</f>
        <v/>
      </c>
      <c r="H124" s="14" t="str">
        <f aca="false">IF('Avaliador 1'!F124='Avaliador 2'!F124,'Avaliador 1'!F124&amp;"","")</f>
        <v/>
      </c>
      <c r="I124" s="14" t="str">
        <f aca="false">IF('Avaliador 1'!G124='Avaliador 2'!G124,'Avaliador 1'!G124&amp;"","")</f>
        <v/>
      </c>
      <c r="J124" s="14" t="str">
        <f aca="false">IF('Avaliador 1'!H124='Avaliador 2'!H124,'Avaliador 1'!H124&amp;"","")</f>
        <v/>
      </c>
      <c r="K124" s="14" t="str">
        <f aca="false">IF('Avaliador 1'!I124='Avaliador 2'!I124,'Avaliador 1'!I124&amp;"","")</f>
        <v/>
      </c>
      <c r="L124" s="13"/>
      <c r="M124" s="13" t="str">
        <f aca="false">IF('Avaliador 1'!J124='Avaliador 2'!J124,'Avaliador 1'!J124&amp;"","")</f>
        <v/>
      </c>
      <c r="N124" s="11" t="str">
        <f aca="false">IF(OR('Avaliador 1'!F124="",'Avaliador 2'!F124=""),"",IF(AND('Avaliador 1'!F124='Avaliador 2'!F124,'Avaliador 1'!G124='Avaliador 2'!G124,'Avaliador 1'!H124='Avaliador 2'!H124,'Avaliador 1'!I124='Avaliador 2'!I124),"Não","Sim"))</f>
        <v/>
      </c>
      <c r="O124" s="14"/>
      <c r="P124" s="10" t="str">
        <f aca="false">IF(LEN(H124)=3,"Defeito encontrado",IF(I124="Sim","Falso alarme",IF(H124="—","Nenhum defeito apontado","")))</f>
        <v/>
      </c>
    </row>
    <row r="125" customFormat="false" ht="15" hidden="false" customHeight="false" outlineLevel="0" collapsed="false">
      <c r="A125" s="11" t="str">
        <f aca="false">Apontamentos!C125</f>
        <v/>
      </c>
      <c r="B125" s="11" t="str">
        <f aca="false">IF(Apontamentos!$C125="","",Apontamentos!A125&amp;"")</f>
        <v/>
      </c>
      <c r="C125" s="11" t="str">
        <f aca="false">IF(B125="","",IFERROR(INDEX(Execuções!$C$2:$C$97,MATCH(B125,Execuções!$A$2:$A$97,0)),"ID?"))</f>
        <v/>
      </c>
      <c r="D125" s="10" t="str">
        <f aca="false">IF(B125="","",IFERROR(INDEX(Execuções!$B$2:$B$97,MATCH(B125,Execuções!$A$2:$A$97,0)),"ID?"))</f>
        <v/>
      </c>
      <c r="E125" s="11" t="str">
        <f aca="false">IF(B125="","",Apontamentos!D125)</f>
        <v/>
      </c>
      <c r="F125" s="11" t="str">
        <f aca="false">IF(B125="","",Apontamentos!E125)</f>
        <v/>
      </c>
      <c r="G125" s="10" t="str">
        <f aca="false">IF(B125="","",Apontamentos!G125&amp;"")</f>
        <v/>
      </c>
      <c r="H125" s="14" t="str">
        <f aca="false">IF('Avaliador 1'!F125='Avaliador 2'!F125,'Avaliador 1'!F125&amp;"","")</f>
        <v/>
      </c>
      <c r="I125" s="14" t="str">
        <f aca="false">IF('Avaliador 1'!G125='Avaliador 2'!G125,'Avaliador 1'!G125&amp;"","")</f>
        <v/>
      </c>
      <c r="J125" s="14" t="str">
        <f aca="false">IF('Avaliador 1'!H125='Avaliador 2'!H125,'Avaliador 1'!H125&amp;"","")</f>
        <v/>
      </c>
      <c r="K125" s="14" t="str">
        <f aca="false">IF('Avaliador 1'!I125='Avaliador 2'!I125,'Avaliador 1'!I125&amp;"","")</f>
        <v/>
      </c>
      <c r="L125" s="13"/>
      <c r="M125" s="13" t="str">
        <f aca="false">IF('Avaliador 1'!J125='Avaliador 2'!J125,'Avaliador 1'!J125&amp;"","")</f>
        <v/>
      </c>
      <c r="N125" s="11" t="str">
        <f aca="false">IF(OR('Avaliador 1'!F125="",'Avaliador 2'!F125=""),"",IF(AND('Avaliador 1'!F125='Avaliador 2'!F125,'Avaliador 1'!G125='Avaliador 2'!G125,'Avaliador 1'!H125='Avaliador 2'!H125,'Avaliador 1'!I125='Avaliador 2'!I125),"Não","Sim"))</f>
        <v/>
      </c>
      <c r="O125" s="14"/>
      <c r="P125" s="10" t="str">
        <f aca="false">IF(LEN(H125)=3,"Defeito encontrado",IF(I125="Sim","Falso alarme",IF(H125="—","Nenhum defeito apontado","")))</f>
        <v/>
      </c>
    </row>
    <row r="126" customFormat="false" ht="15" hidden="false" customHeight="false" outlineLevel="0" collapsed="false">
      <c r="A126" s="11" t="str">
        <f aca="false">Apontamentos!C126</f>
        <v/>
      </c>
      <c r="B126" s="11" t="str">
        <f aca="false">IF(Apontamentos!$C126="","",Apontamentos!A126&amp;"")</f>
        <v/>
      </c>
      <c r="C126" s="11" t="str">
        <f aca="false">IF(B126="","",IFERROR(INDEX(Execuções!$C$2:$C$97,MATCH(B126,Execuções!$A$2:$A$97,0)),"ID?"))</f>
        <v/>
      </c>
      <c r="D126" s="10" t="str">
        <f aca="false">IF(B126="","",IFERROR(INDEX(Execuções!$B$2:$B$97,MATCH(B126,Execuções!$A$2:$A$97,0)),"ID?"))</f>
        <v/>
      </c>
      <c r="E126" s="11" t="str">
        <f aca="false">IF(B126="","",Apontamentos!D126)</f>
        <v/>
      </c>
      <c r="F126" s="11" t="str">
        <f aca="false">IF(B126="","",Apontamentos!E126)</f>
        <v/>
      </c>
      <c r="G126" s="10" t="str">
        <f aca="false">IF(B126="","",Apontamentos!G126&amp;"")</f>
        <v/>
      </c>
      <c r="H126" s="14" t="str">
        <f aca="false">IF('Avaliador 1'!F126='Avaliador 2'!F126,'Avaliador 1'!F126&amp;"","")</f>
        <v/>
      </c>
      <c r="I126" s="14" t="str">
        <f aca="false">IF('Avaliador 1'!G126='Avaliador 2'!G126,'Avaliador 1'!G126&amp;"","")</f>
        <v/>
      </c>
      <c r="J126" s="14" t="str">
        <f aca="false">IF('Avaliador 1'!H126='Avaliador 2'!H126,'Avaliador 1'!H126&amp;"","")</f>
        <v/>
      </c>
      <c r="K126" s="14" t="str">
        <f aca="false">IF('Avaliador 1'!I126='Avaliador 2'!I126,'Avaliador 1'!I126&amp;"","")</f>
        <v/>
      </c>
      <c r="L126" s="13"/>
      <c r="M126" s="13" t="str">
        <f aca="false">IF('Avaliador 1'!J126='Avaliador 2'!J126,'Avaliador 1'!J126&amp;"","")</f>
        <v/>
      </c>
      <c r="N126" s="11" t="str">
        <f aca="false">IF(OR('Avaliador 1'!F126="",'Avaliador 2'!F126=""),"",IF(AND('Avaliador 1'!F126='Avaliador 2'!F126,'Avaliador 1'!G126='Avaliador 2'!G126,'Avaliador 1'!H126='Avaliador 2'!H126,'Avaliador 1'!I126='Avaliador 2'!I126),"Não","Sim"))</f>
        <v/>
      </c>
      <c r="O126" s="14"/>
      <c r="P126" s="10" t="str">
        <f aca="false">IF(LEN(H126)=3,"Defeito encontrado",IF(I126="Sim","Falso alarme",IF(H126="—","Nenhum defeito apontado","")))</f>
        <v/>
      </c>
    </row>
    <row r="127" customFormat="false" ht="15" hidden="false" customHeight="false" outlineLevel="0" collapsed="false">
      <c r="A127" s="11" t="str">
        <f aca="false">Apontamentos!C127</f>
        <v/>
      </c>
      <c r="B127" s="11" t="str">
        <f aca="false">IF(Apontamentos!$C127="","",Apontamentos!A127&amp;"")</f>
        <v/>
      </c>
      <c r="C127" s="11" t="str">
        <f aca="false">IF(B127="","",IFERROR(INDEX(Execuções!$C$2:$C$97,MATCH(B127,Execuções!$A$2:$A$97,0)),"ID?"))</f>
        <v/>
      </c>
      <c r="D127" s="10" t="str">
        <f aca="false">IF(B127="","",IFERROR(INDEX(Execuções!$B$2:$B$97,MATCH(B127,Execuções!$A$2:$A$97,0)),"ID?"))</f>
        <v/>
      </c>
      <c r="E127" s="11" t="str">
        <f aca="false">IF(B127="","",Apontamentos!D127)</f>
        <v/>
      </c>
      <c r="F127" s="11" t="str">
        <f aca="false">IF(B127="","",Apontamentos!E127)</f>
        <v/>
      </c>
      <c r="G127" s="10" t="str">
        <f aca="false">IF(B127="","",Apontamentos!G127&amp;"")</f>
        <v/>
      </c>
      <c r="H127" s="14" t="str">
        <f aca="false">IF('Avaliador 1'!F127='Avaliador 2'!F127,'Avaliador 1'!F127&amp;"","")</f>
        <v/>
      </c>
      <c r="I127" s="14" t="str">
        <f aca="false">IF('Avaliador 1'!G127='Avaliador 2'!G127,'Avaliador 1'!G127&amp;"","")</f>
        <v/>
      </c>
      <c r="J127" s="14" t="str">
        <f aca="false">IF('Avaliador 1'!H127='Avaliador 2'!H127,'Avaliador 1'!H127&amp;"","")</f>
        <v/>
      </c>
      <c r="K127" s="14" t="str">
        <f aca="false">IF('Avaliador 1'!I127='Avaliador 2'!I127,'Avaliador 1'!I127&amp;"","")</f>
        <v/>
      </c>
      <c r="L127" s="13"/>
      <c r="M127" s="13" t="str">
        <f aca="false">IF('Avaliador 1'!J127='Avaliador 2'!J127,'Avaliador 1'!J127&amp;"","")</f>
        <v/>
      </c>
      <c r="N127" s="11" t="str">
        <f aca="false">IF(OR('Avaliador 1'!F127="",'Avaliador 2'!F127=""),"",IF(AND('Avaliador 1'!F127='Avaliador 2'!F127,'Avaliador 1'!G127='Avaliador 2'!G127,'Avaliador 1'!H127='Avaliador 2'!H127,'Avaliador 1'!I127='Avaliador 2'!I127),"Não","Sim"))</f>
        <v/>
      </c>
      <c r="O127" s="14"/>
      <c r="P127" s="10" t="str">
        <f aca="false">IF(LEN(H127)=3,"Defeito encontrado",IF(I127="Sim","Falso alarme",IF(H127="—","Nenhum defeito apontado","")))</f>
        <v/>
      </c>
    </row>
    <row r="128" customFormat="false" ht="15" hidden="false" customHeight="false" outlineLevel="0" collapsed="false">
      <c r="A128" s="11" t="str">
        <f aca="false">Apontamentos!C128</f>
        <v/>
      </c>
      <c r="B128" s="11" t="str">
        <f aca="false">IF(Apontamentos!$C128="","",Apontamentos!A128&amp;"")</f>
        <v/>
      </c>
      <c r="C128" s="11" t="str">
        <f aca="false">IF(B128="","",IFERROR(INDEX(Execuções!$C$2:$C$97,MATCH(B128,Execuções!$A$2:$A$97,0)),"ID?"))</f>
        <v/>
      </c>
      <c r="D128" s="10" t="str">
        <f aca="false">IF(B128="","",IFERROR(INDEX(Execuções!$B$2:$B$97,MATCH(B128,Execuções!$A$2:$A$97,0)),"ID?"))</f>
        <v/>
      </c>
      <c r="E128" s="11" t="str">
        <f aca="false">IF(B128="","",Apontamentos!D128)</f>
        <v/>
      </c>
      <c r="F128" s="11" t="str">
        <f aca="false">IF(B128="","",Apontamentos!E128)</f>
        <v/>
      </c>
      <c r="G128" s="10" t="str">
        <f aca="false">IF(B128="","",Apontamentos!G128&amp;"")</f>
        <v/>
      </c>
      <c r="H128" s="14" t="str">
        <f aca="false">IF('Avaliador 1'!F128='Avaliador 2'!F128,'Avaliador 1'!F128&amp;"","")</f>
        <v/>
      </c>
      <c r="I128" s="14" t="str">
        <f aca="false">IF('Avaliador 1'!G128='Avaliador 2'!G128,'Avaliador 1'!G128&amp;"","")</f>
        <v/>
      </c>
      <c r="J128" s="14" t="str">
        <f aca="false">IF('Avaliador 1'!H128='Avaliador 2'!H128,'Avaliador 1'!H128&amp;"","")</f>
        <v/>
      </c>
      <c r="K128" s="14" t="str">
        <f aca="false">IF('Avaliador 1'!I128='Avaliador 2'!I128,'Avaliador 1'!I128&amp;"","")</f>
        <v/>
      </c>
      <c r="L128" s="13"/>
      <c r="M128" s="13" t="str">
        <f aca="false">IF('Avaliador 1'!J128='Avaliador 2'!J128,'Avaliador 1'!J128&amp;"","")</f>
        <v/>
      </c>
      <c r="N128" s="11" t="str">
        <f aca="false">IF(OR('Avaliador 1'!F128="",'Avaliador 2'!F128=""),"",IF(AND('Avaliador 1'!F128='Avaliador 2'!F128,'Avaliador 1'!G128='Avaliador 2'!G128,'Avaliador 1'!H128='Avaliador 2'!H128,'Avaliador 1'!I128='Avaliador 2'!I128),"Não","Sim"))</f>
        <v/>
      </c>
      <c r="O128" s="14"/>
      <c r="P128" s="10" t="str">
        <f aca="false">IF(LEN(H128)=3,"Defeito encontrado",IF(I128="Sim","Falso alarme",IF(H128="—","Nenhum defeito apontado","")))</f>
        <v/>
      </c>
    </row>
    <row r="129" customFormat="false" ht="15" hidden="false" customHeight="false" outlineLevel="0" collapsed="false">
      <c r="A129" s="11" t="str">
        <f aca="false">Apontamentos!C129</f>
        <v/>
      </c>
      <c r="B129" s="11" t="str">
        <f aca="false">IF(Apontamentos!$C129="","",Apontamentos!A129&amp;"")</f>
        <v/>
      </c>
      <c r="C129" s="11" t="str">
        <f aca="false">IF(B129="","",IFERROR(INDEX(Execuções!$C$2:$C$97,MATCH(B129,Execuções!$A$2:$A$97,0)),"ID?"))</f>
        <v/>
      </c>
      <c r="D129" s="10" t="str">
        <f aca="false">IF(B129="","",IFERROR(INDEX(Execuções!$B$2:$B$97,MATCH(B129,Execuções!$A$2:$A$97,0)),"ID?"))</f>
        <v/>
      </c>
      <c r="E129" s="11" t="str">
        <f aca="false">IF(B129="","",Apontamentos!D129)</f>
        <v/>
      </c>
      <c r="F129" s="11" t="str">
        <f aca="false">IF(B129="","",Apontamentos!E129)</f>
        <v/>
      </c>
      <c r="G129" s="10" t="str">
        <f aca="false">IF(B129="","",Apontamentos!G129&amp;"")</f>
        <v/>
      </c>
      <c r="H129" s="14" t="str">
        <f aca="false">IF('Avaliador 1'!F129='Avaliador 2'!F129,'Avaliador 1'!F129&amp;"","")</f>
        <v/>
      </c>
      <c r="I129" s="14" t="str">
        <f aca="false">IF('Avaliador 1'!G129='Avaliador 2'!G129,'Avaliador 1'!G129&amp;"","")</f>
        <v/>
      </c>
      <c r="J129" s="14" t="str">
        <f aca="false">IF('Avaliador 1'!H129='Avaliador 2'!H129,'Avaliador 1'!H129&amp;"","")</f>
        <v/>
      </c>
      <c r="K129" s="14" t="str">
        <f aca="false">IF('Avaliador 1'!I129='Avaliador 2'!I129,'Avaliador 1'!I129&amp;"","")</f>
        <v/>
      </c>
      <c r="L129" s="13"/>
      <c r="M129" s="13" t="str">
        <f aca="false">IF('Avaliador 1'!J129='Avaliador 2'!J129,'Avaliador 1'!J129&amp;"","")</f>
        <v/>
      </c>
      <c r="N129" s="11" t="str">
        <f aca="false">IF(OR('Avaliador 1'!F129="",'Avaliador 2'!F129=""),"",IF(AND('Avaliador 1'!F129='Avaliador 2'!F129,'Avaliador 1'!G129='Avaliador 2'!G129,'Avaliador 1'!H129='Avaliador 2'!H129,'Avaliador 1'!I129='Avaliador 2'!I129),"Não","Sim"))</f>
        <v/>
      </c>
      <c r="O129" s="14"/>
      <c r="P129" s="10" t="str">
        <f aca="false">IF(LEN(H129)=3,"Defeito encontrado",IF(I129="Sim","Falso alarme",IF(H129="—","Nenhum defeito apontado","")))</f>
        <v/>
      </c>
    </row>
    <row r="130" customFormat="false" ht="15" hidden="false" customHeight="false" outlineLevel="0" collapsed="false">
      <c r="A130" s="11" t="str">
        <f aca="false">Apontamentos!C130</f>
        <v/>
      </c>
      <c r="B130" s="11" t="str">
        <f aca="false">IF(Apontamentos!$C130="","",Apontamentos!A130&amp;"")</f>
        <v/>
      </c>
      <c r="C130" s="11" t="str">
        <f aca="false">IF(B130="","",IFERROR(INDEX(Execuções!$C$2:$C$97,MATCH(B130,Execuções!$A$2:$A$97,0)),"ID?"))</f>
        <v/>
      </c>
      <c r="D130" s="10" t="str">
        <f aca="false">IF(B130="","",IFERROR(INDEX(Execuções!$B$2:$B$97,MATCH(B130,Execuções!$A$2:$A$97,0)),"ID?"))</f>
        <v/>
      </c>
      <c r="E130" s="11" t="str">
        <f aca="false">IF(B130="","",Apontamentos!D130)</f>
        <v/>
      </c>
      <c r="F130" s="11" t="str">
        <f aca="false">IF(B130="","",Apontamentos!E130)</f>
        <v/>
      </c>
      <c r="G130" s="10" t="str">
        <f aca="false">IF(B130="","",Apontamentos!G130&amp;"")</f>
        <v/>
      </c>
      <c r="H130" s="14" t="str">
        <f aca="false">IF('Avaliador 1'!F130='Avaliador 2'!F130,'Avaliador 1'!F130&amp;"","")</f>
        <v/>
      </c>
      <c r="I130" s="14" t="str">
        <f aca="false">IF('Avaliador 1'!G130='Avaliador 2'!G130,'Avaliador 1'!G130&amp;"","")</f>
        <v/>
      </c>
      <c r="J130" s="14" t="str">
        <f aca="false">IF('Avaliador 1'!H130='Avaliador 2'!H130,'Avaliador 1'!H130&amp;"","")</f>
        <v/>
      </c>
      <c r="K130" s="14" t="str">
        <f aca="false">IF('Avaliador 1'!I130='Avaliador 2'!I130,'Avaliador 1'!I130&amp;"","")</f>
        <v/>
      </c>
      <c r="L130" s="13"/>
      <c r="M130" s="13" t="str">
        <f aca="false">IF('Avaliador 1'!J130='Avaliador 2'!J130,'Avaliador 1'!J130&amp;"","")</f>
        <v/>
      </c>
      <c r="N130" s="11" t="str">
        <f aca="false">IF(OR('Avaliador 1'!F130="",'Avaliador 2'!F130=""),"",IF(AND('Avaliador 1'!F130='Avaliador 2'!F130,'Avaliador 1'!G130='Avaliador 2'!G130,'Avaliador 1'!H130='Avaliador 2'!H130,'Avaliador 1'!I130='Avaliador 2'!I130),"Não","Sim"))</f>
        <v/>
      </c>
      <c r="O130" s="14"/>
      <c r="P130" s="10" t="str">
        <f aca="false">IF(LEN(H130)=3,"Defeito encontrado",IF(I130="Sim","Falso alarme",IF(H130="—","Nenhum defeito apontado","")))</f>
        <v/>
      </c>
    </row>
    <row r="131" customFormat="false" ht="15" hidden="false" customHeight="false" outlineLevel="0" collapsed="false">
      <c r="A131" s="11" t="str">
        <f aca="false">Apontamentos!C131</f>
        <v/>
      </c>
      <c r="B131" s="11" t="str">
        <f aca="false">IF(Apontamentos!$C131="","",Apontamentos!A131&amp;"")</f>
        <v/>
      </c>
      <c r="C131" s="11" t="str">
        <f aca="false">IF(B131="","",IFERROR(INDEX(Execuções!$C$2:$C$97,MATCH(B131,Execuções!$A$2:$A$97,0)),"ID?"))</f>
        <v/>
      </c>
      <c r="D131" s="10" t="str">
        <f aca="false">IF(B131="","",IFERROR(INDEX(Execuções!$B$2:$B$97,MATCH(B131,Execuções!$A$2:$A$97,0)),"ID?"))</f>
        <v/>
      </c>
      <c r="E131" s="11" t="str">
        <f aca="false">IF(B131="","",Apontamentos!D131)</f>
        <v/>
      </c>
      <c r="F131" s="11" t="str">
        <f aca="false">IF(B131="","",Apontamentos!E131)</f>
        <v/>
      </c>
      <c r="G131" s="10" t="str">
        <f aca="false">IF(B131="","",Apontamentos!G131&amp;"")</f>
        <v/>
      </c>
      <c r="H131" s="14" t="str">
        <f aca="false">IF('Avaliador 1'!F131='Avaliador 2'!F131,'Avaliador 1'!F131&amp;"","")</f>
        <v/>
      </c>
      <c r="I131" s="14" t="str">
        <f aca="false">IF('Avaliador 1'!G131='Avaliador 2'!G131,'Avaliador 1'!G131&amp;"","")</f>
        <v/>
      </c>
      <c r="J131" s="14" t="str">
        <f aca="false">IF('Avaliador 1'!H131='Avaliador 2'!H131,'Avaliador 1'!H131&amp;"","")</f>
        <v/>
      </c>
      <c r="K131" s="14" t="str">
        <f aca="false">IF('Avaliador 1'!I131='Avaliador 2'!I131,'Avaliador 1'!I131&amp;"","")</f>
        <v/>
      </c>
      <c r="L131" s="13"/>
      <c r="M131" s="13" t="str">
        <f aca="false">IF('Avaliador 1'!J131='Avaliador 2'!J131,'Avaliador 1'!J131&amp;"","")</f>
        <v/>
      </c>
      <c r="N131" s="11" t="str">
        <f aca="false">IF(OR('Avaliador 1'!F131="",'Avaliador 2'!F131=""),"",IF(AND('Avaliador 1'!F131='Avaliador 2'!F131,'Avaliador 1'!G131='Avaliador 2'!G131,'Avaliador 1'!H131='Avaliador 2'!H131,'Avaliador 1'!I131='Avaliador 2'!I131),"Não","Sim"))</f>
        <v/>
      </c>
      <c r="O131" s="14"/>
      <c r="P131" s="10" t="str">
        <f aca="false">IF(LEN(H131)=3,"Defeito encontrado",IF(I131="Sim","Falso alarme",IF(H131="—","Nenhum defeito apontado","")))</f>
        <v/>
      </c>
    </row>
    <row r="132" customFormat="false" ht="15" hidden="false" customHeight="false" outlineLevel="0" collapsed="false">
      <c r="A132" s="11" t="str">
        <f aca="false">Apontamentos!C132</f>
        <v/>
      </c>
      <c r="B132" s="11" t="str">
        <f aca="false">IF(Apontamentos!$C132="","",Apontamentos!A132&amp;"")</f>
        <v/>
      </c>
      <c r="C132" s="11" t="str">
        <f aca="false">IF(B132="","",IFERROR(INDEX(Execuções!$C$2:$C$97,MATCH(B132,Execuções!$A$2:$A$97,0)),"ID?"))</f>
        <v/>
      </c>
      <c r="D132" s="10" t="str">
        <f aca="false">IF(B132="","",IFERROR(INDEX(Execuções!$B$2:$B$97,MATCH(B132,Execuções!$A$2:$A$97,0)),"ID?"))</f>
        <v/>
      </c>
      <c r="E132" s="11" t="str">
        <f aca="false">IF(B132="","",Apontamentos!D132)</f>
        <v/>
      </c>
      <c r="F132" s="11" t="str">
        <f aca="false">IF(B132="","",Apontamentos!E132)</f>
        <v/>
      </c>
      <c r="G132" s="10" t="str">
        <f aca="false">IF(B132="","",Apontamentos!G132&amp;"")</f>
        <v/>
      </c>
      <c r="H132" s="14" t="str">
        <f aca="false">IF('Avaliador 1'!F132='Avaliador 2'!F132,'Avaliador 1'!F132&amp;"","")</f>
        <v/>
      </c>
      <c r="I132" s="14" t="str">
        <f aca="false">IF('Avaliador 1'!G132='Avaliador 2'!G132,'Avaliador 1'!G132&amp;"","")</f>
        <v/>
      </c>
      <c r="J132" s="14" t="str">
        <f aca="false">IF('Avaliador 1'!H132='Avaliador 2'!H132,'Avaliador 1'!H132&amp;"","")</f>
        <v/>
      </c>
      <c r="K132" s="14" t="str">
        <f aca="false">IF('Avaliador 1'!I132='Avaliador 2'!I132,'Avaliador 1'!I132&amp;"","")</f>
        <v/>
      </c>
      <c r="L132" s="13"/>
      <c r="M132" s="13" t="str">
        <f aca="false">IF('Avaliador 1'!J132='Avaliador 2'!J132,'Avaliador 1'!J132&amp;"","")</f>
        <v/>
      </c>
      <c r="N132" s="11" t="str">
        <f aca="false">IF(OR('Avaliador 1'!F132="",'Avaliador 2'!F132=""),"",IF(AND('Avaliador 1'!F132='Avaliador 2'!F132,'Avaliador 1'!G132='Avaliador 2'!G132,'Avaliador 1'!H132='Avaliador 2'!H132,'Avaliador 1'!I132='Avaliador 2'!I132),"Não","Sim"))</f>
        <v/>
      </c>
      <c r="O132" s="14"/>
      <c r="P132" s="10" t="str">
        <f aca="false">IF(LEN(H132)=3,"Defeito encontrado",IF(I132="Sim","Falso alarme",IF(H132="—","Nenhum defeito apontado","")))</f>
        <v/>
      </c>
    </row>
    <row r="133" customFormat="false" ht="15" hidden="false" customHeight="false" outlineLevel="0" collapsed="false">
      <c r="A133" s="11" t="str">
        <f aca="false">Apontamentos!C133</f>
        <v/>
      </c>
      <c r="B133" s="11" t="str">
        <f aca="false">IF(Apontamentos!$C133="","",Apontamentos!A133&amp;"")</f>
        <v/>
      </c>
      <c r="C133" s="11" t="str">
        <f aca="false">IF(B133="","",IFERROR(INDEX(Execuções!$C$2:$C$97,MATCH(B133,Execuções!$A$2:$A$97,0)),"ID?"))</f>
        <v/>
      </c>
      <c r="D133" s="10" t="str">
        <f aca="false">IF(B133="","",IFERROR(INDEX(Execuções!$B$2:$B$97,MATCH(B133,Execuções!$A$2:$A$97,0)),"ID?"))</f>
        <v/>
      </c>
      <c r="E133" s="11" t="str">
        <f aca="false">IF(B133="","",Apontamentos!D133)</f>
        <v/>
      </c>
      <c r="F133" s="11" t="str">
        <f aca="false">IF(B133="","",Apontamentos!E133)</f>
        <v/>
      </c>
      <c r="G133" s="10" t="str">
        <f aca="false">IF(B133="","",Apontamentos!G133&amp;"")</f>
        <v/>
      </c>
      <c r="H133" s="14" t="str">
        <f aca="false">IF('Avaliador 1'!F133='Avaliador 2'!F133,'Avaliador 1'!F133&amp;"","")</f>
        <v/>
      </c>
      <c r="I133" s="14" t="str">
        <f aca="false">IF('Avaliador 1'!G133='Avaliador 2'!G133,'Avaliador 1'!G133&amp;"","")</f>
        <v/>
      </c>
      <c r="J133" s="14" t="str">
        <f aca="false">IF('Avaliador 1'!H133='Avaliador 2'!H133,'Avaliador 1'!H133&amp;"","")</f>
        <v/>
      </c>
      <c r="K133" s="14" t="str">
        <f aca="false">IF('Avaliador 1'!I133='Avaliador 2'!I133,'Avaliador 1'!I133&amp;"","")</f>
        <v/>
      </c>
      <c r="L133" s="13"/>
      <c r="M133" s="13" t="str">
        <f aca="false">IF('Avaliador 1'!J133='Avaliador 2'!J133,'Avaliador 1'!J133&amp;"","")</f>
        <v/>
      </c>
      <c r="N133" s="11" t="str">
        <f aca="false">IF(OR('Avaliador 1'!F133="",'Avaliador 2'!F133=""),"",IF(AND('Avaliador 1'!F133='Avaliador 2'!F133,'Avaliador 1'!G133='Avaliador 2'!G133,'Avaliador 1'!H133='Avaliador 2'!H133,'Avaliador 1'!I133='Avaliador 2'!I133),"Não","Sim"))</f>
        <v/>
      </c>
      <c r="O133" s="14"/>
      <c r="P133" s="10" t="str">
        <f aca="false">IF(LEN(H133)=3,"Defeito encontrado",IF(I133="Sim","Falso alarme",IF(H133="—","Nenhum defeito apontado","")))</f>
        <v/>
      </c>
    </row>
    <row r="134" customFormat="false" ht="15" hidden="false" customHeight="false" outlineLevel="0" collapsed="false">
      <c r="A134" s="11" t="str">
        <f aca="false">Apontamentos!C134</f>
        <v/>
      </c>
      <c r="B134" s="11" t="str">
        <f aca="false">IF(Apontamentos!$C134="","",Apontamentos!A134&amp;"")</f>
        <v/>
      </c>
      <c r="C134" s="11" t="str">
        <f aca="false">IF(B134="","",IFERROR(INDEX(Execuções!$C$2:$C$97,MATCH(B134,Execuções!$A$2:$A$97,0)),"ID?"))</f>
        <v/>
      </c>
      <c r="D134" s="10" t="str">
        <f aca="false">IF(B134="","",IFERROR(INDEX(Execuções!$B$2:$B$97,MATCH(B134,Execuções!$A$2:$A$97,0)),"ID?"))</f>
        <v/>
      </c>
      <c r="E134" s="11" t="str">
        <f aca="false">IF(B134="","",Apontamentos!D134)</f>
        <v/>
      </c>
      <c r="F134" s="11" t="str">
        <f aca="false">IF(B134="","",Apontamentos!E134)</f>
        <v/>
      </c>
      <c r="G134" s="10" t="str">
        <f aca="false">IF(B134="","",Apontamentos!G134&amp;"")</f>
        <v/>
      </c>
      <c r="H134" s="14" t="str">
        <f aca="false">IF('Avaliador 1'!F134='Avaliador 2'!F134,'Avaliador 1'!F134&amp;"","")</f>
        <v/>
      </c>
      <c r="I134" s="14" t="str">
        <f aca="false">IF('Avaliador 1'!G134='Avaliador 2'!G134,'Avaliador 1'!G134&amp;"","")</f>
        <v/>
      </c>
      <c r="J134" s="14" t="str">
        <f aca="false">IF('Avaliador 1'!H134='Avaliador 2'!H134,'Avaliador 1'!H134&amp;"","")</f>
        <v/>
      </c>
      <c r="K134" s="14" t="str">
        <f aca="false">IF('Avaliador 1'!I134='Avaliador 2'!I134,'Avaliador 1'!I134&amp;"","")</f>
        <v/>
      </c>
      <c r="L134" s="13"/>
      <c r="M134" s="13" t="str">
        <f aca="false">IF('Avaliador 1'!J134='Avaliador 2'!J134,'Avaliador 1'!J134&amp;"","")</f>
        <v/>
      </c>
      <c r="N134" s="11" t="str">
        <f aca="false">IF(OR('Avaliador 1'!F134="",'Avaliador 2'!F134=""),"",IF(AND('Avaliador 1'!F134='Avaliador 2'!F134,'Avaliador 1'!G134='Avaliador 2'!G134,'Avaliador 1'!H134='Avaliador 2'!H134,'Avaliador 1'!I134='Avaliador 2'!I134),"Não","Sim"))</f>
        <v/>
      </c>
      <c r="O134" s="14"/>
      <c r="P134" s="10" t="str">
        <f aca="false">IF(LEN(H134)=3,"Defeito encontrado",IF(I134="Sim","Falso alarme",IF(H134="—","Nenhum defeito apontado","")))</f>
        <v/>
      </c>
    </row>
    <row r="135" customFormat="false" ht="15" hidden="false" customHeight="false" outlineLevel="0" collapsed="false">
      <c r="A135" s="11" t="str">
        <f aca="false">Apontamentos!C135</f>
        <v/>
      </c>
      <c r="B135" s="11" t="str">
        <f aca="false">IF(Apontamentos!$C135="","",Apontamentos!A135&amp;"")</f>
        <v/>
      </c>
      <c r="C135" s="11" t="str">
        <f aca="false">IF(B135="","",IFERROR(INDEX(Execuções!$C$2:$C$97,MATCH(B135,Execuções!$A$2:$A$97,0)),"ID?"))</f>
        <v/>
      </c>
      <c r="D135" s="10" t="str">
        <f aca="false">IF(B135="","",IFERROR(INDEX(Execuções!$B$2:$B$97,MATCH(B135,Execuções!$A$2:$A$97,0)),"ID?"))</f>
        <v/>
      </c>
      <c r="E135" s="11" t="str">
        <f aca="false">IF(B135="","",Apontamentos!D135)</f>
        <v/>
      </c>
      <c r="F135" s="11" t="str">
        <f aca="false">IF(B135="","",Apontamentos!E135)</f>
        <v/>
      </c>
      <c r="G135" s="10" t="str">
        <f aca="false">IF(B135="","",Apontamentos!G135&amp;"")</f>
        <v/>
      </c>
      <c r="H135" s="14" t="str">
        <f aca="false">IF('Avaliador 1'!F135='Avaliador 2'!F135,'Avaliador 1'!F135&amp;"","")</f>
        <v/>
      </c>
      <c r="I135" s="14" t="str">
        <f aca="false">IF('Avaliador 1'!G135='Avaliador 2'!G135,'Avaliador 1'!G135&amp;"","")</f>
        <v/>
      </c>
      <c r="J135" s="14" t="str">
        <f aca="false">IF('Avaliador 1'!H135='Avaliador 2'!H135,'Avaliador 1'!H135&amp;"","")</f>
        <v/>
      </c>
      <c r="K135" s="14" t="str">
        <f aca="false">IF('Avaliador 1'!I135='Avaliador 2'!I135,'Avaliador 1'!I135&amp;"","")</f>
        <v/>
      </c>
      <c r="L135" s="13"/>
      <c r="M135" s="13" t="str">
        <f aca="false">IF('Avaliador 1'!J135='Avaliador 2'!J135,'Avaliador 1'!J135&amp;"","")</f>
        <v/>
      </c>
      <c r="N135" s="11" t="str">
        <f aca="false">IF(OR('Avaliador 1'!F135="",'Avaliador 2'!F135=""),"",IF(AND('Avaliador 1'!F135='Avaliador 2'!F135,'Avaliador 1'!G135='Avaliador 2'!G135,'Avaliador 1'!H135='Avaliador 2'!H135,'Avaliador 1'!I135='Avaliador 2'!I135),"Não","Sim"))</f>
        <v/>
      </c>
      <c r="O135" s="14"/>
      <c r="P135" s="10" t="str">
        <f aca="false">IF(LEN(H135)=3,"Defeito encontrado",IF(I135="Sim","Falso alarme",IF(H135="—","Nenhum defeito apontado","")))</f>
        <v/>
      </c>
    </row>
    <row r="136" customFormat="false" ht="15" hidden="false" customHeight="false" outlineLevel="0" collapsed="false">
      <c r="A136" s="11" t="str">
        <f aca="false">Apontamentos!C136</f>
        <v/>
      </c>
      <c r="B136" s="11" t="str">
        <f aca="false">IF(Apontamentos!$C136="","",Apontamentos!A136&amp;"")</f>
        <v/>
      </c>
      <c r="C136" s="11" t="str">
        <f aca="false">IF(B136="","",IFERROR(INDEX(Execuções!$C$2:$C$97,MATCH(B136,Execuções!$A$2:$A$97,0)),"ID?"))</f>
        <v/>
      </c>
      <c r="D136" s="10" t="str">
        <f aca="false">IF(B136="","",IFERROR(INDEX(Execuções!$B$2:$B$97,MATCH(B136,Execuções!$A$2:$A$97,0)),"ID?"))</f>
        <v/>
      </c>
      <c r="E136" s="11" t="str">
        <f aca="false">IF(B136="","",Apontamentos!D136)</f>
        <v/>
      </c>
      <c r="F136" s="11" t="str">
        <f aca="false">IF(B136="","",Apontamentos!E136)</f>
        <v/>
      </c>
      <c r="G136" s="10" t="str">
        <f aca="false">IF(B136="","",Apontamentos!G136&amp;"")</f>
        <v/>
      </c>
      <c r="H136" s="14" t="str">
        <f aca="false">IF('Avaliador 1'!F136='Avaliador 2'!F136,'Avaliador 1'!F136&amp;"","")</f>
        <v/>
      </c>
      <c r="I136" s="14" t="str">
        <f aca="false">IF('Avaliador 1'!G136='Avaliador 2'!G136,'Avaliador 1'!G136&amp;"","")</f>
        <v/>
      </c>
      <c r="J136" s="14" t="str">
        <f aca="false">IF('Avaliador 1'!H136='Avaliador 2'!H136,'Avaliador 1'!H136&amp;"","")</f>
        <v/>
      </c>
      <c r="K136" s="14" t="str">
        <f aca="false">IF('Avaliador 1'!I136='Avaliador 2'!I136,'Avaliador 1'!I136&amp;"","")</f>
        <v/>
      </c>
      <c r="L136" s="13"/>
      <c r="M136" s="13" t="str">
        <f aca="false">IF('Avaliador 1'!J136='Avaliador 2'!J136,'Avaliador 1'!J136&amp;"","")</f>
        <v/>
      </c>
      <c r="N136" s="11" t="str">
        <f aca="false">IF(OR('Avaliador 1'!F136="",'Avaliador 2'!F136=""),"",IF(AND('Avaliador 1'!F136='Avaliador 2'!F136,'Avaliador 1'!G136='Avaliador 2'!G136,'Avaliador 1'!H136='Avaliador 2'!H136,'Avaliador 1'!I136='Avaliador 2'!I136),"Não","Sim"))</f>
        <v/>
      </c>
      <c r="O136" s="14"/>
      <c r="P136" s="10" t="str">
        <f aca="false">IF(LEN(H136)=3,"Defeito encontrado",IF(I136="Sim","Falso alarme",IF(H136="—","Nenhum defeito apontado","")))</f>
        <v/>
      </c>
    </row>
    <row r="137" customFormat="false" ht="15" hidden="false" customHeight="false" outlineLevel="0" collapsed="false">
      <c r="A137" s="11" t="str">
        <f aca="false">Apontamentos!C137</f>
        <v/>
      </c>
      <c r="B137" s="11" t="str">
        <f aca="false">IF(Apontamentos!$C137="","",Apontamentos!A137&amp;"")</f>
        <v/>
      </c>
      <c r="C137" s="11" t="str">
        <f aca="false">IF(B137="","",IFERROR(INDEX(Execuções!$C$2:$C$97,MATCH(B137,Execuções!$A$2:$A$97,0)),"ID?"))</f>
        <v/>
      </c>
      <c r="D137" s="10" t="str">
        <f aca="false">IF(B137="","",IFERROR(INDEX(Execuções!$B$2:$B$97,MATCH(B137,Execuções!$A$2:$A$97,0)),"ID?"))</f>
        <v/>
      </c>
      <c r="E137" s="11" t="str">
        <f aca="false">IF(B137="","",Apontamentos!D137)</f>
        <v/>
      </c>
      <c r="F137" s="11" t="str">
        <f aca="false">IF(B137="","",Apontamentos!E137)</f>
        <v/>
      </c>
      <c r="G137" s="10" t="str">
        <f aca="false">IF(B137="","",Apontamentos!G137&amp;"")</f>
        <v/>
      </c>
      <c r="H137" s="14" t="str">
        <f aca="false">IF('Avaliador 1'!F137='Avaliador 2'!F137,'Avaliador 1'!F137&amp;"","")</f>
        <v/>
      </c>
      <c r="I137" s="14" t="str">
        <f aca="false">IF('Avaliador 1'!G137='Avaliador 2'!G137,'Avaliador 1'!G137&amp;"","")</f>
        <v/>
      </c>
      <c r="J137" s="14" t="str">
        <f aca="false">IF('Avaliador 1'!H137='Avaliador 2'!H137,'Avaliador 1'!H137&amp;"","")</f>
        <v/>
      </c>
      <c r="K137" s="14" t="str">
        <f aca="false">IF('Avaliador 1'!I137='Avaliador 2'!I137,'Avaliador 1'!I137&amp;"","")</f>
        <v/>
      </c>
      <c r="L137" s="13"/>
      <c r="M137" s="13" t="str">
        <f aca="false">IF('Avaliador 1'!J137='Avaliador 2'!J137,'Avaliador 1'!J137&amp;"","")</f>
        <v/>
      </c>
      <c r="N137" s="11" t="str">
        <f aca="false">IF(OR('Avaliador 1'!F137="",'Avaliador 2'!F137=""),"",IF(AND('Avaliador 1'!F137='Avaliador 2'!F137,'Avaliador 1'!G137='Avaliador 2'!G137,'Avaliador 1'!H137='Avaliador 2'!H137,'Avaliador 1'!I137='Avaliador 2'!I137),"Não","Sim"))</f>
        <v/>
      </c>
      <c r="O137" s="14"/>
      <c r="P137" s="10" t="str">
        <f aca="false">IF(LEN(H137)=3,"Defeito encontrado",IF(I137="Sim","Falso alarme",IF(H137="—","Nenhum defeito apontado","")))</f>
        <v/>
      </c>
    </row>
    <row r="138" customFormat="false" ht="15" hidden="false" customHeight="false" outlineLevel="0" collapsed="false">
      <c r="A138" s="11" t="str">
        <f aca="false">Apontamentos!C138</f>
        <v/>
      </c>
      <c r="B138" s="11" t="str">
        <f aca="false">IF(Apontamentos!$C138="","",Apontamentos!A138&amp;"")</f>
        <v/>
      </c>
      <c r="C138" s="11" t="str">
        <f aca="false">IF(B138="","",IFERROR(INDEX(Execuções!$C$2:$C$97,MATCH(B138,Execuções!$A$2:$A$97,0)),"ID?"))</f>
        <v/>
      </c>
      <c r="D138" s="10" t="str">
        <f aca="false">IF(B138="","",IFERROR(INDEX(Execuções!$B$2:$B$97,MATCH(B138,Execuções!$A$2:$A$97,0)),"ID?"))</f>
        <v/>
      </c>
      <c r="E138" s="11" t="str">
        <f aca="false">IF(B138="","",Apontamentos!D138)</f>
        <v/>
      </c>
      <c r="F138" s="11" t="str">
        <f aca="false">IF(B138="","",Apontamentos!E138)</f>
        <v/>
      </c>
      <c r="G138" s="10" t="str">
        <f aca="false">IF(B138="","",Apontamentos!G138&amp;"")</f>
        <v/>
      </c>
      <c r="H138" s="14" t="str">
        <f aca="false">IF('Avaliador 1'!F138='Avaliador 2'!F138,'Avaliador 1'!F138&amp;"","")</f>
        <v/>
      </c>
      <c r="I138" s="14" t="str">
        <f aca="false">IF('Avaliador 1'!G138='Avaliador 2'!G138,'Avaliador 1'!G138&amp;"","")</f>
        <v/>
      </c>
      <c r="J138" s="14" t="str">
        <f aca="false">IF('Avaliador 1'!H138='Avaliador 2'!H138,'Avaliador 1'!H138&amp;"","")</f>
        <v/>
      </c>
      <c r="K138" s="14" t="str">
        <f aca="false">IF('Avaliador 1'!I138='Avaliador 2'!I138,'Avaliador 1'!I138&amp;"","")</f>
        <v/>
      </c>
      <c r="L138" s="13"/>
      <c r="M138" s="13" t="str">
        <f aca="false">IF('Avaliador 1'!J138='Avaliador 2'!J138,'Avaliador 1'!J138&amp;"","")</f>
        <v/>
      </c>
      <c r="N138" s="11" t="str">
        <f aca="false">IF(OR('Avaliador 1'!F138="",'Avaliador 2'!F138=""),"",IF(AND('Avaliador 1'!F138='Avaliador 2'!F138,'Avaliador 1'!G138='Avaliador 2'!G138,'Avaliador 1'!H138='Avaliador 2'!H138,'Avaliador 1'!I138='Avaliador 2'!I138),"Não","Sim"))</f>
        <v/>
      </c>
      <c r="O138" s="14"/>
      <c r="P138" s="10" t="str">
        <f aca="false">IF(LEN(H138)=3,"Defeito encontrado",IF(I138="Sim","Falso alarme",IF(H138="—","Nenhum defeito apontado","")))</f>
        <v/>
      </c>
    </row>
    <row r="139" customFormat="false" ht="15" hidden="false" customHeight="false" outlineLevel="0" collapsed="false">
      <c r="A139" s="11" t="str">
        <f aca="false">Apontamentos!C139</f>
        <v/>
      </c>
      <c r="B139" s="11" t="str">
        <f aca="false">IF(Apontamentos!$C139="","",Apontamentos!A139&amp;"")</f>
        <v/>
      </c>
      <c r="C139" s="11" t="str">
        <f aca="false">IF(B139="","",IFERROR(INDEX(Execuções!$C$2:$C$97,MATCH(B139,Execuções!$A$2:$A$97,0)),"ID?"))</f>
        <v/>
      </c>
      <c r="D139" s="10" t="str">
        <f aca="false">IF(B139="","",IFERROR(INDEX(Execuções!$B$2:$B$97,MATCH(B139,Execuções!$A$2:$A$97,0)),"ID?"))</f>
        <v/>
      </c>
      <c r="E139" s="11" t="str">
        <f aca="false">IF(B139="","",Apontamentos!D139)</f>
        <v/>
      </c>
      <c r="F139" s="11" t="str">
        <f aca="false">IF(B139="","",Apontamentos!E139)</f>
        <v/>
      </c>
      <c r="G139" s="10" t="str">
        <f aca="false">IF(B139="","",Apontamentos!G139&amp;"")</f>
        <v/>
      </c>
      <c r="H139" s="14" t="str">
        <f aca="false">IF('Avaliador 1'!F139='Avaliador 2'!F139,'Avaliador 1'!F139&amp;"","")</f>
        <v/>
      </c>
      <c r="I139" s="14" t="str">
        <f aca="false">IF('Avaliador 1'!G139='Avaliador 2'!G139,'Avaliador 1'!G139&amp;"","")</f>
        <v/>
      </c>
      <c r="J139" s="14" t="str">
        <f aca="false">IF('Avaliador 1'!H139='Avaliador 2'!H139,'Avaliador 1'!H139&amp;"","")</f>
        <v/>
      </c>
      <c r="K139" s="14" t="str">
        <f aca="false">IF('Avaliador 1'!I139='Avaliador 2'!I139,'Avaliador 1'!I139&amp;"","")</f>
        <v/>
      </c>
      <c r="L139" s="13"/>
      <c r="M139" s="13" t="str">
        <f aca="false">IF('Avaliador 1'!J139='Avaliador 2'!J139,'Avaliador 1'!J139&amp;"","")</f>
        <v/>
      </c>
      <c r="N139" s="11" t="str">
        <f aca="false">IF(OR('Avaliador 1'!F139="",'Avaliador 2'!F139=""),"",IF(AND('Avaliador 1'!F139='Avaliador 2'!F139,'Avaliador 1'!G139='Avaliador 2'!G139,'Avaliador 1'!H139='Avaliador 2'!H139,'Avaliador 1'!I139='Avaliador 2'!I139),"Não","Sim"))</f>
        <v/>
      </c>
      <c r="O139" s="14"/>
      <c r="P139" s="10" t="str">
        <f aca="false">IF(LEN(H139)=3,"Defeito encontrado",IF(I139="Sim","Falso alarme",IF(H139="—","Nenhum defeito apontado","")))</f>
        <v/>
      </c>
    </row>
    <row r="140" customFormat="false" ht="15" hidden="false" customHeight="false" outlineLevel="0" collapsed="false">
      <c r="A140" s="11" t="str">
        <f aca="false">Apontamentos!C140</f>
        <v/>
      </c>
      <c r="B140" s="11" t="str">
        <f aca="false">IF(Apontamentos!$C140="","",Apontamentos!A140&amp;"")</f>
        <v/>
      </c>
      <c r="C140" s="11" t="str">
        <f aca="false">IF(B140="","",IFERROR(INDEX(Execuções!$C$2:$C$97,MATCH(B140,Execuções!$A$2:$A$97,0)),"ID?"))</f>
        <v/>
      </c>
      <c r="D140" s="10" t="str">
        <f aca="false">IF(B140="","",IFERROR(INDEX(Execuções!$B$2:$B$97,MATCH(B140,Execuções!$A$2:$A$97,0)),"ID?"))</f>
        <v/>
      </c>
      <c r="E140" s="11" t="str">
        <f aca="false">IF(B140="","",Apontamentos!D140)</f>
        <v/>
      </c>
      <c r="F140" s="11" t="str">
        <f aca="false">IF(B140="","",Apontamentos!E140)</f>
        <v/>
      </c>
      <c r="G140" s="10" t="str">
        <f aca="false">IF(B140="","",Apontamentos!G140&amp;"")</f>
        <v/>
      </c>
      <c r="H140" s="14" t="str">
        <f aca="false">IF('Avaliador 1'!F140='Avaliador 2'!F140,'Avaliador 1'!F140&amp;"","")</f>
        <v/>
      </c>
      <c r="I140" s="14" t="str">
        <f aca="false">IF('Avaliador 1'!G140='Avaliador 2'!G140,'Avaliador 1'!G140&amp;"","")</f>
        <v/>
      </c>
      <c r="J140" s="14" t="str">
        <f aca="false">IF('Avaliador 1'!H140='Avaliador 2'!H140,'Avaliador 1'!H140&amp;"","")</f>
        <v/>
      </c>
      <c r="K140" s="14" t="str">
        <f aca="false">IF('Avaliador 1'!I140='Avaliador 2'!I140,'Avaliador 1'!I140&amp;"","")</f>
        <v/>
      </c>
      <c r="L140" s="13"/>
      <c r="M140" s="13" t="str">
        <f aca="false">IF('Avaliador 1'!J140='Avaliador 2'!J140,'Avaliador 1'!J140&amp;"","")</f>
        <v/>
      </c>
      <c r="N140" s="11" t="str">
        <f aca="false">IF(OR('Avaliador 1'!F140="",'Avaliador 2'!F140=""),"",IF(AND('Avaliador 1'!F140='Avaliador 2'!F140,'Avaliador 1'!G140='Avaliador 2'!G140,'Avaliador 1'!H140='Avaliador 2'!H140,'Avaliador 1'!I140='Avaliador 2'!I140),"Não","Sim"))</f>
        <v/>
      </c>
      <c r="O140" s="14"/>
      <c r="P140" s="10" t="str">
        <f aca="false">IF(LEN(H140)=3,"Defeito encontrado",IF(I140="Sim","Falso alarme",IF(H140="—","Nenhum defeito apontado","")))</f>
        <v/>
      </c>
    </row>
    <row r="141" customFormat="false" ht="15" hidden="false" customHeight="false" outlineLevel="0" collapsed="false">
      <c r="A141" s="11" t="str">
        <f aca="false">Apontamentos!C141</f>
        <v/>
      </c>
      <c r="B141" s="11" t="str">
        <f aca="false">IF(Apontamentos!$C141="","",Apontamentos!A141&amp;"")</f>
        <v/>
      </c>
      <c r="C141" s="11" t="str">
        <f aca="false">IF(B141="","",IFERROR(INDEX(Execuções!$C$2:$C$97,MATCH(B141,Execuções!$A$2:$A$97,0)),"ID?"))</f>
        <v/>
      </c>
      <c r="D141" s="10" t="str">
        <f aca="false">IF(B141="","",IFERROR(INDEX(Execuções!$B$2:$B$97,MATCH(B141,Execuções!$A$2:$A$97,0)),"ID?"))</f>
        <v/>
      </c>
      <c r="E141" s="11" t="str">
        <f aca="false">IF(B141="","",Apontamentos!D141)</f>
        <v/>
      </c>
      <c r="F141" s="11" t="str">
        <f aca="false">IF(B141="","",Apontamentos!E141)</f>
        <v/>
      </c>
      <c r="G141" s="10" t="str">
        <f aca="false">IF(B141="","",Apontamentos!G141&amp;"")</f>
        <v/>
      </c>
      <c r="H141" s="14" t="str">
        <f aca="false">IF('Avaliador 1'!F141='Avaliador 2'!F141,'Avaliador 1'!F141&amp;"","")</f>
        <v/>
      </c>
      <c r="I141" s="14" t="str">
        <f aca="false">IF('Avaliador 1'!G141='Avaliador 2'!G141,'Avaliador 1'!G141&amp;"","")</f>
        <v/>
      </c>
      <c r="J141" s="14" t="str">
        <f aca="false">IF('Avaliador 1'!H141='Avaliador 2'!H141,'Avaliador 1'!H141&amp;"","")</f>
        <v/>
      </c>
      <c r="K141" s="14" t="str">
        <f aca="false">IF('Avaliador 1'!I141='Avaliador 2'!I141,'Avaliador 1'!I141&amp;"","")</f>
        <v/>
      </c>
      <c r="L141" s="13"/>
      <c r="M141" s="13" t="str">
        <f aca="false">IF('Avaliador 1'!J141='Avaliador 2'!J141,'Avaliador 1'!J141&amp;"","")</f>
        <v/>
      </c>
      <c r="N141" s="11" t="str">
        <f aca="false">IF(OR('Avaliador 1'!F141="",'Avaliador 2'!F141=""),"",IF(AND('Avaliador 1'!F141='Avaliador 2'!F141,'Avaliador 1'!G141='Avaliador 2'!G141,'Avaliador 1'!H141='Avaliador 2'!H141,'Avaliador 1'!I141='Avaliador 2'!I141),"Não","Sim"))</f>
        <v/>
      </c>
      <c r="O141" s="14"/>
      <c r="P141" s="10" t="str">
        <f aca="false">IF(LEN(H141)=3,"Defeito encontrado",IF(I141="Sim","Falso alarme",IF(H141="—","Nenhum defeito apontado","")))</f>
        <v/>
      </c>
    </row>
    <row r="142" customFormat="false" ht="15" hidden="false" customHeight="false" outlineLevel="0" collapsed="false">
      <c r="A142" s="11" t="str">
        <f aca="false">Apontamentos!C142</f>
        <v/>
      </c>
      <c r="B142" s="11" t="str">
        <f aca="false">IF(Apontamentos!$C142="","",Apontamentos!A142&amp;"")</f>
        <v/>
      </c>
      <c r="C142" s="11" t="str">
        <f aca="false">IF(B142="","",IFERROR(INDEX(Execuções!$C$2:$C$97,MATCH(B142,Execuções!$A$2:$A$97,0)),"ID?"))</f>
        <v/>
      </c>
      <c r="D142" s="10" t="str">
        <f aca="false">IF(B142="","",IFERROR(INDEX(Execuções!$B$2:$B$97,MATCH(B142,Execuções!$A$2:$A$97,0)),"ID?"))</f>
        <v/>
      </c>
      <c r="E142" s="11" t="str">
        <f aca="false">IF(B142="","",Apontamentos!D142)</f>
        <v/>
      </c>
      <c r="F142" s="11" t="str">
        <f aca="false">IF(B142="","",Apontamentos!E142)</f>
        <v/>
      </c>
      <c r="G142" s="10" t="str">
        <f aca="false">IF(B142="","",Apontamentos!G142&amp;"")</f>
        <v/>
      </c>
      <c r="H142" s="14" t="str">
        <f aca="false">IF('Avaliador 1'!F142='Avaliador 2'!F142,'Avaliador 1'!F142&amp;"","")</f>
        <v/>
      </c>
      <c r="I142" s="14" t="str">
        <f aca="false">IF('Avaliador 1'!G142='Avaliador 2'!G142,'Avaliador 1'!G142&amp;"","")</f>
        <v/>
      </c>
      <c r="J142" s="14" t="str">
        <f aca="false">IF('Avaliador 1'!H142='Avaliador 2'!H142,'Avaliador 1'!H142&amp;"","")</f>
        <v/>
      </c>
      <c r="K142" s="14" t="str">
        <f aca="false">IF('Avaliador 1'!I142='Avaliador 2'!I142,'Avaliador 1'!I142&amp;"","")</f>
        <v/>
      </c>
      <c r="L142" s="13"/>
      <c r="M142" s="13" t="str">
        <f aca="false">IF('Avaliador 1'!J142='Avaliador 2'!J142,'Avaliador 1'!J142&amp;"","")</f>
        <v/>
      </c>
      <c r="N142" s="11" t="str">
        <f aca="false">IF(OR('Avaliador 1'!F142="",'Avaliador 2'!F142=""),"",IF(AND('Avaliador 1'!F142='Avaliador 2'!F142,'Avaliador 1'!G142='Avaliador 2'!G142,'Avaliador 1'!H142='Avaliador 2'!H142,'Avaliador 1'!I142='Avaliador 2'!I142),"Não","Sim"))</f>
        <v/>
      </c>
      <c r="O142" s="14"/>
      <c r="P142" s="10" t="str">
        <f aca="false">IF(LEN(H142)=3,"Defeito encontrado",IF(I142="Sim","Falso alarme",IF(H142="—","Nenhum defeito apontado","")))</f>
        <v/>
      </c>
    </row>
    <row r="143" customFormat="false" ht="15" hidden="false" customHeight="false" outlineLevel="0" collapsed="false">
      <c r="A143" s="11" t="str">
        <f aca="false">Apontamentos!C143</f>
        <v/>
      </c>
      <c r="B143" s="11" t="str">
        <f aca="false">IF(Apontamentos!$C143="","",Apontamentos!A143&amp;"")</f>
        <v/>
      </c>
      <c r="C143" s="11" t="str">
        <f aca="false">IF(B143="","",IFERROR(INDEX(Execuções!$C$2:$C$97,MATCH(B143,Execuções!$A$2:$A$97,0)),"ID?"))</f>
        <v/>
      </c>
      <c r="D143" s="10" t="str">
        <f aca="false">IF(B143="","",IFERROR(INDEX(Execuções!$B$2:$B$97,MATCH(B143,Execuções!$A$2:$A$97,0)),"ID?"))</f>
        <v/>
      </c>
      <c r="E143" s="11" t="str">
        <f aca="false">IF(B143="","",Apontamentos!D143)</f>
        <v/>
      </c>
      <c r="F143" s="11" t="str">
        <f aca="false">IF(B143="","",Apontamentos!E143)</f>
        <v/>
      </c>
      <c r="G143" s="10" t="str">
        <f aca="false">IF(B143="","",Apontamentos!G143&amp;"")</f>
        <v/>
      </c>
      <c r="H143" s="14" t="str">
        <f aca="false">IF('Avaliador 1'!F143='Avaliador 2'!F143,'Avaliador 1'!F143&amp;"","")</f>
        <v/>
      </c>
      <c r="I143" s="14" t="str">
        <f aca="false">IF('Avaliador 1'!G143='Avaliador 2'!G143,'Avaliador 1'!G143&amp;"","")</f>
        <v/>
      </c>
      <c r="J143" s="14" t="str">
        <f aca="false">IF('Avaliador 1'!H143='Avaliador 2'!H143,'Avaliador 1'!H143&amp;"","")</f>
        <v/>
      </c>
      <c r="K143" s="14" t="str">
        <f aca="false">IF('Avaliador 1'!I143='Avaliador 2'!I143,'Avaliador 1'!I143&amp;"","")</f>
        <v/>
      </c>
      <c r="L143" s="13"/>
      <c r="M143" s="13" t="str">
        <f aca="false">IF('Avaliador 1'!J143='Avaliador 2'!J143,'Avaliador 1'!J143&amp;"","")</f>
        <v/>
      </c>
      <c r="N143" s="11" t="str">
        <f aca="false">IF(OR('Avaliador 1'!F143="",'Avaliador 2'!F143=""),"",IF(AND('Avaliador 1'!F143='Avaliador 2'!F143,'Avaliador 1'!G143='Avaliador 2'!G143,'Avaliador 1'!H143='Avaliador 2'!H143,'Avaliador 1'!I143='Avaliador 2'!I143),"Não","Sim"))</f>
        <v/>
      </c>
      <c r="O143" s="14"/>
      <c r="P143" s="10" t="str">
        <f aca="false">IF(LEN(H143)=3,"Defeito encontrado",IF(I143="Sim","Falso alarme",IF(H143="—","Nenhum defeito apontado","")))</f>
        <v/>
      </c>
    </row>
    <row r="144" customFormat="false" ht="15" hidden="false" customHeight="false" outlineLevel="0" collapsed="false">
      <c r="A144" s="11" t="str">
        <f aca="false">Apontamentos!C144</f>
        <v/>
      </c>
      <c r="B144" s="11" t="str">
        <f aca="false">IF(Apontamentos!$C144="","",Apontamentos!A144&amp;"")</f>
        <v/>
      </c>
      <c r="C144" s="11" t="str">
        <f aca="false">IF(B144="","",IFERROR(INDEX(Execuções!$C$2:$C$97,MATCH(B144,Execuções!$A$2:$A$97,0)),"ID?"))</f>
        <v/>
      </c>
      <c r="D144" s="10" t="str">
        <f aca="false">IF(B144="","",IFERROR(INDEX(Execuções!$B$2:$B$97,MATCH(B144,Execuções!$A$2:$A$97,0)),"ID?"))</f>
        <v/>
      </c>
      <c r="E144" s="11" t="str">
        <f aca="false">IF(B144="","",Apontamentos!D144)</f>
        <v/>
      </c>
      <c r="F144" s="11" t="str">
        <f aca="false">IF(B144="","",Apontamentos!E144)</f>
        <v/>
      </c>
      <c r="G144" s="10" t="str">
        <f aca="false">IF(B144="","",Apontamentos!G144&amp;"")</f>
        <v/>
      </c>
      <c r="H144" s="14" t="str">
        <f aca="false">IF('Avaliador 1'!F144='Avaliador 2'!F144,'Avaliador 1'!F144&amp;"","")</f>
        <v/>
      </c>
      <c r="I144" s="14" t="str">
        <f aca="false">IF('Avaliador 1'!G144='Avaliador 2'!G144,'Avaliador 1'!G144&amp;"","")</f>
        <v/>
      </c>
      <c r="J144" s="14" t="str">
        <f aca="false">IF('Avaliador 1'!H144='Avaliador 2'!H144,'Avaliador 1'!H144&amp;"","")</f>
        <v/>
      </c>
      <c r="K144" s="14" t="str">
        <f aca="false">IF('Avaliador 1'!I144='Avaliador 2'!I144,'Avaliador 1'!I144&amp;"","")</f>
        <v/>
      </c>
      <c r="L144" s="13"/>
      <c r="M144" s="13" t="str">
        <f aca="false">IF('Avaliador 1'!J144='Avaliador 2'!J144,'Avaliador 1'!J144&amp;"","")</f>
        <v/>
      </c>
      <c r="N144" s="11" t="str">
        <f aca="false">IF(OR('Avaliador 1'!F144="",'Avaliador 2'!F144=""),"",IF(AND('Avaliador 1'!F144='Avaliador 2'!F144,'Avaliador 1'!G144='Avaliador 2'!G144,'Avaliador 1'!H144='Avaliador 2'!H144,'Avaliador 1'!I144='Avaliador 2'!I144),"Não","Sim"))</f>
        <v/>
      </c>
      <c r="O144" s="14"/>
      <c r="P144" s="10" t="str">
        <f aca="false">IF(LEN(H144)=3,"Defeito encontrado",IF(I144="Sim","Falso alarme",IF(H144="—","Nenhum defeito apontado","")))</f>
        <v/>
      </c>
    </row>
    <row r="145" customFormat="false" ht="15" hidden="false" customHeight="false" outlineLevel="0" collapsed="false">
      <c r="A145" s="11" t="str">
        <f aca="false">Apontamentos!C145</f>
        <v/>
      </c>
      <c r="B145" s="11" t="str">
        <f aca="false">IF(Apontamentos!$C145="","",Apontamentos!A145&amp;"")</f>
        <v/>
      </c>
      <c r="C145" s="11" t="str">
        <f aca="false">IF(B145="","",IFERROR(INDEX(Execuções!$C$2:$C$97,MATCH(B145,Execuções!$A$2:$A$97,0)),"ID?"))</f>
        <v/>
      </c>
      <c r="D145" s="10" t="str">
        <f aca="false">IF(B145="","",IFERROR(INDEX(Execuções!$B$2:$B$97,MATCH(B145,Execuções!$A$2:$A$97,0)),"ID?"))</f>
        <v/>
      </c>
      <c r="E145" s="11" t="str">
        <f aca="false">IF(B145="","",Apontamentos!D145)</f>
        <v/>
      </c>
      <c r="F145" s="11" t="str">
        <f aca="false">IF(B145="","",Apontamentos!E145)</f>
        <v/>
      </c>
      <c r="G145" s="10" t="str">
        <f aca="false">IF(B145="","",Apontamentos!G145&amp;"")</f>
        <v/>
      </c>
      <c r="H145" s="14" t="str">
        <f aca="false">IF('Avaliador 1'!F145='Avaliador 2'!F145,'Avaliador 1'!F145&amp;"","")</f>
        <v/>
      </c>
      <c r="I145" s="14" t="str">
        <f aca="false">IF('Avaliador 1'!G145='Avaliador 2'!G145,'Avaliador 1'!G145&amp;"","")</f>
        <v/>
      </c>
      <c r="J145" s="14" t="str">
        <f aca="false">IF('Avaliador 1'!H145='Avaliador 2'!H145,'Avaliador 1'!H145&amp;"","")</f>
        <v/>
      </c>
      <c r="K145" s="14" t="str">
        <f aca="false">IF('Avaliador 1'!I145='Avaliador 2'!I145,'Avaliador 1'!I145&amp;"","")</f>
        <v/>
      </c>
      <c r="L145" s="13"/>
      <c r="M145" s="13" t="str">
        <f aca="false">IF('Avaliador 1'!J145='Avaliador 2'!J145,'Avaliador 1'!J145&amp;"","")</f>
        <v/>
      </c>
      <c r="N145" s="11" t="str">
        <f aca="false">IF(OR('Avaliador 1'!F145="",'Avaliador 2'!F145=""),"",IF(AND('Avaliador 1'!F145='Avaliador 2'!F145,'Avaliador 1'!G145='Avaliador 2'!G145,'Avaliador 1'!H145='Avaliador 2'!H145,'Avaliador 1'!I145='Avaliador 2'!I145),"Não","Sim"))</f>
        <v/>
      </c>
      <c r="O145" s="14"/>
      <c r="P145" s="10" t="str">
        <f aca="false">IF(LEN(H145)=3,"Defeito encontrado",IF(I145="Sim","Falso alarme",IF(H145="—","Nenhum defeito apontado","")))</f>
        <v/>
      </c>
    </row>
    <row r="146" customFormat="false" ht="15" hidden="false" customHeight="false" outlineLevel="0" collapsed="false">
      <c r="A146" s="11" t="str">
        <f aca="false">Apontamentos!C146</f>
        <v/>
      </c>
      <c r="B146" s="11" t="str">
        <f aca="false">IF(Apontamentos!$C146="","",Apontamentos!A146&amp;"")</f>
        <v/>
      </c>
      <c r="C146" s="11" t="str">
        <f aca="false">IF(B146="","",IFERROR(INDEX(Execuções!$C$2:$C$97,MATCH(B146,Execuções!$A$2:$A$97,0)),"ID?"))</f>
        <v/>
      </c>
      <c r="D146" s="10" t="str">
        <f aca="false">IF(B146="","",IFERROR(INDEX(Execuções!$B$2:$B$97,MATCH(B146,Execuções!$A$2:$A$97,0)),"ID?"))</f>
        <v/>
      </c>
      <c r="E146" s="11" t="str">
        <f aca="false">IF(B146="","",Apontamentos!D146)</f>
        <v/>
      </c>
      <c r="F146" s="11" t="str">
        <f aca="false">IF(B146="","",Apontamentos!E146)</f>
        <v/>
      </c>
      <c r="G146" s="10" t="str">
        <f aca="false">IF(B146="","",Apontamentos!G146&amp;"")</f>
        <v/>
      </c>
      <c r="H146" s="14" t="str">
        <f aca="false">IF('Avaliador 1'!F146='Avaliador 2'!F146,'Avaliador 1'!F146&amp;"","")</f>
        <v/>
      </c>
      <c r="I146" s="14" t="str">
        <f aca="false">IF('Avaliador 1'!G146='Avaliador 2'!G146,'Avaliador 1'!G146&amp;"","")</f>
        <v/>
      </c>
      <c r="J146" s="14" t="str">
        <f aca="false">IF('Avaliador 1'!H146='Avaliador 2'!H146,'Avaliador 1'!H146&amp;"","")</f>
        <v/>
      </c>
      <c r="K146" s="14" t="str">
        <f aca="false">IF('Avaliador 1'!I146='Avaliador 2'!I146,'Avaliador 1'!I146&amp;"","")</f>
        <v/>
      </c>
      <c r="L146" s="13"/>
      <c r="M146" s="13" t="str">
        <f aca="false">IF('Avaliador 1'!J146='Avaliador 2'!J146,'Avaliador 1'!J146&amp;"","")</f>
        <v/>
      </c>
      <c r="N146" s="11" t="str">
        <f aca="false">IF(OR('Avaliador 1'!F146="",'Avaliador 2'!F146=""),"",IF(AND('Avaliador 1'!F146='Avaliador 2'!F146,'Avaliador 1'!G146='Avaliador 2'!G146,'Avaliador 1'!H146='Avaliador 2'!H146,'Avaliador 1'!I146='Avaliador 2'!I146),"Não","Sim"))</f>
        <v/>
      </c>
      <c r="O146" s="14"/>
      <c r="P146" s="10" t="str">
        <f aca="false">IF(LEN(H146)=3,"Defeito encontrado",IF(I146="Sim","Falso alarme",IF(H146="—","Nenhum defeito apontado","")))</f>
        <v/>
      </c>
    </row>
    <row r="147" customFormat="false" ht="15" hidden="false" customHeight="false" outlineLevel="0" collapsed="false">
      <c r="A147" s="11" t="str">
        <f aca="false">Apontamentos!C147</f>
        <v/>
      </c>
      <c r="B147" s="11" t="str">
        <f aca="false">IF(Apontamentos!$C147="","",Apontamentos!A147&amp;"")</f>
        <v/>
      </c>
      <c r="C147" s="11" t="str">
        <f aca="false">IF(B147="","",IFERROR(INDEX(Execuções!$C$2:$C$97,MATCH(B147,Execuções!$A$2:$A$97,0)),"ID?"))</f>
        <v/>
      </c>
      <c r="D147" s="10" t="str">
        <f aca="false">IF(B147="","",IFERROR(INDEX(Execuções!$B$2:$B$97,MATCH(B147,Execuções!$A$2:$A$97,0)),"ID?"))</f>
        <v/>
      </c>
      <c r="E147" s="11" t="str">
        <f aca="false">IF(B147="","",Apontamentos!D147)</f>
        <v/>
      </c>
      <c r="F147" s="11" t="str">
        <f aca="false">IF(B147="","",Apontamentos!E147)</f>
        <v/>
      </c>
      <c r="G147" s="10" t="str">
        <f aca="false">IF(B147="","",Apontamentos!G147&amp;"")</f>
        <v/>
      </c>
      <c r="H147" s="14" t="str">
        <f aca="false">IF('Avaliador 1'!F147='Avaliador 2'!F147,'Avaliador 1'!F147&amp;"","")</f>
        <v/>
      </c>
      <c r="I147" s="14" t="str">
        <f aca="false">IF('Avaliador 1'!G147='Avaliador 2'!G147,'Avaliador 1'!G147&amp;"","")</f>
        <v/>
      </c>
      <c r="J147" s="14" t="str">
        <f aca="false">IF('Avaliador 1'!H147='Avaliador 2'!H147,'Avaliador 1'!H147&amp;"","")</f>
        <v/>
      </c>
      <c r="K147" s="14" t="str">
        <f aca="false">IF('Avaliador 1'!I147='Avaliador 2'!I147,'Avaliador 1'!I147&amp;"","")</f>
        <v/>
      </c>
      <c r="L147" s="13"/>
      <c r="M147" s="13" t="str">
        <f aca="false">IF('Avaliador 1'!J147='Avaliador 2'!J147,'Avaliador 1'!J147&amp;"","")</f>
        <v/>
      </c>
      <c r="N147" s="11" t="str">
        <f aca="false">IF(OR('Avaliador 1'!F147="",'Avaliador 2'!F147=""),"",IF(AND('Avaliador 1'!F147='Avaliador 2'!F147,'Avaliador 1'!G147='Avaliador 2'!G147,'Avaliador 1'!H147='Avaliador 2'!H147,'Avaliador 1'!I147='Avaliador 2'!I147),"Não","Sim"))</f>
        <v/>
      </c>
      <c r="O147" s="14"/>
      <c r="P147" s="10" t="str">
        <f aca="false">IF(LEN(H147)=3,"Defeito encontrado",IF(I147="Sim","Falso alarme",IF(H147="—","Nenhum defeito apontado","")))</f>
        <v/>
      </c>
    </row>
    <row r="148" customFormat="false" ht="15" hidden="false" customHeight="false" outlineLevel="0" collapsed="false">
      <c r="A148" s="11" t="str">
        <f aca="false">Apontamentos!C148</f>
        <v/>
      </c>
      <c r="B148" s="11" t="str">
        <f aca="false">IF(Apontamentos!$C148="","",Apontamentos!A148&amp;"")</f>
        <v/>
      </c>
      <c r="C148" s="11" t="str">
        <f aca="false">IF(B148="","",IFERROR(INDEX(Execuções!$C$2:$C$97,MATCH(B148,Execuções!$A$2:$A$97,0)),"ID?"))</f>
        <v/>
      </c>
      <c r="D148" s="10" t="str">
        <f aca="false">IF(B148="","",IFERROR(INDEX(Execuções!$B$2:$B$97,MATCH(B148,Execuções!$A$2:$A$97,0)),"ID?"))</f>
        <v/>
      </c>
      <c r="E148" s="11" t="str">
        <f aca="false">IF(B148="","",Apontamentos!D148)</f>
        <v/>
      </c>
      <c r="F148" s="11" t="str">
        <f aca="false">IF(B148="","",Apontamentos!E148)</f>
        <v/>
      </c>
      <c r="G148" s="10" t="str">
        <f aca="false">IF(B148="","",Apontamentos!G148&amp;"")</f>
        <v/>
      </c>
      <c r="H148" s="14" t="str">
        <f aca="false">IF('Avaliador 1'!F148='Avaliador 2'!F148,'Avaliador 1'!F148&amp;"","")</f>
        <v/>
      </c>
      <c r="I148" s="14" t="str">
        <f aca="false">IF('Avaliador 1'!G148='Avaliador 2'!G148,'Avaliador 1'!G148&amp;"","")</f>
        <v/>
      </c>
      <c r="J148" s="14" t="str">
        <f aca="false">IF('Avaliador 1'!H148='Avaliador 2'!H148,'Avaliador 1'!H148&amp;"","")</f>
        <v/>
      </c>
      <c r="K148" s="14" t="str">
        <f aca="false">IF('Avaliador 1'!I148='Avaliador 2'!I148,'Avaliador 1'!I148&amp;"","")</f>
        <v/>
      </c>
      <c r="L148" s="13"/>
      <c r="M148" s="13" t="str">
        <f aca="false">IF('Avaliador 1'!J148='Avaliador 2'!J148,'Avaliador 1'!J148&amp;"","")</f>
        <v/>
      </c>
      <c r="N148" s="11" t="str">
        <f aca="false">IF(OR('Avaliador 1'!F148="",'Avaliador 2'!F148=""),"",IF(AND('Avaliador 1'!F148='Avaliador 2'!F148,'Avaliador 1'!G148='Avaliador 2'!G148,'Avaliador 1'!H148='Avaliador 2'!H148,'Avaliador 1'!I148='Avaliador 2'!I148),"Não","Sim"))</f>
        <v/>
      </c>
      <c r="O148" s="14"/>
      <c r="P148" s="10" t="str">
        <f aca="false">IF(LEN(H148)=3,"Defeito encontrado",IF(I148="Sim","Falso alarme",IF(H148="—","Nenhum defeito apontado","")))</f>
        <v/>
      </c>
    </row>
    <row r="149" customFormat="false" ht="15" hidden="false" customHeight="false" outlineLevel="0" collapsed="false">
      <c r="A149" s="11" t="str">
        <f aca="false">Apontamentos!C149</f>
        <v/>
      </c>
      <c r="B149" s="11" t="str">
        <f aca="false">IF(Apontamentos!$C149="","",Apontamentos!A149&amp;"")</f>
        <v/>
      </c>
      <c r="C149" s="11" t="str">
        <f aca="false">IF(B149="","",IFERROR(INDEX(Execuções!$C$2:$C$97,MATCH(B149,Execuções!$A$2:$A$97,0)),"ID?"))</f>
        <v/>
      </c>
      <c r="D149" s="10" t="str">
        <f aca="false">IF(B149="","",IFERROR(INDEX(Execuções!$B$2:$B$97,MATCH(B149,Execuções!$A$2:$A$97,0)),"ID?"))</f>
        <v/>
      </c>
      <c r="E149" s="11" t="str">
        <f aca="false">IF(B149="","",Apontamentos!D149)</f>
        <v/>
      </c>
      <c r="F149" s="11" t="str">
        <f aca="false">IF(B149="","",Apontamentos!E149)</f>
        <v/>
      </c>
      <c r="G149" s="10" t="str">
        <f aca="false">IF(B149="","",Apontamentos!G149&amp;"")</f>
        <v/>
      </c>
      <c r="H149" s="14" t="str">
        <f aca="false">IF('Avaliador 1'!F149='Avaliador 2'!F149,'Avaliador 1'!F149&amp;"","")</f>
        <v/>
      </c>
      <c r="I149" s="14" t="str">
        <f aca="false">IF('Avaliador 1'!G149='Avaliador 2'!G149,'Avaliador 1'!G149&amp;"","")</f>
        <v/>
      </c>
      <c r="J149" s="14" t="str">
        <f aca="false">IF('Avaliador 1'!H149='Avaliador 2'!H149,'Avaliador 1'!H149&amp;"","")</f>
        <v/>
      </c>
      <c r="K149" s="14" t="str">
        <f aca="false">IF('Avaliador 1'!I149='Avaliador 2'!I149,'Avaliador 1'!I149&amp;"","")</f>
        <v/>
      </c>
      <c r="L149" s="13"/>
      <c r="M149" s="13" t="str">
        <f aca="false">IF('Avaliador 1'!J149='Avaliador 2'!J149,'Avaliador 1'!J149&amp;"","")</f>
        <v/>
      </c>
      <c r="N149" s="11" t="str">
        <f aca="false">IF(OR('Avaliador 1'!F149="",'Avaliador 2'!F149=""),"",IF(AND('Avaliador 1'!F149='Avaliador 2'!F149,'Avaliador 1'!G149='Avaliador 2'!G149,'Avaliador 1'!H149='Avaliador 2'!H149,'Avaliador 1'!I149='Avaliador 2'!I149),"Não","Sim"))</f>
        <v/>
      </c>
      <c r="O149" s="14"/>
      <c r="P149" s="10" t="str">
        <f aca="false">IF(LEN(H149)=3,"Defeito encontrado",IF(I149="Sim","Falso alarme",IF(H149="—","Nenhum defeito apontado","")))</f>
        <v/>
      </c>
    </row>
    <row r="150" customFormat="false" ht="15" hidden="false" customHeight="false" outlineLevel="0" collapsed="false">
      <c r="A150" s="11" t="str">
        <f aca="false">Apontamentos!C150</f>
        <v/>
      </c>
      <c r="B150" s="11" t="str">
        <f aca="false">IF(Apontamentos!$C150="","",Apontamentos!A150&amp;"")</f>
        <v/>
      </c>
      <c r="C150" s="11" t="str">
        <f aca="false">IF(B150="","",IFERROR(INDEX(Execuções!$C$2:$C$97,MATCH(B150,Execuções!$A$2:$A$97,0)),"ID?"))</f>
        <v/>
      </c>
      <c r="D150" s="10" t="str">
        <f aca="false">IF(B150="","",IFERROR(INDEX(Execuções!$B$2:$B$97,MATCH(B150,Execuções!$A$2:$A$97,0)),"ID?"))</f>
        <v/>
      </c>
      <c r="E150" s="11" t="str">
        <f aca="false">IF(B150="","",Apontamentos!D150)</f>
        <v/>
      </c>
      <c r="F150" s="11" t="str">
        <f aca="false">IF(B150="","",Apontamentos!E150)</f>
        <v/>
      </c>
      <c r="G150" s="10" t="str">
        <f aca="false">IF(B150="","",Apontamentos!G150&amp;"")</f>
        <v/>
      </c>
      <c r="H150" s="14" t="str">
        <f aca="false">IF('Avaliador 1'!F150='Avaliador 2'!F150,'Avaliador 1'!F150&amp;"","")</f>
        <v/>
      </c>
      <c r="I150" s="14" t="str">
        <f aca="false">IF('Avaliador 1'!G150='Avaliador 2'!G150,'Avaliador 1'!G150&amp;"","")</f>
        <v/>
      </c>
      <c r="J150" s="14" t="str">
        <f aca="false">IF('Avaliador 1'!H150='Avaliador 2'!H150,'Avaliador 1'!H150&amp;"","")</f>
        <v/>
      </c>
      <c r="K150" s="14" t="str">
        <f aca="false">IF('Avaliador 1'!I150='Avaliador 2'!I150,'Avaliador 1'!I150&amp;"","")</f>
        <v/>
      </c>
      <c r="L150" s="13"/>
      <c r="M150" s="13" t="str">
        <f aca="false">IF('Avaliador 1'!J150='Avaliador 2'!J150,'Avaliador 1'!J150&amp;"","")</f>
        <v/>
      </c>
      <c r="N150" s="11" t="str">
        <f aca="false">IF(OR('Avaliador 1'!F150="",'Avaliador 2'!F150=""),"",IF(AND('Avaliador 1'!F150='Avaliador 2'!F150,'Avaliador 1'!G150='Avaliador 2'!G150,'Avaliador 1'!H150='Avaliador 2'!H150,'Avaliador 1'!I150='Avaliador 2'!I150),"Não","Sim"))</f>
        <v/>
      </c>
      <c r="O150" s="14"/>
      <c r="P150" s="10" t="str">
        <f aca="false">IF(LEN(H150)=3,"Defeito encontrado",IF(I150="Sim","Falso alarme",IF(H150="—","Nenhum defeito apontado","")))</f>
        <v/>
      </c>
    </row>
    <row r="151" customFormat="false" ht="15" hidden="false" customHeight="false" outlineLevel="0" collapsed="false">
      <c r="A151" s="11" t="str">
        <f aca="false">Apontamentos!C151</f>
        <v/>
      </c>
      <c r="B151" s="11" t="str">
        <f aca="false">IF(Apontamentos!$C151="","",Apontamentos!A151&amp;"")</f>
        <v/>
      </c>
      <c r="C151" s="11" t="str">
        <f aca="false">IF(B151="","",IFERROR(INDEX(Execuções!$C$2:$C$97,MATCH(B151,Execuções!$A$2:$A$97,0)),"ID?"))</f>
        <v/>
      </c>
      <c r="D151" s="10" t="str">
        <f aca="false">IF(B151="","",IFERROR(INDEX(Execuções!$B$2:$B$97,MATCH(B151,Execuções!$A$2:$A$97,0)),"ID?"))</f>
        <v/>
      </c>
      <c r="E151" s="11" t="str">
        <f aca="false">IF(B151="","",Apontamentos!D151)</f>
        <v/>
      </c>
      <c r="F151" s="11" t="str">
        <f aca="false">IF(B151="","",Apontamentos!E151)</f>
        <v/>
      </c>
      <c r="G151" s="10" t="str">
        <f aca="false">IF(B151="","",Apontamentos!G151&amp;"")</f>
        <v/>
      </c>
      <c r="H151" s="14" t="str">
        <f aca="false">IF('Avaliador 1'!F151='Avaliador 2'!F151,'Avaliador 1'!F151&amp;"","")</f>
        <v/>
      </c>
      <c r="I151" s="14" t="str">
        <f aca="false">IF('Avaliador 1'!G151='Avaliador 2'!G151,'Avaliador 1'!G151&amp;"","")</f>
        <v/>
      </c>
      <c r="J151" s="14" t="str">
        <f aca="false">IF('Avaliador 1'!H151='Avaliador 2'!H151,'Avaliador 1'!H151&amp;"","")</f>
        <v/>
      </c>
      <c r="K151" s="14" t="str">
        <f aca="false">IF('Avaliador 1'!I151='Avaliador 2'!I151,'Avaliador 1'!I151&amp;"","")</f>
        <v/>
      </c>
      <c r="L151" s="13"/>
      <c r="M151" s="13" t="str">
        <f aca="false">IF('Avaliador 1'!J151='Avaliador 2'!J151,'Avaliador 1'!J151&amp;"","")</f>
        <v/>
      </c>
      <c r="N151" s="11" t="str">
        <f aca="false">IF(OR('Avaliador 1'!F151="",'Avaliador 2'!F151=""),"",IF(AND('Avaliador 1'!F151='Avaliador 2'!F151,'Avaliador 1'!G151='Avaliador 2'!G151,'Avaliador 1'!H151='Avaliador 2'!H151,'Avaliador 1'!I151='Avaliador 2'!I151),"Não","Sim"))</f>
        <v/>
      </c>
      <c r="O151" s="14"/>
      <c r="P151" s="10" t="str">
        <f aca="false">IF(LEN(H151)=3,"Defeito encontrado",IF(I151="Sim","Falso alarme",IF(H151="—","Nenhum defeito apontado","")))</f>
        <v/>
      </c>
    </row>
    <row r="152" customFormat="false" ht="15" hidden="false" customHeight="false" outlineLevel="0" collapsed="false">
      <c r="A152" s="11" t="str">
        <f aca="false">Apontamentos!C152</f>
        <v/>
      </c>
      <c r="B152" s="11" t="str">
        <f aca="false">IF(Apontamentos!$C152="","",Apontamentos!A152&amp;"")</f>
        <v/>
      </c>
      <c r="C152" s="11" t="str">
        <f aca="false">IF(B152="","",IFERROR(INDEX(Execuções!$C$2:$C$97,MATCH(B152,Execuções!$A$2:$A$97,0)),"ID?"))</f>
        <v/>
      </c>
      <c r="D152" s="10" t="str">
        <f aca="false">IF(B152="","",IFERROR(INDEX(Execuções!$B$2:$B$97,MATCH(B152,Execuções!$A$2:$A$97,0)),"ID?"))</f>
        <v/>
      </c>
      <c r="E152" s="11" t="str">
        <f aca="false">IF(B152="","",Apontamentos!D152)</f>
        <v/>
      </c>
      <c r="F152" s="11" t="str">
        <f aca="false">IF(B152="","",Apontamentos!E152)</f>
        <v/>
      </c>
      <c r="G152" s="10" t="str">
        <f aca="false">IF(B152="","",Apontamentos!G152&amp;"")</f>
        <v/>
      </c>
      <c r="H152" s="14" t="str">
        <f aca="false">IF('Avaliador 1'!F152='Avaliador 2'!F152,'Avaliador 1'!F152&amp;"","")</f>
        <v/>
      </c>
      <c r="I152" s="14" t="str">
        <f aca="false">IF('Avaliador 1'!G152='Avaliador 2'!G152,'Avaliador 1'!G152&amp;"","")</f>
        <v/>
      </c>
      <c r="J152" s="14" t="str">
        <f aca="false">IF('Avaliador 1'!H152='Avaliador 2'!H152,'Avaliador 1'!H152&amp;"","")</f>
        <v/>
      </c>
      <c r="K152" s="14" t="str">
        <f aca="false">IF('Avaliador 1'!I152='Avaliador 2'!I152,'Avaliador 1'!I152&amp;"","")</f>
        <v/>
      </c>
      <c r="L152" s="13"/>
      <c r="M152" s="13" t="str">
        <f aca="false">IF('Avaliador 1'!J152='Avaliador 2'!J152,'Avaliador 1'!J152&amp;"","")</f>
        <v/>
      </c>
      <c r="N152" s="11" t="str">
        <f aca="false">IF(OR('Avaliador 1'!F152="",'Avaliador 2'!F152=""),"",IF(AND('Avaliador 1'!F152='Avaliador 2'!F152,'Avaliador 1'!G152='Avaliador 2'!G152,'Avaliador 1'!H152='Avaliador 2'!H152,'Avaliador 1'!I152='Avaliador 2'!I152),"Não","Sim"))</f>
        <v/>
      </c>
      <c r="O152" s="14"/>
      <c r="P152" s="10" t="str">
        <f aca="false">IF(LEN(H152)=3,"Defeito encontrado",IF(I152="Sim","Falso alarme",IF(H152="—","Nenhum defeito apontado","")))</f>
        <v/>
      </c>
    </row>
    <row r="153" customFormat="false" ht="15" hidden="false" customHeight="false" outlineLevel="0" collapsed="false">
      <c r="A153" s="11" t="str">
        <f aca="false">Apontamentos!C153</f>
        <v/>
      </c>
      <c r="B153" s="11" t="str">
        <f aca="false">IF(Apontamentos!$C153="","",Apontamentos!A153&amp;"")</f>
        <v/>
      </c>
      <c r="C153" s="11" t="str">
        <f aca="false">IF(B153="","",IFERROR(INDEX(Execuções!$C$2:$C$97,MATCH(B153,Execuções!$A$2:$A$97,0)),"ID?"))</f>
        <v/>
      </c>
      <c r="D153" s="10" t="str">
        <f aca="false">IF(B153="","",IFERROR(INDEX(Execuções!$B$2:$B$97,MATCH(B153,Execuções!$A$2:$A$97,0)),"ID?"))</f>
        <v/>
      </c>
      <c r="E153" s="11" t="str">
        <f aca="false">IF(B153="","",Apontamentos!D153)</f>
        <v/>
      </c>
      <c r="F153" s="11" t="str">
        <f aca="false">IF(B153="","",Apontamentos!E153)</f>
        <v/>
      </c>
      <c r="G153" s="10" t="str">
        <f aca="false">IF(B153="","",Apontamentos!G153&amp;"")</f>
        <v/>
      </c>
      <c r="H153" s="14" t="str">
        <f aca="false">IF('Avaliador 1'!F153='Avaliador 2'!F153,'Avaliador 1'!F153&amp;"","")</f>
        <v/>
      </c>
      <c r="I153" s="14" t="str">
        <f aca="false">IF('Avaliador 1'!G153='Avaliador 2'!G153,'Avaliador 1'!G153&amp;"","")</f>
        <v/>
      </c>
      <c r="J153" s="14" t="str">
        <f aca="false">IF('Avaliador 1'!H153='Avaliador 2'!H153,'Avaliador 1'!H153&amp;"","")</f>
        <v/>
      </c>
      <c r="K153" s="14" t="str">
        <f aca="false">IF('Avaliador 1'!I153='Avaliador 2'!I153,'Avaliador 1'!I153&amp;"","")</f>
        <v/>
      </c>
      <c r="L153" s="13"/>
      <c r="M153" s="13" t="str">
        <f aca="false">IF('Avaliador 1'!J153='Avaliador 2'!J153,'Avaliador 1'!J153&amp;"","")</f>
        <v/>
      </c>
      <c r="N153" s="11" t="str">
        <f aca="false">IF(OR('Avaliador 1'!F153="",'Avaliador 2'!F153=""),"",IF(AND('Avaliador 1'!F153='Avaliador 2'!F153,'Avaliador 1'!G153='Avaliador 2'!G153,'Avaliador 1'!H153='Avaliador 2'!H153,'Avaliador 1'!I153='Avaliador 2'!I153),"Não","Sim"))</f>
        <v/>
      </c>
      <c r="O153" s="14"/>
      <c r="P153" s="10" t="str">
        <f aca="false">IF(LEN(H153)=3,"Defeito encontrado",IF(I153="Sim","Falso alarme",IF(H153="—","Nenhum defeito apontado","")))</f>
        <v/>
      </c>
    </row>
    <row r="154" customFormat="false" ht="15" hidden="false" customHeight="false" outlineLevel="0" collapsed="false">
      <c r="A154" s="11" t="str">
        <f aca="false">Apontamentos!C154</f>
        <v/>
      </c>
      <c r="B154" s="11" t="str">
        <f aca="false">IF(Apontamentos!$C154="","",Apontamentos!A154&amp;"")</f>
        <v/>
      </c>
      <c r="C154" s="11" t="str">
        <f aca="false">IF(B154="","",IFERROR(INDEX(Execuções!$C$2:$C$97,MATCH(B154,Execuções!$A$2:$A$97,0)),"ID?"))</f>
        <v/>
      </c>
      <c r="D154" s="10" t="str">
        <f aca="false">IF(B154="","",IFERROR(INDEX(Execuções!$B$2:$B$97,MATCH(B154,Execuções!$A$2:$A$97,0)),"ID?"))</f>
        <v/>
      </c>
      <c r="E154" s="11" t="str">
        <f aca="false">IF(B154="","",Apontamentos!D154)</f>
        <v/>
      </c>
      <c r="F154" s="11" t="str">
        <f aca="false">IF(B154="","",Apontamentos!E154)</f>
        <v/>
      </c>
      <c r="G154" s="10" t="str">
        <f aca="false">IF(B154="","",Apontamentos!G154&amp;"")</f>
        <v/>
      </c>
      <c r="H154" s="14" t="str">
        <f aca="false">IF('Avaliador 1'!F154='Avaliador 2'!F154,'Avaliador 1'!F154&amp;"","")</f>
        <v/>
      </c>
      <c r="I154" s="14" t="str">
        <f aca="false">IF('Avaliador 1'!G154='Avaliador 2'!G154,'Avaliador 1'!G154&amp;"","")</f>
        <v/>
      </c>
      <c r="J154" s="14" t="str">
        <f aca="false">IF('Avaliador 1'!H154='Avaliador 2'!H154,'Avaliador 1'!H154&amp;"","")</f>
        <v/>
      </c>
      <c r="K154" s="14" t="str">
        <f aca="false">IF('Avaliador 1'!I154='Avaliador 2'!I154,'Avaliador 1'!I154&amp;"","")</f>
        <v/>
      </c>
      <c r="L154" s="13"/>
      <c r="M154" s="13" t="str">
        <f aca="false">IF('Avaliador 1'!J154='Avaliador 2'!J154,'Avaliador 1'!J154&amp;"","")</f>
        <v/>
      </c>
      <c r="N154" s="11" t="str">
        <f aca="false">IF(OR('Avaliador 1'!F154="",'Avaliador 2'!F154=""),"",IF(AND('Avaliador 1'!F154='Avaliador 2'!F154,'Avaliador 1'!G154='Avaliador 2'!G154,'Avaliador 1'!H154='Avaliador 2'!H154,'Avaliador 1'!I154='Avaliador 2'!I154),"Não","Sim"))</f>
        <v/>
      </c>
      <c r="O154" s="14"/>
      <c r="P154" s="10" t="str">
        <f aca="false">IF(LEN(H154)=3,"Defeito encontrado",IF(I154="Sim","Falso alarme",IF(H154="—","Nenhum defeito apontado","")))</f>
        <v/>
      </c>
    </row>
    <row r="155" customFormat="false" ht="15" hidden="false" customHeight="false" outlineLevel="0" collapsed="false">
      <c r="A155" s="11" t="str">
        <f aca="false">Apontamentos!C155</f>
        <v/>
      </c>
      <c r="B155" s="11" t="str">
        <f aca="false">IF(Apontamentos!$C155="","",Apontamentos!A155&amp;"")</f>
        <v/>
      </c>
      <c r="C155" s="11" t="str">
        <f aca="false">IF(B155="","",IFERROR(INDEX(Execuções!$C$2:$C$97,MATCH(B155,Execuções!$A$2:$A$97,0)),"ID?"))</f>
        <v/>
      </c>
      <c r="D155" s="10" t="str">
        <f aca="false">IF(B155="","",IFERROR(INDEX(Execuções!$B$2:$B$97,MATCH(B155,Execuções!$A$2:$A$97,0)),"ID?"))</f>
        <v/>
      </c>
      <c r="E155" s="11" t="str">
        <f aca="false">IF(B155="","",Apontamentos!D155)</f>
        <v/>
      </c>
      <c r="F155" s="11" t="str">
        <f aca="false">IF(B155="","",Apontamentos!E155)</f>
        <v/>
      </c>
      <c r="G155" s="10" t="str">
        <f aca="false">IF(B155="","",Apontamentos!G155&amp;"")</f>
        <v/>
      </c>
      <c r="H155" s="14" t="str">
        <f aca="false">IF('Avaliador 1'!F155='Avaliador 2'!F155,'Avaliador 1'!F155&amp;"","")</f>
        <v/>
      </c>
      <c r="I155" s="14" t="str">
        <f aca="false">IF('Avaliador 1'!G155='Avaliador 2'!G155,'Avaliador 1'!G155&amp;"","")</f>
        <v/>
      </c>
      <c r="J155" s="14" t="str">
        <f aca="false">IF('Avaliador 1'!H155='Avaliador 2'!H155,'Avaliador 1'!H155&amp;"","")</f>
        <v/>
      </c>
      <c r="K155" s="14" t="str">
        <f aca="false">IF('Avaliador 1'!I155='Avaliador 2'!I155,'Avaliador 1'!I155&amp;"","")</f>
        <v/>
      </c>
      <c r="L155" s="13"/>
      <c r="M155" s="13" t="str">
        <f aca="false">IF('Avaliador 1'!J155='Avaliador 2'!J155,'Avaliador 1'!J155&amp;"","")</f>
        <v/>
      </c>
      <c r="N155" s="11" t="str">
        <f aca="false">IF(OR('Avaliador 1'!F155="",'Avaliador 2'!F155=""),"",IF(AND('Avaliador 1'!F155='Avaliador 2'!F155,'Avaliador 1'!G155='Avaliador 2'!G155,'Avaliador 1'!H155='Avaliador 2'!H155,'Avaliador 1'!I155='Avaliador 2'!I155),"Não","Sim"))</f>
        <v/>
      </c>
      <c r="O155" s="14"/>
      <c r="P155" s="10" t="str">
        <f aca="false">IF(LEN(H155)=3,"Defeito encontrado",IF(I155="Sim","Falso alarme",IF(H155="—","Nenhum defeito apontado","")))</f>
        <v/>
      </c>
    </row>
    <row r="156" customFormat="false" ht="15" hidden="false" customHeight="false" outlineLevel="0" collapsed="false">
      <c r="A156" s="11" t="str">
        <f aca="false">Apontamentos!C156</f>
        <v/>
      </c>
      <c r="B156" s="11" t="str">
        <f aca="false">IF(Apontamentos!$C156="","",Apontamentos!A156&amp;"")</f>
        <v/>
      </c>
      <c r="C156" s="11" t="str">
        <f aca="false">IF(B156="","",IFERROR(INDEX(Execuções!$C$2:$C$97,MATCH(B156,Execuções!$A$2:$A$97,0)),"ID?"))</f>
        <v/>
      </c>
      <c r="D156" s="10" t="str">
        <f aca="false">IF(B156="","",IFERROR(INDEX(Execuções!$B$2:$B$97,MATCH(B156,Execuções!$A$2:$A$97,0)),"ID?"))</f>
        <v/>
      </c>
      <c r="E156" s="11" t="str">
        <f aca="false">IF(B156="","",Apontamentos!D156)</f>
        <v/>
      </c>
      <c r="F156" s="11" t="str">
        <f aca="false">IF(B156="","",Apontamentos!E156)</f>
        <v/>
      </c>
      <c r="G156" s="10" t="str">
        <f aca="false">IF(B156="","",Apontamentos!G156&amp;"")</f>
        <v/>
      </c>
      <c r="H156" s="14" t="str">
        <f aca="false">IF('Avaliador 1'!F156='Avaliador 2'!F156,'Avaliador 1'!F156&amp;"","")</f>
        <v/>
      </c>
      <c r="I156" s="14" t="str">
        <f aca="false">IF('Avaliador 1'!G156='Avaliador 2'!G156,'Avaliador 1'!G156&amp;"","")</f>
        <v/>
      </c>
      <c r="J156" s="14" t="str">
        <f aca="false">IF('Avaliador 1'!H156='Avaliador 2'!H156,'Avaliador 1'!H156&amp;"","")</f>
        <v/>
      </c>
      <c r="K156" s="14" t="str">
        <f aca="false">IF('Avaliador 1'!I156='Avaliador 2'!I156,'Avaliador 1'!I156&amp;"","")</f>
        <v/>
      </c>
      <c r="L156" s="13"/>
      <c r="M156" s="13" t="str">
        <f aca="false">IF('Avaliador 1'!J156='Avaliador 2'!J156,'Avaliador 1'!J156&amp;"","")</f>
        <v/>
      </c>
      <c r="N156" s="11" t="str">
        <f aca="false">IF(OR('Avaliador 1'!F156="",'Avaliador 2'!F156=""),"",IF(AND('Avaliador 1'!F156='Avaliador 2'!F156,'Avaliador 1'!G156='Avaliador 2'!G156,'Avaliador 1'!H156='Avaliador 2'!H156,'Avaliador 1'!I156='Avaliador 2'!I156),"Não","Sim"))</f>
        <v/>
      </c>
      <c r="O156" s="14"/>
      <c r="P156" s="10" t="str">
        <f aca="false">IF(LEN(H156)=3,"Defeito encontrado",IF(I156="Sim","Falso alarme",IF(H156="—","Nenhum defeito apontado","")))</f>
        <v/>
      </c>
    </row>
    <row r="157" customFormat="false" ht="15" hidden="false" customHeight="false" outlineLevel="0" collapsed="false">
      <c r="A157" s="11" t="str">
        <f aca="false">Apontamentos!C157</f>
        <v/>
      </c>
      <c r="B157" s="11" t="str">
        <f aca="false">IF(Apontamentos!$C157="","",Apontamentos!A157&amp;"")</f>
        <v/>
      </c>
      <c r="C157" s="11" t="str">
        <f aca="false">IF(B157="","",IFERROR(INDEX(Execuções!$C$2:$C$97,MATCH(B157,Execuções!$A$2:$A$97,0)),"ID?"))</f>
        <v/>
      </c>
      <c r="D157" s="10" t="str">
        <f aca="false">IF(B157="","",IFERROR(INDEX(Execuções!$B$2:$B$97,MATCH(B157,Execuções!$A$2:$A$97,0)),"ID?"))</f>
        <v/>
      </c>
      <c r="E157" s="11" t="str">
        <f aca="false">IF(B157="","",Apontamentos!D157)</f>
        <v/>
      </c>
      <c r="F157" s="11" t="str">
        <f aca="false">IF(B157="","",Apontamentos!E157)</f>
        <v/>
      </c>
      <c r="G157" s="10" t="str">
        <f aca="false">IF(B157="","",Apontamentos!G157&amp;"")</f>
        <v/>
      </c>
      <c r="H157" s="14" t="str">
        <f aca="false">IF('Avaliador 1'!F157='Avaliador 2'!F157,'Avaliador 1'!F157&amp;"","")</f>
        <v/>
      </c>
      <c r="I157" s="14" t="str">
        <f aca="false">IF('Avaliador 1'!G157='Avaliador 2'!G157,'Avaliador 1'!G157&amp;"","")</f>
        <v/>
      </c>
      <c r="J157" s="14" t="str">
        <f aca="false">IF('Avaliador 1'!H157='Avaliador 2'!H157,'Avaliador 1'!H157&amp;"","")</f>
        <v/>
      </c>
      <c r="K157" s="14" t="str">
        <f aca="false">IF('Avaliador 1'!I157='Avaliador 2'!I157,'Avaliador 1'!I157&amp;"","")</f>
        <v/>
      </c>
      <c r="L157" s="13"/>
      <c r="M157" s="13" t="str">
        <f aca="false">IF('Avaliador 1'!J157='Avaliador 2'!J157,'Avaliador 1'!J157&amp;"","")</f>
        <v/>
      </c>
      <c r="N157" s="11" t="str">
        <f aca="false">IF(OR('Avaliador 1'!F157="",'Avaliador 2'!F157=""),"",IF(AND('Avaliador 1'!F157='Avaliador 2'!F157,'Avaliador 1'!G157='Avaliador 2'!G157,'Avaliador 1'!H157='Avaliador 2'!H157,'Avaliador 1'!I157='Avaliador 2'!I157),"Não","Sim"))</f>
        <v/>
      </c>
      <c r="O157" s="14"/>
      <c r="P157" s="10" t="str">
        <f aca="false">IF(LEN(H157)=3,"Defeito encontrado",IF(I157="Sim","Falso alarme",IF(H157="—","Nenhum defeito apontado","")))</f>
        <v/>
      </c>
    </row>
    <row r="158" customFormat="false" ht="15" hidden="false" customHeight="false" outlineLevel="0" collapsed="false">
      <c r="A158" s="11" t="str">
        <f aca="false">Apontamentos!C158</f>
        <v/>
      </c>
      <c r="B158" s="11" t="str">
        <f aca="false">IF(Apontamentos!$C158="","",Apontamentos!A158&amp;"")</f>
        <v/>
      </c>
      <c r="C158" s="11" t="str">
        <f aca="false">IF(B158="","",IFERROR(INDEX(Execuções!$C$2:$C$97,MATCH(B158,Execuções!$A$2:$A$97,0)),"ID?"))</f>
        <v/>
      </c>
      <c r="D158" s="10" t="str">
        <f aca="false">IF(B158="","",IFERROR(INDEX(Execuções!$B$2:$B$97,MATCH(B158,Execuções!$A$2:$A$97,0)),"ID?"))</f>
        <v/>
      </c>
      <c r="E158" s="11" t="str">
        <f aca="false">IF(B158="","",Apontamentos!D158)</f>
        <v/>
      </c>
      <c r="F158" s="11" t="str">
        <f aca="false">IF(B158="","",Apontamentos!E158)</f>
        <v/>
      </c>
      <c r="G158" s="10" t="str">
        <f aca="false">IF(B158="","",Apontamentos!G158&amp;"")</f>
        <v/>
      </c>
      <c r="H158" s="14" t="str">
        <f aca="false">IF('Avaliador 1'!F158='Avaliador 2'!F158,'Avaliador 1'!F158&amp;"","")</f>
        <v/>
      </c>
      <c r="I158" s="14" t="str">
        <f aca="false">IF('Avaliador 1'!G158='Avaliador 2'!G158,'Avaliador 1'!G158&amp;"","")</f>
        <v/>
      </c>
      <c r="J158" s="14" t="str">
        <f aca="false">IF('Avaliador 1'!H158='Avaliador 2'!H158,'Avaliador 1'!H158&amp;"","")</f>
        <v/>
      </c>
      <c r="K158" s="14" t="str">
        <f aca="false">IF('Avaliador 1'!I158='Avaliador 2'!I158,'Avaliador 1'!I158&amp;"","")</f>
        <v/>
      </c>
      <c r="L158" s="13"/>
      <c r="M158" s="13" t="str">
        <f aca="false">IF('Avaliador 1'!J158='Avaliador 2'!J158,'Avaliador 1'!J158&amp;"","")</f>
        <v/>
      </c>
      <c r="N158" s="11" t="str">
        <f aca="false">IF(OR('Avaliador 1'!F158="",'Avaliador 2'!F158=""),"",IF(AND('Avaliador 1'!F158='Avaliador 2'!F158,'Avaliador 1'!G158='Avaliador 2'!G158,'Avaliador 1'!H158='Avaliador 2'!H158,'Avaliador 1'!I158='Avaliador 2'!I158),"Não","Sim"))</f>
        <v/>
      </c>
      <c r="O158" s="14"/>
      <c r="P158" s="10" t="str">
        <f aca="false">IF(LEN(H158)=3,"Defeito encontrado",IF(I158="Sim","Falso alarme",IF(H158="—","Nenhum defeito apontado","")))</f>
        <v/>
      </c>
    </row>
    <row r="159" customFormat="false" ht="15" hidden="false" customHeight="false" outlineLevel="0" collapsed="false">
      <c r="A159" s="11" t="str">
        <f aca="false">Apontamentos!C159</f>
        <v/>
      </c>
      <c r="B159" s="11" t="str">
        <f aca="false">IF(Apontamentos!$C159="","",Apontamentos!A159&amp;"")</f>
        <v/>
      </c>
      <c r="C159" s="11" t="str">
        <f aca="false">IF(B159="","",IFERROR(INDEX(Execuções!$C$2:$C$97,MATCH(B159,Execuções!$A$2:$A$97,0)),"ID?"))</f>
        <v/>
      </c>
      <c r="D159" s="10" t="str">
        <f aca="false">IF(B159="","",IFERROR(INDEX(Execuções!$B$2:$B$97,MATCH(B159,Execuções!$A$2:$A$97,0)),"ID?"))</f>
        <v/>
      </c>
      <c r="E159" s="11" t="str">
        <f aca="false">IF(B159="","",Apontamentos!D159)</f>
        <v/>
      </c>
      <c r="F159" s="11" t="str">
        <f aca="false">IF(B159="","",Apontamentos!E159)</f>
        <v/>
      </c>
      <c r="G159" s="10" t="str">
        <f aca="false">IF(B159="","",Apontamentos!G159&amp;"")</f>
        <v/>
      </c>
      <c r="H159" s="14" t="str">
        <f aca="false">IF('Avaliador 1'!F159='Avaliador 2'!F159,'Avaliador 1'!F159&amp;"","")</f>
        <v/>
      </c>
      <c r="I159" s="14" t="str">
        <f aca="false">IF('Avaliador 1'!G159='Avaliador 2'!G159,'Avaliador 1'!G159&amp;"","")</f>
        <v/>
      </c>
      <c r="J159" s="14" t="str">
        <f aca="false">IF('Avaliador 1'!H159='Avaliador 2'!H159,'Avaliador 1'!H159&amp;"","")</f>
        <v/>
      </c>
      <c r="K159" s="14" t="str">
        <f aca="false">IF('Avaliador 1'!I159='Avaliador 2'!I159,'Avaliador 1'!I159&amp;"","")</f>
        <v/>
      </c>
      <c r="L159" s="13"/>
      <c r="M159" s="13" t="str">
        <f aca="false">IF('Avaliador 1'!J159='Avaliador 2'!J159,'Avaliador 1'!J159&amp;"","")</f>
        <v/>
      </c>
      <c r="N159" s="11" t="str">
        <f aca="false">IF(OR('Avaliador 1'!F159="",'Avaliador 2'!F159=""),"",IF(AND('Avaliador 1'!F159='Avaliador 2'!F159,'Avaliador 1'!G159='Avaliador 2'!G159,'Avaliador 1'!H159='Avaliador 2'!H159,'Avaliador 1'!I159='Avaliador 2'!I159),"Não","Sim"))</f>
        <v/>
      </c>
      <c r="O159" s="14"/>
      <c r="P159" s="10" t="str">
        <f aca="false">IF(LEN(H159)=3,"Defeito encontrado",IF(I159="Sim","Falso alarme",IF(H159="—","Nenhum defeito apontado","")))</f>
        <v/>
      </c>
    </row>
    <row r="160" customFormat="false" ht="15" hidden="false" customHeight="false" outlineLevel="0" collapsed="false">
      <c r="A160" s="11" t="str">
        <f aca="false">Apontamentos!C160</f>
        <v/>
      </c>
      <c r="B160" s="11" t="str">
        <f aca="false">IF(Apontamentos!$C160="","",Apontamentos!A160&amp;"")</f>
        <v/>
      </c>
      <c r="C160" s="11" t="str">
        <f aca="false">IF(B160="","",IFERROR(INDEX(Execuções!$C$2:$C$97,MATCH(B160,Execuções!$A$2:$A$97,0)),"ID?"))</f>
        <v/>
      </c>
      <c r="D160" s="10" t="str">
        <f aca="false">IF(B160="","",IFERROR(INDEX(Execuções!$B$2:$B$97,MATCH(B160,Execuções!$A$2:$A$97,0)),"ID?"))</f>
        <v/>
      </c>
      <c r="E160" s="11" t="str">
        <f aca="false">IF(B160="","",Apontamentos!D160)</f>
        <v/>
      </c>
      <c r="F160" s="11" t="str">
        <f aca="false">IF(B160="","",Apontamentos!E160)</f>
        <v/>
      </c>
      <c r="G160" s="10" t="str">
        <f aca="false">IF(B160="","",Apontamentos!G160&amp;"")</f>
        <v/>
      </c>
      <c r="H160" s="14" t="str">
        <f aca="false">IF('Avaliador 1'!F160='Avaliador 2'!F160,'Avaliador 1'!F160&amp;"","")</f>
        <v/>
      </c>
      <c r="I160" s="14" t="str">
        <f aca="false">IF('Avaliador 1'!G160='Avaliador 2'!G160,'Avaliador 1'!G160&amp;"","")</f>
        <v/>
      </c>
      <c r="J160" s="14" t="str">
        <f aca="false">IF('Avaliador 1'!H160='Avaliador 2'!H160,'Avaliador 1'!H160&amp;"","")</f>
        <v/>
      </c>
      <c r="K160" s="14" t="str">
        <f aca="false">IF('Avaliador 1'!I160='Avaliador 2'!I160,'Avaliador 1'!I160&amp;"","")</f>
        <v/>
      </c>
      <c r="L160" s="13"/>
      <c r="M160" s="13" t="str">
        <f aca="false">IF('Avaliador 1'!J160='Avaliador 2'!J160,'Avaliador 1'!J160&amp;"","")</f>
        <v/>
      </c>
      <c r="N160" s="11" t="str">
        <f aca="false">IF(OR('Avaliador 1'!F160="",'Avaliador 2'!F160=""),"",IF(AND('Avaliador 1'!F160='Avaliador 2'!F160,'Avaliador 1'!G160='Avaliador 2'!G160,'Avaliador 1'!H160='Avaliador 2'!H160,'Avaliador 1'!I160='Avaliador 2'!I160),"Não","Sim"))</f>
        <v/>
      </c>
      <c r="O160" s="14"/>
      <c r="P160" s="10" t="str">
        <f aca="false">IF(LEN(H160)=3,"Defeito encontrado",IF(I160="Sim","Falso alarme",IF(H160="—","Nenhum defeito apontado","")))</f>
        <v/>
      </c>
    </row>
    <row r="161" customFormat="false" ht="15" hidden="false" customHeight="false" outlineLevel="0" collapsed="false">
      <c r="A161" s="11" t="str">
        <f aca="false">Apontamentos!C161</f>
        <v/>
      </c>
      <c r="B161" s="11" t="str">
        <f aca="false">IF(Apontamentos!$C161="","",Apontamentos!A161&amp;"")</f>
        <v/>
      </c>
      <c r="C161" s="11" t="str">
        <f aca="false">IF(B161="","",IFERROR(INDEX(Execuções!$C$2:$C$97,MATCH(B161,Execuções!$A$2:$A$97,0)),"ID?"))</f>
        <v/>
      </c>
      <c r="D161" s="10" t="str">
        <f aca="false">IF(B161="","",IFERROR(INDEX(Execuções!$B$2:$B$97,MATCH(B161,Execuções!$A$2:$A$97,0)),"ID?"))</f>
        <v/>
      </c>
      <c r="E161" s="11" t="str">
        <f aca="false">IF(B161="","",Apontamentos!D161)</f>
        <v/>
      </c>
      <c r="F161" s="11" t="str">
        <f aca="false">IF(B161="","",Apontamentos!E161)</f>
        <v/>
      </c>
      <c r="G161" s="10" t="str">
        <f aca="false">IF(B161="","",Apontamentos!G161&amp;"")</f>
        <v/>
      </c>
      <c r="H161" s="14" t="str">
        <f aca="false">IF('Avaliador 1'!F161='Avaliador 2'!F161,'Avaliador 1'!F161&amp;"","")</f>
        <v/>
      </c>
      <c r="I161" s="14" t="str">
        <f aca="false">IF('Avaliador 1'!G161='Avaliador 2'!G161,'Avaliador 1'!G161&amp;"","")</f>
        <v/>
      </c>
      <c r="J161" s="14" t="str">
        <f aca="false">IF('Avaliador 1'!H161='Avaliador 2'!H161,'Avaliador 1'!H161&amp;"","")</f>
        <v/>
      </c>
      <c r="K161" s="14" t="str">
        <f aca="false">IF('Avaliador 1'!I161='Avaliador 2'!I161,'Avaliador 1'!I161&amp;"","")</f>
        <v/>
      </c>
      <c r="L161" s="13"/>
      <c r="M161" s="13" t="str">
        <f aca="false">IF('Avaliador 1'!J161='Avaliador 2'!J161,'Avaliador 1'!J161&amp;"","")</f>
        <v/>
      </c>
      <c r="N161" s="11" t="str">
        <f aca="false">IF(OR('Avaliador 1'!F161="",'Avaliador 2'!F161=""),"",IF(AND('Avaliador 1'!F161='Avaliador 2'!F161,'Avaliador 1'!G161='Avaliador 2'!G161,'Avaliador 1'!H161='Avaliador 2'!H161,'Avaliador 1'!I161='Avaliador 2'!I161),"Não","Sim"))</f>
        <v/>
      </c>
      <c r="O161" s="14"/>
      <c r="P161" s="10" t="str">
        <f aca="false">IF(LEN(H161)=3,"Defeito encontrado",IF(I161="Sim","Falso alarme",IF(H161="—","Nenhum defeito apontado","")))</f>
        <v/>
      </c>
    </row>
    <row r="162" customFormat="false" ht="15" hidden="false" customHeight="false" outlineLevel="0" collapsed="false">
      <c r="A162" s="11" t="str">
        <f aca="false">Apontamentos!C162</f>
        <v/>
      </c>
      <c r="B162" s="11" t="str">
        <f aca="false">IF(Apontamentos!$C162="","",Apontamentos!A162&amp;"")</f>
        <v/>
      </c>
      <c r="C162" s="11" t="str">
        <f aca="false">IF(B162="","",IFERROR(INDEX(Execuções!$C$2:$C$97,MATCH(B162,Execuções!$A$2:$A$97,0)),"ID?"))</f>
        <v/>
      </c>
      <c r="D162" s="10" t="str">
        <f aca="false">IF(B162="","",IFERROR(INDEX(Execuções!$B$2:$B$97,MATCH(B162,Execuções!$A$2:$A$97,0)),"ID?"))</f>
        <v/>
      </c>
      <c r="E162" s="11" t="str">
        <f aca="false">IF(B162="","",Apontamentos!D162)</f>
        <v/>
      </c>
      <c r="F162" s="11" t="str">
        <f aca="false">IF(B162="","",Apontamentos!E162)</f>
        <v/>
      </c>
      <c r="G162" s="10" t="str">
        <f aca="false">IF(B162="","",Apontamentos!G162&amp;"")</f>
        <v/>
      </c>
      <c r="H162" s="14" t="str">
        <f aca="false">IF('Avaliador 1'!F162='Avaliador 2'!F162,'Avaliador 1'!F162&amp;"","")</f>
        <v/>
      </c>
      <c r="I162" s="14" t="str">
        <f aca="false">IF('Avaliador 1'!G162='Avaliador 2'!G162,'Avaliador 1'!G162&amp;"","")</f>
        <v/>
      </c>
      <c r="J162" s="14" t="str">
        <f aca="false">IF('Avaliador 1'!H162='Avaliador 2'!H162,'Avaliador 1'!H162&amp;"","")</f>
        <v/>
      </c>
      <c r="K162" s="14" t="str">
        <f aca="false">IF('Avaliador 1'!I162='Avaliador 2'!I162,'Avaliador 1'!I162&amp;"","")</f>
        <v/>
      </c>
      <c r="L162" s="13"/>
      <c r="M162" s="13" t="str">
        <f aca="false">IF('Avaliador 1'!J162='Avaliador 2'!J162,'Avaliador 1'!J162&amp;"","")</f>
        <v/>
      </c>
      <c r="N162" s="11" t="str">
        <f aca="false">IF(OR('Avaliador 1'!F162="",'Avaliador 2'!F162=""),"",IF(AND('Avaliador 1'!F162='Avaliador 2'!F162,'Avaliador 1'!G162='Avaliador 2'!G162,'Avaliador 1'!H162='Avaliador 2'!H162,'Avaliador 1'!I162='Avaliador 2'!I162),"Não","Sim"))</f>
        <v/>
      </c>
      <c r="O162" s="14"/>
      <c r="P162" s="10" t="str">
        <f aca="false">IF(LEN(H162)=3,"Defeito encontrado",IF(I162="Sim","Falso alarme",IF(H162="—","Nenhum defeito apontado","")))</f>
        <v/>
      </c>
    </row>
    <row r="163" customFormat="false" ht="15" hidden="false" customHeight="false" outlineLevel="0" collapsed="false">
      <c r="A163" s="11" t="str">
        <f aca="false">Apontamentos!C163</f>
        <v/>
      </c>
      <c r="B163" s="11" t="str">
        <f aca="false">IF(Apontamentos!$C163="","",Apontamentos!A163&amp;"")</f>
        <v/>
      </c>
      <c r="C163" s="11" t="str">
        <f aca="false">IF(B163="","",IFERROR(INDEX(Execuções!$C$2:$C$97,MATCH(B163,Execuções!$A$2:$A$97,0)),"ID?"))</f>
        <v/>
      </c>
      <c r="D163" s="10" t="str">
        <f aca="false">IF(B163="","",IFERROR(INDEX(Execuções!$B$2:$B$97,MATCH(B163,Execuções!$A$2:$A$97,0)),"ID?"))</f>
        <v/>
      </c>
      <c r="E163" s="11" t="str">
        <f aca="false">IF(B163="","",Apontamentos!D163)</f>
        <v/>
      </c>
      <c r="F163" s="11" t="str">
        <f aca="false">IF(B163="","",Apontamentos!E163)</f>
        <v/>
      </c>
      <c r="G163" s="10" t="str">
        <f aca="false">IF(B163="","",Apontamentos!G163&amp;"")</f>
        <v/>
      </c>
      <c r="H163" s="14" t="str">
        <f aca="false">IF('Avaliador 1'!F163='Avaliador 2'!F163,'Avaliador 1'!F163&amp;"","")</f>
        <v/>
      </c>
      <c r="I163" s="14" t="str">
        <f aca="false">IF('Avaliador 1'!G163='Avaliador 2'!G163,'Avaliador 1'!G163&amp;"","")</f>
        <v/>
      </c>
      <c r="J163" s="14" t="str">
        <f aca="false">IF('Avaliador 1'!H163='Avaliador 2'!H163,'Avaliador 1'!H163&amp;"","")</f>
        <v/>
      </c>
      <c r="K163" s="14" t="str">
        <f aca="false">IF('Avaliador 1'!I163='Avaliador 2'!I163,'Avaliador 1'!I163&amp;"","")</f>
        <v/>
      </c>
      <c r="L163" s="13"/>
      <c r="M163" s="13" t="str">
        <f aca="false">IF('Avaliador 1'!J163='Avaliador 2'!J163,'Avaliador 1'!J163&amp;"","")</f>
        <v/>
      </c>
      <c r="N163" s="11" t="str">
        <f aca="false">IF(OR('Avaliador 1'!F163="",'Avaliador 2'!F163=""),"",IF(AND('Avaliador 1'!F163='Avaliador 2'!F163,'Avaliador 1'!G163='Avaliador 2'!G163,'Avaliador 1'!H163='Avaliador 2'!H163,'Avaliador 1'!I163='Avaliador 2'!I163),"Não","Sim"))</f>
        <v/>
      </c>
      <c r="O163" s="14"/>
      <c r="P163" s="10" t="str">
        <f aca="false">IF(LEN(H163)=3,"Defeito encontrado",IF(I163="Sim","Falso alarme",IF(H163="—","Nenhum defeito apontado","")))</f>
        <v/>
      </c>
    </row>
    <row r="164" customFormat="false" ht="15" hidden="false" customHeight="false" outlineLevel="0" collapsed="false">
      <c r="A164" s="11" t="str">
        <f aca="false">Apontamentos!C164</f>
        <v/>
      </c>
      <c r="B164" s="11" t="str">
        <f aca="false">IF(Apontamentos!$C164="","",Apontamentos!A164&amp;"")</f>
        <v/>
      </c>
      <c r="C164" s="11" t="str">
        <f aca="false">IF(B164="","",IFERROR(INDEX(Execuções!$C$2:$C$97,MATCH(B164,Execuções!$A$2:$A$97,0)),"ID?"))</f>
        <v/>
      </c>
      <c r="D164" s="10" t="str">
        <f aca="false">IF(B164="","",IFERROR(INDEX(Execuções!$B$2:$B$97,MATCH(B164,Execuções!$A$2:$A$97,0)),"ID?"))</f>
        <v/>
      </c>
      <c r="E164" s="11" t="str">
        <f aca="false">IF(B164="","",Apontamentos!D164)</f>
        <v/>
      </c>
      <c r="F164" s="11" t="str">
        <f aca="false">IF(B164="","",Apontamentos!E164)</f>
        <v/>
      </c>
      <c r="G164" s="10" t="str">
        <f aca="false">IF(B164="","",Apontamentos!G164&amp;"")</f>
        <v/>
      </c>
      <c r="H164" s="14" t="str">
        <f aca="false">IF('Avaliador 1'!F164='Avaliador 2'!F164,'Avaliador 1'!F164&amp;"","")</f>
        <v/>
      </c>
      <c r="I164" s="14" t="str">
        <f aca="false">IF('Avaliador 1'!G164='Avaliador 2'!G164,'Avaliador 1'!G164&amp;"","")</f>
        <v/>
      </c>
      <c r="J164" s="14" t="str">
        <f aca="false">IF('Avaliador 1'!H164='Avaliador 2'!H164,'Avaliador 1'!H164&amp;"","")</f>
        <v/>
      </c>
      <c r="K164" s="14" t="str">
        <f aca="false">IF('Avaliador 1'!I164='Avaliador 2'!I164,'Avaliador 1'!I164&amp;"","")</f>
        <v/>
      </c>
      <c r="L164" s="13"/>
      <c r="M164" s="13" t="str">
        <f aca="false">IF('Avaliador 1'!J164='Avaliador 2'!J164,'Avaliador 1'!J164&amp;"","")</f>
        <v/>
      </c>
      <c r="N164" s="11" t="str">
        <f aca="false">IF(OR('Avaliador 1'!F164="",'Avaliador 2'!F164=""),"",IF(AND('Avaliador 1'!F164='Avaliador 2'!F164,'Avaliador 1'!G164='Avaliador 2'!G164,'Avaliador 1'!H164='Avaliador 2'!H164,'Avaliador 1'!I164='Avaliador 2'!I164),"Não","Sim"))</f>
        <v/>
      </c>
      <c r="O164" s="14"/>
      <c r="P164" s="10" t="str">
        <f aca="false">IF(LEN(H164)=3,"Defeito encontrado",IF(I164="Sim","Falso alarme",IF(H164="—","Nenhum defeito apontado","")))</f>
        <v/>
      </c>
    </row>
    <row r="165" customFormat="false" ht="15" hidden="false" customHeight="false" outlineLevel="0" collapsed="false">
      <c r="A165" s="11" t="str">
        <f aca="false">Apontamentos!C165</f>
        <v/>
      </c>
      <c r="B165" s="11" t="str">
        <f aca="false">IF(Apontamentos!$C165="","",Apontamentos!A165&amp;"")</f>
        <v/>
      </c>
      <c r="C165" s="11" t="str">
        <f aca="false">IF(B165="","",IFERROR(INDEX(Execuções!$C$2:$C$97,MATCH(B165,Execuções!$A$2:$A$97,0)),"ID?"))</f>
        <v/>
      </c>
      <c r="D165" s="10" t="str">
        <f aca="false">IF(B165="","",IFERROR(INDEX(Execuções!$B$2:$B$97,MATCH(B165,Execuções!$A$2:$A$97,0)),"ID?"))</f>
        <v/>
      </c>
      <c r="E165" s="11" t="str">
        <f aca="false">IF(B165="","",Apontamentos!D165)</f>
        <v/>
      </c>
      <c r="F165" s="11" t="str">
        <f aca="false">IF(B165="","",Apontamentos!E165)</f>
        <v/>
      </c>
      <c r="G165" s="10" t="str">
        <f aca="false">IF(B165="","",Apontamentos!G165&amp;"")</f>
        <v/>
      </c>
      <c r="H165" s="14" t="str">
        <f aca="false">IF('Avaliador 1'!F165='Avaliador 2'!F165,'Avaliador 1'!F165&amp;"","")</f>
        <v/>
      </c>
      <c r="I165" s="14" t="str">
        <f aca="false">IF('Avaliador 1'!G165='Avaliador 2'!G165,'Avaliador 1'!G165&amp;"","")</f>
        <v/>
      </c>
      <c r="J165" s="14" t="str">
        <f aca="false">IF('Avaliador 1'!H165='Avaliador 2'!H165,'Avaliador 1'!H165&amp;"","")</f>
        <v/>
      </c>
      <c r="K165" s="14" t="str">
        <f aca="false">IF('Avaliador 1'!I165='Avaliador 2'!I165,'Avaliador 1'!I165&amp;"","")</f>
        <v/>
      </c>
      <c r="L165" s="13"/>
      <c r="M165" s="13" t="str">
        <f aca="false">IF('Avaliador 1'!J165='Avaliador 2'!J165,'Avaliador 1'!J165&amp;"","")</f>
        <v/>
      </c>
      <c r="N165" s="11" t="str">
        <f aca="false">IF(OR('Avaliador 1'!F165="",'Avaliador 2'!F165=""),"",IF(AND('Avaliador 1'!F165='Avaliador 2'!F165,'Avaliador 1'!G165='Avaliador 2'!G165,'Avaliador 1'!H165='Avaliador 2'!H165,'Avaliador 1'!I165='Avaliador 2'!I165),"Não","Sim"))</f>
        <v/>
      </c>
      <c r="O165" s="14"/>
      <c r="P165" s="10" t="str">
        <f aca="false">IF(LEN(H165)=3,"Defeito encontrado",IF(I165="Sim","Falso alarme",IF(H165="—","Nenhum defeito apontado","")))</f>
        <v/>
      </c>
    </row>
    <row r="166" customFormat="false" ht="15" hidden="false" customHeight="false" outlineLevel="0" collapsed="false">
      <c r="A166" s="11" t="str">
        <f aca="false">Apontamentos!C166</f>
        <v/>
      </c>
      <c r="B166" s="11" t="str">
        <f aca="false">IF(Apontamentos!$C166="","",Apontamentos!A166&amp;"")</f>
        <v/>
      </c>
      <c r="C166" s="11" t="str">
        <f aca="false">IF(B166="","",IFERROR(INDEX(Execuções!$C$2:$C$97,MATCH(B166,Execuções!$A$2:$A$97,0)),"ID?"))</f>
        <v/>
      </c>
      <c r="D166" s="10" t="str">
        <f aca="false">IF(B166="","",IFERROR(INDEX(Execuções!$B$2:$B$97,MATCH(B166,Execuções!$A$2:$A$97,0)),"ID?"))</f>
        <v/>
      </c>
      <c r="E166" s="11" t="str">
        <f aca="false">IF(B166="","",Apontamentos!D166)</f>
        <v/>
      </c>
      <c r="F166" s="11" t="str">
        <f aca="false">IF(B166="","",Apontamentos!E166)</f>
        <v/>
      </c>
      <c r="G166" s="10" t="str">
        <f aca="false">IF(B166="","",Apontamentos!G166&amp;"")</f>
        <v/>
      </c>
      <c r="H166" s="14" t="str">
        <f aca="false">IF('Avaliador 1'!F166='Avaliador 2'!F166,'Avaliador 1'!F166&amp;"","")</f>
        <v/>
      </c>
      <c r="I166" s="14" t="str">
        <f aca="false">IF('Avaliador 1'!G166='Avaliador 2'!G166,'Avaliador 1'!G166&amp;"","")</f>
        <v/>
      </c>
      <c r="J166" s="14" t="str">
        <f aca="false">IF('Avaliador 1'!H166='Avaliador 2'!H166,'Avaliador 1'!H166&amp;"","")</f>
        <v/>
      </c>
      <c r="K166" s="14" t="str">
        <f aca="false">IF('Avaliador 1'!I166='Avaliador 2'!I166,'Avaliador 1'!I166&amp;"","")</f>
        <v/>
      </c>
      <c r="L166" s="13"/>
      <c r="M166" s="13" t="str">
        <f aca="false">IF('Avaliador 1'!J166='Avaliador 2'!J166,'Avaliador 1'!J166&amp;"","")</f>
        <v/>
      </c>
      <c r="N166" s="11" t="str">
        <f aca="false">IF(OR('Avaliador 1'!F166="",'Avaliador 2'!F166=""),"",IF(AND('Avaliador 1'!F166='Avaliador 2'!F166,'Avaliador 1'!G166='Avaliador 2'!G166,'Avaliador 1'!H166='Avaliador 2'!H166,'Avaliador 1'!I166='Avaliador 2'!I166),"Não","Sim"))</f>
        <v/>
      </c>
      <c r="O166" s="14"/>
      <c r="P166" s="10" t="str">
        <f aca="false">IF(LEN(H166)=3,"Defeito encontrado",IF(I166="Sim","Falso alarme",IF(H166="—","Nenhum defeito apontado","")))</f>
        <v/>
      </c>
    </row>
    <row r="167" customFormat="false" ht="15" hidden="false" customHeight="false" outlineLevel="0" collapsed="false">
      <c r="A167" s="11" t="str">
        <f aca="false">Apontamentos!C167</f>
        <v/>
      </c>
      <c r="B167" s="11" t="str">
        <f aca="false">IF(Apontamentos!$C167="","",Apontamentos!A167&amp;"")</f>
        <v/>
      </c>
      <c r="C167" s="11" t="str">
        <f aca="false">IF(B167="","",IFERROR(INDEX(Execuções!$C$2:$C$97,MATCH(B167,Execuções!$A$2:$A$97,0)),"ID?"))</f>
        <v/>
      </c>
      <c r="D167" s="10" t="str">
        <f aca="false">IF(B167="","",IFERROR(INDEX(Execuções!$B$2:$B$97,MATCH(B167,Execuções!$A$2:$A$97,0)),"ID?"))</f>
        <v/>
      </c>
      <c r="E167" s="11" t="str">
        <f aca="false">IF(B167="","",Apontamentos!D167)</f>
        <v/>
      </c>
      <c r="F167" s="11" t="str">
        <f aca="false">IF(B167="","",Apontamentos!E167)</f>
        <v/>
      </c>
      <c r="G167" s="10" t="str">
        <f aca="false">IF(B167="","",Apontamentos!G167&amp;"")</f>
        <v/>
      </c>
      <c r="H167" s="14" t="str">
        <f aca="false">IF('Avaliador 1'!F167='Avaliador 2'!F167,'Avaliador 1'!F167&amp;"","")</f>
        <v/>
      </c>
      <c r="I167" s="14" t="str">
        <f aca="false">IF('Avaliador 1'!G167='Avaliador 2'!G167,'Avaliador 1'!G167&amp;"","")</f>
        <v/>
      </c>
      <c r="J167" s="14" t="str">
        <f aca="false">IF('Avaliador 1'!H167='Avaliador 2'!H167,'Avaliador 1'!H167&amp;"","")</f>
        <v/>
      </c>
      <c r="K167" s="14" t="str">
        <f aca="false">IF('Avaliador 1'!I167='Avaliador 2'!I167,'Avaliador 1'!I167&amp;"","")</f>
        <v/>
      </c>
      <c r="L167" s="13"/>
      <c r="M167" s="13" t="str">
        <f aca="false">IF('Avaliador 1'!J167='Avaliador 2'!J167,'Avaliador 1'!J167&amp;"","")</f>
        <v/>
      </c>
      <c r="N167" s="11" t="str">
        <f aca="false">IF(OR('Avaliador 1'!F167="",'Avaliador 2'!F167=""),"",IF(AND('Avaliador 1'!F167='Avaliador 2'!F167,'Avaliador 1'!G167='Avaliador 2'!G167,'Avaliador 1'!H167='Avaliador 2'!H167,'Avaliador 1'!I167='Avaliador 2'!I167),"Não","Sim"))</f>
        <v/>
      </c>
      <c r="O167" s="14"/>
      <c r="P167" s="10" t="str">
        <f aca="false">IF(LEN(H167)=3,"Defeito encontrado",IF(I167="Sim","Falso alarme",IF(H167="—","Nenhum defeito apontado","")))</f>
        <v/>
      </c>
    </row>
    <row r="168" customFormat="false" ht="15" hidden="false" customHeight="false" outlineLevel="0" collapsed="false">
      <c r="A168" s="11" t="str">
        <f aca="false">Apontamentos!C168</f>
        <v/>
      </c>
      <c r="B168" s="11" t="str">
        <f aca="false">IF(Apontamentos!$C168="","",Apontamentos!A168&amp;"")</f>
        <v/>
      </c>
      <c r="C168" s="11" t="str">
        <f aca="false">IF(B168="","",IFERROR(INDEX(Execuções!$C$2:$C$97,MATCH(B168,Execuções!$A$2:$A$97,0)),"ID?"))</f>
        <v/>
      </c>
      <c r="D168" s="10" t="str">
        <f aca="false">IF(B168="","",IFERROR(INDEX(Execuções!$B$2:$B$97,MATCH(B168,Execuções!$A$2:$A$97,0)),"ID?"))</f>
        <v/>
      </c>
      <c r="E168" s="11" t="str">
        <f aca="false">IF(B168="","",Apontamentos!D168)</f>
        <v/>
      </c>
      <c r="F168" s="11" t="str">
        <f aca="false">IF(B168="","",Apontamentos!E168)</f>
        <v/>
      </c>
      <c r="G168" s="10" t="str">
        <f aca="false">IF(B168="","",Apontamentos!G168&amp;"")</f>
        <v/>
      </c>
      <c r="H168" s="14" t="str">
        <f aca="false">IF('Avaliador 1'!F168='Avaliador 2'!F168,'Avaliador 1'!F168&amp;"","")</f>
        <v/>
      </c>
      <c r="I168" s="14" t="str">
        <f aca="false">IF('Avaliador 1'!G168='Avaliador 2'!G168,'Avaliador 1'!G168&amp;"","")</f>
        <v/>
      </c>
      <c r="J168" s="14" t="str">
        <f aca="false">IF('Avaliador 1'!H168='Avaliador 2'!H168,'Avaliador 1'!H168&amp;"","")</f>
        <v/>
      </c>
      <c r="K168" s="14" t="str">
        <f aca="false">IF('Avaliador 1'!I168='Avaliador 2'!I168,'Avaliador 1'!I168&amp;"","")</f>
        <v/>
      </c>
      <c r="L168" s="13"/>
      <c r="M168" s="13" t="str">
        <f aca="false">IF('Avaliador 1'!J168='Avaliador 2'!J168,'Avaliador 1'!J168&amp;"","")</f>
        <v/>
      </c>
      <c r="N168" s="11" t="str">
        <f aca="false">IF(OR('Avaliador 1'!F168="",'Avaliador 2'!F168=""),"",IF(AND('Avaliador 1'!F168='Avaliador 2'!F168,'Avaliador 1'!G168='Avaliador 2'!G168,'Avaliador 1'!H168='Avaliador 2'!H168,'Avaliador 1'!I168='Avaliador 2'!I168),"Não","Sim"))</f>
        <v/>
      </c>
      <c r="O168" s="14"/>
      <c r="P168" s="10" t="str">
        <f aca="false">IF(LEN(H168)=3,"Defeito encontrado",IF(I168="Sim","Falso alarme",IF(H168="—","Nenhum defeito apontado","")))</f>
        <v/>
      </c>
    </row>
    <row r="169" customFormat="false" ht="15" hidden="false" customHeight="false" outlineLevel="0" collapsed="false">
      <c r="A169" s="11" t="str">
        <f aca="false">Apontamentos!C169</f>
        <v/>
      </c>
      <c r="B169" s="11" t="str">
        <f aca="false">IF(Apontamentos!$C169="","",Apontamentos!A169&amp;"")</f>
        <v/>
      </c>
      <c r="C169" s="11" t="str">
        <f aca="false">IF(B169="","",IFERROR(INDEX(Execuções!$C$2:$C$97,MATCH(B169,Execuções!$A$2:$A$97,0)),"ID?"))</f>
        <v/>
      </c>
      <c r="D169" s="10" t="str">
        <f aca="false">IF(B169="","",IFERROR(INDEX(Execuções!$B$2:$B$97,MATCH(B169,Execuções!$A$2:$A$97,0)),"ID?"))</f>
        <v/>
      </c>
      <c r="E169" s="11" t="str">
        <f aca="false">IF(B169="","",Apontamentos!D169)</f>
        <v/>
      </c>
      <c r="F169" s="11" t="str">
        <f aca="false">IF(B169="","",Apontamentos!E169)</f>
        <v/>
      </c>
      <c r="G169" s="10" t="str">
        <f aca="false">IF(B169="","",Apontamentos!G169&amp;"")</f>
        <v/>
      </c>
      <c r="H169" s="14" t="str">
        <f aca="false">IF('Avaliador 1'!F169='Avaliador 2'!F169,'Avaliador 1'!F169&amp;"","")</f>
        <v/>
      </c>
      <c r="I169" s="14" t="str">
        <f aca="false">IF('Avaliador 1'!G169='Avaliador 2'!G169,'Avaliador 1'!G169&amp;"","")</f>
        <v/>
      </c>
      <c r="J169" s="14" t="str">
        <f aca="false">IF('Avaliador 1'!H169='Avaliador 2'!H169,'Avaliador 1'!H169&amp;"","")</f>
        <v/>
      </c>
      <c r="K169" s="14" t="str">
        <f aca="false">IF('Avaliador 1'!I169='Avaliador 2'!I169,'Avaliador 1'!I169&amp;"","")</f>
        <v/>
      </c>
      <c r="L169" s="13"/>
      <c r="M169" s="13" t="str">
        <f aca="false">IF('Avaliador 1'!J169='Avaliador 2'!J169,'Avaliador 1'!J169&amp;"","")</f>
        <v/>
      </c>
      <c r="N169" s="11" t="str">
        <f aca="false">IF(OR('Avaliador 1'!F169="",'Avaliador 2'!F169=""),"",IF(AND('Avaliador 1'!F169='Avaliador 2'!F169,'Avaliador 1'!G169='Avaliador 2'!G169,'Avaliador 1'!H169='Avaliador 2'!H169,'Avaliador 1'!I169='Avaliador 2'!I169),"Não","Sim"))</f>
        <v/>
      </c>
      <c r="O169" s="14"/>
      <c r="P169" s="10" t="str">
        <f aca="false">IF(LEN(H169)=3,"Defeito encontrado",IF(I169="Sim","Falso alarme",IF(H169="—","Nenhum defeito apontado","")))</f>
        <v/>
      </c>
    </row>
    <row r="170" customFormat="false" ht="15" hidden="false" customHeight="false" outlineLevel="0" collapsed="false">
      <c r="A170" s="11" t="str">
        <f aca="false">Apontamentos!C170</f>
        <v/>
      </c>
      <c r="B170" s="11" t="str">
        <f aca="false">IF(Apontamentos!$C170="","",Apontamentos!A170&amp;"")</f>
        <v/>
      </c>
      <c r="C170" s="11" t="str">
        <f aca="false">IF(B170="","",IFERROR(INDEX(Execuções!$C$2:$C$97,MATCH(B170,Execuções!$A$2:$A$97,0)),"ID?"))</f>
        <v/>
      </c>
      <c r="D170" s="10" t="str">
        <f aca="false">IF(B170="","",IFERROR(INDEX(Execuções!$B$2:$B$97,MATCH(B170,Execuções!$A$2:$A$97,0)),"ID?"))</f>
        <v/>
      </c>
      <c r="E170" s="11" t="str">
        <f aca="false">IF(B170="","",Apontamentos!D170)</f>
        <v/>
      </c>
      <c r="F170" s="11" t="str">
        <f aca="false">IF(B170="","",Apontamentos!E170)</f>
        <v/>
      </c>
      <c r="G170" s="10" t="str">
        <f aca="false">IF(B170="","",Apontamentos!G170&amp;"")</f>
        <v/>
      </c>
      <c r="H170" s="14" t="str">
        <f aca="false">IF('Avaliador 1'!F170='Avaliador 2'!F170,'Avaliador 1'!F170&amp;"","")</f>
        <v/>
      </c>
      <c r="I170" s="14" t="str">
        <f aca="false">IF('Avaliador 1'!G170='Avaliador 2'!G170,'Avaliador 1'!G170&amp;"","")</f>
        <v/>
      </c>
      <c r="J170" s="14" t="str">
        <f aca="false">IF('Avaliador 1'!H170='Avaliador 2'!H170,'Avaliador 1'!H170&amp;"","")</f>
        <v/>
      </c>
      <c r="K170" s="14" t="str">
        <f aca="false">IF('Avaliador 1'!I170='Avaliador 2'!I170,'Avaliador 1'!I170&amp;"","")</f>
        <v/>
      </c>
      <c r="L170" s="13"/>
      <c r="M170" s="13" t="str">
        <f aca="false">IF('Avaliador 1'!J170='Avaliador 2'!J170,'Avaliador 1'!J170&amp;"","")</f>
        <v/>
      </c>
      <c r="N170" s="11" t="str">
        <f aca="false">IF(OR('Avaliador 1'!F170="",'Avaliador 2'!F170=""),"",IF(AND('Avaliador 1'!F170='Avaliador 2'!F170,'Avaliador 1'!G170='Avaliador 2'!G170,'Avaliador 1'!H170='Avaliador 2'!H170,'Avaliador 1'!I170='Avaliador 2'!I170),"Não","Sim"))</f>
        <v/>
      </c>
      <c r="O170" s="14"/>
      <c r="P170" s="10" t="str">
        <f aca="false">IF(LEN(H170)=3,"Defeito encontrado",IF(I170="Sim","Falso alarme",IF(H170="—","Nenhum defeito apontado","")))</f>
        <v/>
      </c>
    </row>
    <row r="171" customFormat="false" ht="15" hidden="false" customHeight="false" outlineLevel="0" collapsed="false">
      <c r="A171" s="11" t="str">
        <f aca="false">Apontamentos!C171</f>
        <v/>
      </c>
      <c r="B171" s="11" t="str">
        <f aca="false">IF(Apontamentos!$C171="","",Apontamentos!A171&amp;"")</f>
        <v/>
      </c>
      <c r="C171" s="11" t="str">
        <f aca="false">IF(B171="","",IFERROR(INDEX(Execuções!$C$2:$C$97,MATCH(B171,Execuções!$A$2:$A$97,0)),"ID?"))</f>
        <v/>
      </c>
      <c r="D171" s="10" t="str">
        <f aca="false">IF(B171="","",IFERROR(INDEX(Execuções!$B$2:$B$97,MATCH(B171,Execuções!$A$2:$A$97,0)),"ID?"))</f>
        <v/>
      </c>
      <c r="E171" s="11" t="str">
        <f aca="false">IF(B171="","",Apontamentos!D171)</f>
        <v/>
      </c>
      <c r="F171" s="11" t="str">
        <f aca="false">IF(B171="","",Apontamentos!E171)</f>
        <v/>
      </c>
      <c r="G171" s="10" t="str">
        <f aca="false">IF(B171="","",Apontamentos!G171&amp;"")</f>
        <v/>
      </c>
      <c r="H171" s="14" t="str">
        <f aca="false">IF('Avaliador 1'!F171='Avaliador 2'!F171,'Avaliador 1'!F171&amp;"","")</f>
        <v/>
      </c>
      <c r="I171" s="14" t="str">
        <f aca="false">IF('Avaliador 1'!G171='Avaliador 2'!G171,'Avaliador 1'!G171&amp;"","")</f>
        <v/>
      </c>
      <c r="J171" s="14" t="str">
        <f aca="false">IF('Avaliador 1'!H171='Avaliador 2'!H171,'Avaliador 1'!H171&amp;"","")</f>
        <v/>
      </c>
      <c r="K171" s="14" t="str">
        <f aca="false">IF('Avaliador 1'!I171='Avaliador 2'!I171,'Avaliador 1'!I171&amp;"","")</f>
        <v/>
      </c>
      <c r="L171" s="13"/>
      <c r="M171" s="13" t="str">
        <f aca="false">IF('Avaliador 1'!J171='Avaliador 2'!J171,'Avaliador 1'!J171&amp;"","")</f>
        <v/>
      </c>
      <c r="N171" s="11" t="str">
        <f aca="false">IF(OR('Avaliador 1'!F171="",'Avaliador 2'!F171=""),"",IF(AND('Avaliador 1'!F171='Avaliador 2'!F171,'Avaliador 1'!G171='Avaliador 2'!G171,'Avaliador 1'!H171='Avaliador 2'!H171,'Avaliador 1'!I171='Avaliador 2'!I171),"Não","Sim"))</f>
        <v/>
      </c>
      <c r="O171" s="14"/>
      <c r="P171" s="10" t="str">
        <f aca="false">IF(LEN(H171)=3,"Defeito encontrado",IF(I171="Sim","Falso alarme",IF(H171="—","Nenhum defeito apontado","")))</f>
        <v/>
      </c>
    </row>
    <row r="172" customFormat="false" ht="15" hidden="false" customHeight="false" outlineLevel="0" collapsed="false">
      <c r="A172" s="11" t="str">
        <f aca="false">Apontamentos!C172</f>
        <v/>
      </c>
      <c r="B172" s="11" t="str">
        <f aca="false">IF(Apontamentos!$C172="","",Apontamentos!A172&amp;"")</f>
        <v/>
      </c>
      <c r="C172" s="11" t="str">
        <f aca="false">IF(B172="","",IFERROR(INDEX(Execuções!$C$2:$C$97,MATCH(B172,Execuções!$A$2:$A$97,0)),"ID?"))</f>
        <v/>
      </c>
      <c r="D172" s="10" t="str">
        <f aca="false">IF(B172="","",IFERROR(INDEX(Execuções!$B$2:$B$97,MATCH(B172,Execuções!$A$2:$A$97,0)),"ID?"))</f>
        <v/>
      </c>
      <c r="E172" s="11" t="str">
        <f aca="false">IF(B172="","",Apontamentos!D172)</f>
        <v/>
      </c>
      <c r="F172" s="11" t="str">
        <f aca="false">IF(B172="","",Apontamentos!E172)</f>
        <v/>
      </c>
      <c r="G172" s="10" t="str">
        <f aca="false">IF(B172="","",Apontamentos!G172&amp;"")</f>
        <v/>
      </c>
      <c r="H172" s="14" t="str">
        <f aca="false">IF('Avaliador 1'!F172='Avaliador 2'!F172,'Avaliador 1'!F172&amp;"","")</f>
        <v/>
      </c>
      <c r="I172" s="14" t="str">
        <f aca="false">IF('Avaliador 1'!G172='Avaliador 2'!G172,'Avaliador 1'!G172&amp;"","")</f>
        <v/>
      </c>
      <c r="J172" s="14" t="str">
        <f aca="false">IF('Avaliador 1'!H172='Avaliador 2'!H172,'Avaliador 1'!H172&amp;"","")</f>
        <v/>
      </c>
      <c r="K172" s="14" t="str">
        <f aca="false">IF('Avaliador 1'!I172='Avaliador 2'!I172,'Avaliador 1'!I172&amp;"","")</f>
        <v/>
      </c>
      <c r="L172" s="13"/>
      <c r="M172" s="13" t="str">
        <f aca="false">IF('Avaliador 1'!J172='Avaliador 2'!J172,'Avaliador 1'!J172&amp;"","")</f>
        <v/>
      </c>
      <c r="N172" s="11" t="str">
        <f aca="false">IF(OR('Avaliador 1'!F172="",'Avaliador 2'!F172=""),"",IF(AND('Avaliador 1'!F172='Avaliador 2'!F172,'Avaliador 1'!G172='Avaliador 2'!G172,'Avaliador 1'!H172='Avaliador 2'!H172,'Avaliador 1'!I172='Avaliador 2'!I172),"Não","Sim"))</f>
        <v/>
      </c>
      <c r="O172" s="14"/>
      <c r="P172" s="10" t="str">
        <f aca="false">IF(LEN(H172)=3,"Defeito encontrado",IF(I172="Sim","Falso alarme",IF(H172="—","Nenhum defeito apontado","")))</f>
        <v/>
      </c>
    </row>
    <row r="173" customFormat="false" ht="15" hidden="false" customHeight="false" outlineLevel="0" collapsed="false">
      <c r="A173" s="11" t="str">
        <f aca="false">Apontamentos!C173</f>
        <v/>
      </c>
      <c r="B173" s="11" t="str">
        <f aca="false">IF(Apontamentos!$C173="","",Apontamentos!A173&amp;"")</f>
        <v/>
      </c>
      <c r="C173" s="11" t="str">
        <f aca="false">IF(B173="","",IFERROR(INDEX(Execuções!$C$2:$C$97,MATCH(B173,Execuções!$A$2:$A$97,0)),"ID?"))</f>
        <v/>
      </c>
      <c r="D173" s="10" t="str">
        <f aca="false">IF(B173="","",IFERROR(INDEX(Execuções!$B$2:$B$97,MATCH(B173,Execuções!$A$2:$A$97,0)),"ID?"))</f>
        <v/>
      </c>
      <c r="E173" s="11" t="str">
        <f aca="false">IF(B173="","",Apontamentos!D173)</f>
        <v/>
      </c>
      <c r="F173" s="11" t="str">
        <f aca="false">IF(B173="","",Apontamentos!E173)</f>
        <v/>
      </c>
      <c r="G173" s="10" t="str">
        <f aca="false">IF(B173="","",Apontamentos!G173&amp;"")</f>
        <v/>
      </c>
      <c r="H173" s="14" t="str">
        <f aca="false">IF('Avaliador 1'!F173='Avaliador 2'!F173,'Avaliador 1'!F173&amp;"","")</f>
        <v/>
      </c>
      <c r="I173" s="14" t="str">
        <f aca="false">IF('Avaliador 1'!G173='Avaliador 2'!G173,'Avaliador 1'!G173&amp;"","")</f>
        <v/>
      </c>
      <c r="J173" s="14" t="str">
        <f aca="false">IF('Avaliador 1'!H173='Avaliador 2'!H173,'Avaliador 1'!H173&amp;"","")</f>
        <v/>
      </c>
      <c r="K173" s="14" t="str">
        <f aca="false">IF('Avaliador 1'!I173='Avaliador 2'!I173,'Avaliador 1'!I173&amp;"","")</f>
        <v/>
      </c>
      <c r="L173" s="13"/>
      <c r="M173" s="13" t="str">
        <f aca="false">IF('Avaliador 1'!J173='Avaliador 2'!J173,'Avaliador 1'!J173&amp;"","")</f>
        <v/>
      </c>
      <c r="N173" s="11" t="str">
        <f aca="false">IF(OR('Avaliador 1'!F173="",'Avaliador 2'!F173=""),"",IF(AND('Avaliador 1'!F173='Avaliador 2'!F173,'Avaliador 1'!G173='Avaliador 2'!G173,'Avaliador 1'!H173='Avaliador 2'!H173,'Avaliador 1'!I173='Avaliador 2'!I173),"Não","Sim"))</f>
        <v/>
      </c>
      <c r="O173" s="14"/>
      <c r="P173" s="10" t="str">
        <f aca="false">IF(LEN(H173)=3,"Defeito encontrado",IF(I173="Sim","Falso alarme",IF(H173="—","Nenhum defeito apontado","")))</f>
        <v/>
      </c>
    </row>
    <row r="174" customFormat="false" ht="15" hidden="false" customHeight="false" outlineLevel="0" collapsed="false">
      <c r="A174" s="11" t="str">
        <f aca="false">Apontamentos!C174</f>
        <v/>
      </c>
      <c r="B174" s="11" t="str">
        <f aca="false">IF(Apontamentos!$C174="","",Apontamentos!A174&amp;"")</f>
        <v/>
      </c>
      <c r="C174" s="11" t="str">
        <f aca="false">IF(B174="","",IFERROR(INDEX(Execuções!$C$2:$C$97,MATCH(B174,Execuções!$A$2:$A$97,0)),"ID?"))</f>
        <v/>
      </c>
      <c r="D174" s="10" t="str">
        <f aca="false">IF(B174="","",IFERROR(INDEX(Execuções!$B$2:$B$97,MATCH(B174,Execuções!$A$2:$A$97,0)),"ID?"))</f>
        <v/>
      </c>
      <c r="E174" s="11" t="str">
        <f aca="false">IF(B174="","",Apontamentos!D174)</f>
        <v/>
      </c>
      <c r="F174" s="11" t="str">
        <f aca="false">IF(B174="","",Apontamentos!E174)</f>
        <v/>
      </c>
      <c r="G174" s="10" t="str">
        <f aca="false">IF(B174="","",Apontamentos!G174&amp;"")</f>
        <v/>
      </c>
      <c r="H174" s="14" t="str">
        <f aca="false">IF('Avaliador 1'!F174='Avaliador 2'!F174,'Avaliador 1'!F174&amp;"","")</f>
        <v/>
      </c>
      <c r="I174" s="14" t="str">
        <f aca="false">IF('Avaliador 1'!G174='Avaliador 2'!G174,'Avaliador 1'!G174&amp;"","")</f>
        <v/>
      </c>
      <c r="J174" s="14" t="str">
        <f aca="false">IF('Avaliador 1'!H174='Avaliador 2'!H174,'Avaliador 1'!H174&amp;"","")</f>
        <v/>
      </c>
      <c r="K174" s="14" t="str">
        <f aca="false">IF('Avaliador 1'!I174='Avaliador 2'!I174,'Avaliador 1'!I174&amp;"","")</f>
        <v/>
      </c>
      <c r="L174" s="13"/>
      <c r="M174" s="13" t="str">
        <f aca="false">IF('Avaliador 1'!J174='Avaliador 2'!J174,'Avaliador 1'!J174&amp;"","")</f>
        <v/>
      </c>
      <c r="N174" s="11" t="str">
        <f aca="false">IF(OR('Avaliador 1'!F174="",'Avaliador 2'!F174=""),"",IF(AND('Avaliador 1'!F174='Avaliador 2'!F174,'Avaliador 1'!G174='Avaliador 2'!G174,'Avaliador 1'!H174='Avaliador 2'!H174,'Avaliador 1'!I174='Avaliador 2'!I174),"Não","Sim"))</f>
        <v/>
      </c>
      <c r="O174" s="14"/>
      <c r="P174" s="10" t="str">
        <f aca="false">IF(LEN(H174)=3,"Defeito encontrado",IF(I174="Sim","Falso alarme",IF(H174="—","Nenhum defeito apontado","")))</f>
        <v/>
      </c>
    </row>
    <row r="175" customFormat="false" ht="15" hidden="false" customHeight="false" outlineLevel="0" collapsed="false">
      <c r="A175" s="11" t="str">
        <f aca="false">Apontamentos!C175</f>
        <v/>
      </c>
      <c r="B175" s="11" t="str">
        <f aca="false">IF(Apontamentos!$C175="","",Apontamentos!A175&amp;"")</f>
        <v/>
      </c>
      <c r="C175" s="11" t="str">
        <f aca="false">IF(B175="","",IFERROR(INDEX(Execuções!$C$2:$C$97,MATCH(B175,Execuções!$A$2:$A$97,0)),"ID?"))</f>
        <v/>
      </c>
      <c r="D175" s="10" t="str">
        <f aca="false">IF(B175="","",IFERROR(INDEX(Execuções!$B$2:$B$97,MATCH(B175,Execuções!$A$2:$A$97,0)),"ID?"))</f>
        <v/>
      </c>
      <c r="E175" s="11" t="str">
        <f aca="false">IF(B175="","",Apontamentos!D175)</f>
        <v/>
      </c>
      <c r="F175" s="11" t="str">
        <f aca="false">IF(B175="","",Apontamentos!E175)</f>
        <v/>
      </c>
      <c r="G175" s="10" t="str">
        <f aca="false">IF(B175="","",Apontamentos!G175&amp;"")</f>
        <v/>
      </c>
      <c r="H175" s="14" t="str">
        <f aca="false">IF('Avaliador 1'!F175='Avaliador 2'!F175,'Avaliador 1'!F175&amp;"","")</f>
        <v/>
      </c>
      <c r="I175" s="14" t="str">
        <f aca="false">IF('Avaliador 1'!G175='Avaliador 2'!G175,'Avaliador 1'!G175&amp;"","")</f>
        <v/>
      </c>
      <c r="J175" s="14" t="str">
        <f aca="false">IF('Avaliador 1'!H175='Avaliador 2'!H175,'Avaliador 1'!H175&amp;"","")</f>
        <v/>
      </c>
      <c r="K175" s="14" t="str">
        <f aca="false">IF('Avaliador 1'!I175='Avaliador 2'!I175,'Avaliador 1'!I175&amp;"","")</f>
        <v/>
      </c>
      <c r="L175" s="13"/>
      <c r="M175" s="13" t="str">
        <f aca="false">IF('Avaliador 1'!J175='Avaliador 2'!J175,'Avaliador 1'!J175&amp;"","")</f>
        <v/>
      </c>
      <c r="N175" s="11" t="str">
        <f aca="false">IF(OR('Avaliador 1'!F175="",'Avaliador 2'!F175=""),"",IF(AND('Avaliador 1'!F175='Avaliador 2'!F175,'Avaliador 1'!G175='Avaliador 2'!G175,'Avaliador 1'!H175='Avaliador 2'!H175,'Avaliador 1'!I175='Avaliador 2'!I175),"Não","Sim"))</f>
        <v/>
      </c>
      <c r="O175" s="14"/>
      <c r="P175" s="10" t="str">
        <f aca="false">IF(LEN(H175)=3,"Defeito encontrado",IF(I175="Sim","Falso alarme",IF(H175="—","Nenhum defeito apontado","")))</f>
        <v/>
      </c>
    </row>
    <row r="176" customFormat="false" ht="15" hidden="false" customHeight="false" outlineLevel="0" collapsed="false">
      <c r="A176" s="11" t="str">
        <f aca="false">Apontamentos!C176</f>
        <v/>
      </c>
      <c r="B176" s="11" t="str">
        <f aca="false">IF(Apontamentos!$C176="","",Apontamentos!A176&amp;"")</f>
        <v/>
      </c>
      <c r="C176" s="11" t="str">
        <f aca="false">IF(B176="","",IFERROR(INDEX(Execuções!$C$2:$C$97,MATCH(B176,Execuções!$A$2:$A$97,0)),"ID?"))</f>
        <v/>
      </c>
      <c r="D176" s="10" t="str">
        <f aca="false">IF(B176="","",IFERROR(INDEX(Execuções!$B$2:$B$97,MATCH(B176,Execuções!$A$2:$A$97,0)),"ID?"))</f>
        <v/>
      </c>
      <c r="E176" s="11" t="str">
        <f aca="false">IF(B176="","",Apontamentos!D176)</f>
        <v/>
      </c>
      <c r="F176" s="11" t="str">
        <f aca="false">IF(B176="","",Apontamentos!E176)</f>
        <v/>
      </c>
      <c r="G176" s="10" t="str">
        <f aca="false">IF(B176="","",Apontamentos!G176&amp;"")</f>
        <v/>
      </c>
      <c r="H176" s="14" t="str">
        <f aca="false">IF('Avaliador 1'!F176='Avaliador 2'!F176,'Avaliador 1'!F176&amp;"","")</f>
        <v/>
      </c>
      <c r="I176" s="14" t="str">
        <f aca="false">IF('Avaliador 1'!G176='Avaliador 2'!G176,'Avaliador 1'!G176&amp;"","")</f>
        <v/>
      </c>
      <c r="J176" s="14" t="str">
        <f aca="false">IF('Avaliador 1'!H176='Avaliador 2'!H176,'Avaliador 1'!H176&amp;"","")</f>
        <v/>
      </c>
      <c r="K176" s="14" t="str">
        <f aca="false">IF('Avaliador 1'!I176='Avaliador 2'!I176,'Avaliador 1'!I176&amp;"","")</f>
        <v/>
      </c>
      <c r="L176" s="13"/>
      <c r="M176" s="13" t="str">
        <f aca="false">IF('Avaliador 1'!J176='Avaliador 2'!J176,'Avaliador 1'!J176&amp;"","")</f>
        <v/>
      </c>
      <c r="N176" s="11" t="str">
        <f aca="false">IF(OR('Avaliador 1'!F176="",'Avaliador 2'!F176=""),"",IF(AND('Avaliador 1'!F176='Avaliador 2'!F176,'Avaliador 1'!G176='Avaliador 2'!G176,'Avaliador 1'!H176='Avaliador 2'!H176,'Avaliador 1'!I176='Avaliador 2'!I176),"Não","Sim"))</f>
        <v/>
      </c>
      <c r="O176" s="14"/>
      <c r="P176" s="10" t="str">
        <f aca="false">IF(LEN(H176)=3,"Defeito encontrado",IF(I176="Sim","Falso alarme",IF(H176="—","Nenhum defeito apontado","")))</f>
        <v/>
      </c>
    </row>
    <row r="177" customFormat="false" ht="15" hidden="false" customHeight="false" outlineLevel="0" collapsed="false">
      <c r="A177" s="11" t="str">
        <f aca="false">Apontamentos!C177</f>
        <v/>
      </c>
      <c r="B177" s="11" t="str">
        <f aca="false">IF(Apontamentos!$C177="","",Apontamentos!A177&amp;"")</f>
        <v/>
      </c>
      <c r="C177" s="11" t="str">
        <f aca="false">IF(B177="","",IFERROR(INDEX(Execuções!$C$2:$C$97,MATCH(B177,Execuções!$A$2:$A$97,0)),"ID?"))</f>
        <v/>
      </c>
      <c r="D177" s="10" t="str">
        <f aca="false">IF(B177="","",IFERROR(INDEX(Execuções!$B$2:$B$97,MATCH(B177,Execuções!$A$2:$A$97,0)),"ID?"))</f>
        <v/>
      </c>
      <c r="E177" s="11" t="str">
        <f aca="false">IF(B177="","",Apontamentos!D177)</f>
        <v/>
      </c>
      <c r="F177" s="11" t="str">
        <f aca="false">IF(B177="","",Apontamentos!E177)</f>
        <v/>
      </c>
      <c r="G177" s="10" t="str">
        <f aca="false">IF(B177="","",Apontamentos!G177&amp;"")</f>
        <v/>
      </c>
      <c r="H177" s="14" t="str">
        <f aca="false">IF('Avaliador 1'!F177='Avaliador 2'!F177,'Avaliador 1'!F177&amp;"","")</f>
        <v/>
      </c>
      <c r="I177" s="14" t="str">
        <f aca="false">IF('Avaliador 1'!G177='Avaliador 2'!G177,'Avaliador 1'!G177&amp;"","")</f>
        <v/>
      </c>
      <c r="J177" s="14" t="str">
        <f aca="false">IF('Avaliador 1'!H177='Avaliador 2'!H177,'Avaliador 1'!H177&amp;"","")</f>
        <v/>
      </c>
      <c r="K177" s="14" t="str">
        <f aca="false">IF('Avaliador 1'!I177='Avaliador 2'!I177,'Avaliador 1'!I177&amp;"","")</f>
        <v/>
      </c>
      <c r="L177" s="13"/>
      <c r="M177" s="13" t="str">
        <f aca="false">IF('Avaliador 1'!J177='Avaliador 2'!J177,'Avaliador 1'!J177&amp;"","")</f>
        <v/>
      </c>
      <c r="N177" s="11" t="str">
        <f aca="false">IF(OR('Avaliador 1'!F177="",'Avaliador 2'!F177=""),"",IF(AND('Avaliador 1'!F177='Avaliador 2'!F177,'Avaliador 1'!G177='Avaliador 2'!G177,'Avaliador 1'!H177='Avaliador 2'!H177,'Avaliador 1'!I177='Avaliador 2'!I177),"Não","Sim"))</f>
        <v/>
      </c>
      <c r="O177" s="14"/>
      <c r="P177" s="10" t="str">
        <f aca="false">IF(LEN(H177)=3,"Defeito encontrado",IF(I177="Sim","Falso alarme",IF(H177="—","Nenhum defeito apontado","")))</f>
        <v/>
      </c>
    </row>
    <row r="178" customFormat="false" ht="15" hidden="false" customHeight="false" outlineLevel="0" collapsed="false">
      <c r="A178" s="11" t="str">
        <f aca="false">Apontamentos!C178</f>
        <v/>
      </c>
      <c r="B178" s="11" t="str">
        <f aca="false">IF(Apontamentos!$C178="","",Apontamentos!A178&amp;"")</f>
        <v/>
      </c>
      <c r="C178" s="11" t="str">
        <f aca="false">IF(B178="","",IFERROR(INDEX(Execuções!$C$2:$C$97,MATCH(B178,Execuções!$A$2:$A$97,0)),"ID?"))</f>
        <v/>
      </c>
      <c r="D178" s="10" t="str">
        <f aca="false">IF(B178="","",IFERROR(INDEX(Execuções!$B$2:$B$97,MATCH(B178,Execuções!$A$2:$A$97,0)),"ID?"))</f>
        <v/>
      </c>
      <c r="E178" s="11" t="str">
        <f aca="false">IF(B178="","",Apontamentos!D178)</f>
        <v/>
      </c>
      <c r="F178" s="11" t="str">
        <f aca="false">IF(B178="","",Apontamentos!E178)</f>
        <v/>
      </c>
      <c r="G178" s="10" t="str">
        <f aca="false">IF(B178="","",Apontamentos!G178&amp;"")</f>
        <v/>
      </c>
      <c r="H178" s="14" t="str">
        <f aca="false">IF('Avaliador 1'!F178='Avaliador 2'!F178,'Avaliador 1'!F178&amp;"","")</f>
        <v/>
      </c>
      <c r="I178" s="14" t="str">
        <f aca="false">IF('Avaliador 1'!G178='Avaliador 2'!G178,'Avaliador 1'!G178&amp;"","")</f>
        <v/>
      </c>
      <c r="J178" s="14" t="str">
        <f aca="false">IF('Avaliador 1'!H178='Avaliador 2'!H178,'Avaliador 1'!H178&amp;"","")</f>
        <v/>
      </c>
      <c r="K178" s="14" t="str">
        <f aca="false">IF('Avaliador 1'!I178='Avaliador 2'!I178,'Avaliador 1'!I178&amp;"","")</f>
        <v/>
      </c>
      <c r="L178" s="13"/>
      <c r="M178" s="13" t="str">
        <f aca="false">IF('Avaliador 1'!J178='Avaliador 2'!J178,'Avaliador 1'!J178&amp;"","")</f>
        <v/>
      </c>
      <c r="N178" s="11" t="str">
        <f aca="false">IF(OR('Avaliador 1'!F178="",'Avaliador 2'!F178=""),"",IF(AND('Avaliador 1'!F178='Avaliador 2'!F178,'Avaliador 1'!G178='Avaliador 2'!G178,'Avaliador 1'!H178='Avaliador 2'!H178,'Avaliador 1'!I178='Avaliador 2'!I178),"Não","Sim"))</f>
        <v/>
      </c>
      <c r="O178" s="14"/>
      <c r="P178" s="10" t="str">
        <f aca="false">IF(LEN(H178)=3,"Defeito encontrado",IF(I178="Sim","Falso alarme",IF(H178="—","Nenhum defeito apontado","")))</f>
        <v/>
      </c>
    </row>
    <row r="179" customFormat="false" ht="15" hidden="false" customHeight="false" outlineLevel="0" collapsed="false">
      <c r="A179" s="11" t="str">
        <f aca="false">Apontamentos!C179</f>
        <v/>
      </c>
      <c r="B179" s="11" t="str">
        <f aca="false">IF(Apontamentos!$C179="","",Apontamentos!A179&amp;"")</f>
        <v/>
      </c>
      <c r="C179" s="11" t="str">
        <f aca="false">IF(B179="","",IFERROR(INDEX(Execuções!$C$2:$C$97,MATCH(B179,Execuções!$A$2:$A$97,0)),"ID?"))</f>
        <v/>
      </c>
      <c r="D179" s="10" t="str">
        <f aca="false">IF(B179="","",IFERROR(INDEX(Execuções!$B$2:$B$97,MATCH(B179,Execuções!$A$2:$A$97,0)),"ID?"))</f>
        <v/>
      </c>
      <c r="E179" s="11" t="str">
        <f aca="false">IF(B179="","",Apontamentos!D179)</f>
        <v/>
      </c>
      <c r="F179" s="11" t="str">
        <f aca="false">IF(B179="","",Apontamentos!E179)</f>
        <v/>
      </c>
      <c r="G179" s="10" t="str">
        <f aca="false">IF(B179="","",Apontamentos!G179&amp;"")</f>
        <v/>
      </c>
      <c r="H179" s="14" t="str">
        <f aca="false">IF('Avaliador 1'!F179='Avaliador 2'!F179,'Avaliador 1'!F179&amp;"","")</f>
        <v/>
      </c>
      <c r="I179" s="14" t="str">
        <f aca="false">IF('Avaliador 1'!G179='Avaliador 2'!G179,'Avaliador 1'!G179&amp;"","")</f>
        <v/>
      </c>
      <c r="J179" s="14" t="str">
        <f aca="false">IF('Avaliador 1'!H179='Avaliador 2'!H179,'Avaliador 1'!H179&amp;"","")</f>
        <v/>
      </c>
      <c r="K179" s="14" t="str">
        <f aca="false">IF('Avaliador 1'!I179='Avaliador 2'!I179,'Avaliador 1'!I179&amp;"","")</f>
        <v/>
      </c>
      <c r="L179" s="13"/>
      <c r="M179" s="13" t="str">
        <f aca="false">IF('Avaliador 1'!J179='Avaliador 2'!J179,'Avaliador 1'!J179&amp;"","")</f>
        <v/>
      </c>
      <c r="N179" s="11" t="str">
        <f aca="false">IF(OR('Avaliador 1'!F179="",'Avaliador 2'!F179=""),"",IF(AND('Avaliador 1'!F179='Avaliador 2'!F179,'Avaliador 1'!G179='Avaliador 2'!G179,'Avaliador 1'!H179='Avaliador 2'!H179,'Avaliador 1'!I179='Avaliador 2'!I179),"Não","Sim"))</f>
        <v/>
      </c>
      <c r="O179" s="14"/>
      <c r="P179" s="10" t="str">
        <f aca="false">IF(LEN(H179)=3,"Defeito encontrado",IF(I179="Sim","Falso alarme",IF(H179="—","Nenhum defeito apontado","")))</f>
        <v/>
      </c>
    </row>
    <row r="180" customFormat="false" ht="15" hidden="false" customHeight="false" outlineLevel="0" collapsed="false">
      <c r="A180" s="11" t="str">
        <f aca="false">Apontamentos!C180</f>
        <v/>
      </c>
      <c r="B180" s="11" t="str">
        <f aca="false">IF(Apontamentos!$C180="","",Apontamentos!A180&amp;"")</f>
        <v/>
      </c>
      <c r="C180" s="11" t="str">
        <f aca="false">IF(B180="","",IFERROR(INDEX(Execuções!$C$2:$C$97,MATCH(B180,Execuções!$A$2:$A$97,0)),"ID?"))</f>
        <v/>
      </c>
      <c r="D180" s="10" t="str">
        <f aca="false">IF(B180="","",IFERROR(INDEX(Execuções!$B$2:$B$97,MATCH(B180,Execuções!$A$2:$A$97,0)),"ID?"))</f>
        <v/>
      </c>
      <c r="E180" s="11" t="str">
        <f aca="false">IF(B180="","",Apontamentos!D180)</f>
        <v/>
      </c>
      <c r="F180" s="11" t="str">
        <f aca="false">IF(B180="","",Apontamentos!E180)</f>
        <v/>
      </c>
      <c r="G180" s="10" t="str">
        <f aca="false">IF(B180="","",Apontamentos!G180&amp;"")</f>
        <v/>
      </c>
      <c r="H180" s="14" t="str">
        <f aca="false">IF('Avaliador 1'!F180='Avaliador 2'!F180,'Avaliador 1'!F180&amp;"","")</f>
        <v/>
      </c>
      <c r="I180" s="14" t="str">
        <f aca="false">IF('Avaliador 1'!G180='Avaliador 2'!G180,'Avaliador 1'!G180&amp;"","")</f>
        <v/>
      </c>
      <c r="J180" s="14" t="str">
        <f aca="false">IF('Avaliador 1'!H180='Avaliador 2'!H180,'Avaliador 1'!H180&amp;"","")</f>
        <v/>
      </c>
      <c r="K180" s="14" t="str">
        <f aca="false">IF('Avaliador 1'!I180='Avaliador 2'!I180,'Avaliador 1'!I180&amp;"","")</f>
        <v/>
      </c>
      <c r="L180" s="13"/>
      <c r="M180" s="13" t="str">
        <f aca="false">IF('Avaliador 1'!J180='Avaliador 2'!J180,'Avaliador 1'!J180&amp;"","")</f>
        <v/>
      </c>
      <c r="N180" s="11" t="str">
        <f aca="false">IF(OR('Avaliador 1'!F180="",'Avaliador 2'!F180=""),"",IF(AND('Avaliador 1'!F180='Avaliador 2'!F180,'Avaliador 1'!G180='Avaliador 2'!G180,'Avaliador 1'!H180='Avaliador 2'!H180,'Avaliador 1'!I180='Avaliador 2'!I180),"Não","Sim"))</f>
        <v/>
      </c>
      <c r="O180" s="14"/>
      <c r="P180" s="10" t="str">
        <f aca="false">IF(LEN(H180)=3,"Defeito encontrado",IF(I180="Sim","Falso alarme",IF(H180="—","Nenhum defeito apontado","")))</f>
        <v/>
      </c>
    </row>
    <row r="181" customFormat="false" ht="15" hidden="false" customHeight="false" outlineLevel="0" collapsed="false">
      <c r="A181" s="11" t="str">
        <f aca="false">Apontamentos!C181</f>
        <v/>
      </c>
      <c r="B181" s="11" t="str">
        <f aca="false">IF(Apontamentos!$C181="","",Apontamentos!A181&amp;"")</f>
        <v/>
      </c>
      <c r="C181" s="11" t="str">
        <f aca="false">IF(B181="","",IFERROR(INDEX(Execuções!$C$2:$C$97,MATCH(B181,Execuções!$A$2:$A$97,0)),"ID?"))</f>
        <v/>
      </c>
      <c r="D181" s="10" t="str">
        <f aca="false">IF(B181="","",IFERROR(INDEX(Execuções!$B$2:$B$97,MATCH(B181,Execuções!$A$2:$A$97,0)),"ID?"))</f>
        <v/>
      </c>
      <c r="E181" s="11" t="str">
        <f aca="false">IF(B181="","",Apontamentos!D181)</f>
        <v/>
      </c>
      <c r="F181" s="11" t="str">
        <f aca="false">IF(B181="","",Apontamentos!E181)</f>
        <v/>
      </c>
      <c r="G181" s="10" t="str">
        <f aca="false">IF(B181="","",Apontamentos!G181&amp;"")</f>
        <v/>
      </c>
      <c r="H181" s="14" t="str">
        <f aca="false">IF('Avaliador 1'!F181='Avaliador 2'!F181,'Avaliador 1'!F181&amp;"","")</f>
        <v/>
      </c>
      <c r="I181" s="14" t="str">
        <f aca="false">IF('Avaliador 1'!G181='Avaliador 2'!G181,'Avaliador 1'!G181&amp;"","")</f>
        <v/>
      </c>
      <c r="J181" s="14" t="str">
        <f aca="false">IF('Avaliador 1'!H181='Avaliador 2'!H181,'Avaliador 1'!H181&amp;"","")</f>
        <v/>
      </c>
      <c r="K181" s="14" t="str">
        <f aca="false">IF('Avaliador 1'!I181='Avaliador 2'!I181,'Avaliador 1'!I181&amp;"","")</f>
        <v/>
      </c>
      <c r="L181" s="13"/>
      <c r="M181" s="13" t="str">
        <f aca="false">IF('Avaliador 1'!J181='Avaliador 2'!J181,'Avaliador 1'!J181&amp;"","")</f>
        <v/>
      </c>
      <c r="N181" s="11" t="str">
        <f aca="false">IF(OR('Avaliador 1'!F181="",'Avaliador 2'!F181=""),"",IF(AND('Avaliador 1'!F181='Avaliador 2'!F181,'Avaliador 1'!G181='Avaliador 2'!G181,'Avaliador 1'!H181='Avaliador 2'!H181,'Avaliador 1'!I181='Avaliador 2'!I181),"Não","Sim"))</f>
        <v/>
      </c>
      <c r="O181" s="14"/>
      <c r="P181" s="10" t="str">
        <f aca="false">IF(LEN(H181)=3,"Defeito encontrado",IF(I181="Sim","Falso alarme",IF(H181="—","Nenhum defeito apontado","")))</f>
        <v/>
      </c>
    </row>
    <row r="182" customFormat="false" ht="15" hidden="false" customHeight="false" outlineLevel="0" collapsed="false">
      <c r="A182" s="11" t="str">
        <f aca="false">Apontamentos!C182</f>
        <v/>
      </c>
      <c r="B182" s="11" t="str">
        <f aca="false">IF(Apontamentos!$C182="","",Apontamentos!A182&amp;"")</f>
        <v/>
      </c>
      <c r="C182" s="11" t="str">
        <f aca="false">IF(B182="","",IFERROR(INDEX(Execuções!$C$2:$C$97,MATCH(B182,Execuções!$A$2:$A$97,0)),"ID?"))</f>
        <v/>
      </c>
      <c r="D182" s="10" t="str">
        <f aca="false">IF(B182="","",IFERROR(INDEX(Execuções!$B$2:$B$97,MATCH(B182,Execuções!$A$2:$A$97,0)),"ID?"))</f>
        <v/>
      </c>
      <c r="E182" s="11" t="str">
        <f aca="false">IF(B182="","",Apontamentos!D182)</f>
        <v/>
      </c>
      <c r="F182" s="11" t="str">
        <f aca="false">IF(B182="","",Apontamentos!E182)</f>
        <v/>
      </c>
      <c r="G182" s="10" t="str">
        <f aca="false">IF(B182="","",Apontamentos!G182&amp;"")</f>
        <v/>
      </c>
      <c r="H182" s="14" t="str">
        <f aca="false">IF('Avaliador 1'!F182='Avaliador 2'!F182,'Avaliador 1'!F182&amp;"","")</f>
        <v/>
      </c>
      <c r="I182" s="14" t="str">
        <f aca="false">IF('Avaliador 1'!G182='Avaliador 2'!G182,'Avaliador 1'!G182&amp;"","")</f>
        <v/>
      </c>
      <c r="J182" s="14" t="str">
        <f aca="false">IF('Avaliador 1'!H182='Avaliador 2'!H182,'Avaliador 1'!H182&amp;"","")</f>
        <v/>
      </c>
      <c r="K182" s="14" t="str">
        <f aca="false">IF('Avaliador 1'!I182='Avaliador 2'!I182,'Avaliador 1'!I182&amp;"","")</f>
        <v/>
      </c>
      <c r="L182" s="13"/>
      <c r="M182" s="13" t="str">
        <f aca="false">IF('Avaliador 1'!J182='Avaliador 2'!J182,'Avaliador 1'!J182&amp;"","")</f>
        <v/>
      </c>
      <c r="N182" s="11" t="str">
        <f aca="false">IF(OR('Avaliador 1'!F182="",'Avaliador 2'!F182=""),"",IF(AND('Avaliador 1'!F182='Avaliador 2'!F182,'Avaliador 1'!G182='Avaliador 2'!G182,'Avaliador 1'!H182='Avaliador 2'!H182,'Avaliador 1'!I182='Avaliador 2'!I182),"Não","Sim"))</f>
        <v/>
      </c>
      <c r="O182" s="14"/>
      <c r="P182" s="10" t="str">
        <f aca="false">IF(LEN(H182)=3,"Defeito encontrado",IF(I182="Sim","Falso alarme",IF(H182="—","Nenhum defeito apontado","")))</f>
        <v/>
      </c>
    </row>
    <row r="183" customFormat="false" ht="15" hidden="false" customHeight="false" outlineLevel="0" collapsed="false">
      <c r="A183" s="11" t="str">
        <f aca="false">Apontamentos!C183</f>
        <v/>
      </c>
      <c r="B183" s="11" t="str">
        <f aca="false">IF(Apontamentos!$C183="","",Apontamentos!A183&amp;"")</f>
        <v/>
      </c>
      <c r="C183" s="11" t="str">
        <f aca="false">IF(B183="","",IFERROR(INDEX(Execuções!$C$2:$C$97,MATCH(B183,Execuções!$A$2:$A$97,0)),"ID?"))</f>
        <v/>
      </c>
      <c r="D183" s="10" t="str">
        <f aca="false">IF(B183="","",IFERROR(INDEX(Execuções!$B$2:$B$97,MATCH(B183,Execuções!$A$2:$A$97,0)),"ID?"))</f>
        <v/>
      </c>
      <c r="E183" s="11" t="str">
        <f aca="false">IF(B183="","",Apontamentos!D183)</f>
        <v/>
      </c>
      <c r="F183" s="11" t="str">
        <f aca="false">IF(B183="","",Apontamentos!E183)</f>
        <v/>
      </c>
      <c r="G183" s="10" t="str">
        <f aca="false">IF(B183="","",Apontamentos!G183&amp;"")</f>
        <v/>
      </c>
      <c r="H183" s="14" t="str">
        <f aca="false">IF('Avaliador 1'!F183='Avaliador 2'!F183,'Avaliador 1'!F183&amp;"","")</f>
        <v/>
      </c>
      <c r="I183" s="14" t="str">
        <f aca="false">IF('Avaliador 1'!G183='Avaliador 2'!G183,'Avaliador 1'!G183&amp;"","")</f>
        <v/>
      </c>
      <c r="J183" s="14" t="str">
        <f aca="false">IF('Avaliador 1'!H183='Avaliador 2'!H183,'Avaliador 1'!H183&amp;"","")</f>
        <v/>
      </c>
      <c r="K183" s="14" t="str">
        <f aca="false">IF('Avaliador 1'!I183='Avaliador 2'!I183,'Avaliador 1'!I183&amp;"","")</f>
        <v/>
      </c>
      <c r="L183" s="13"/>
      <c r="M183" s="13" t="str">
        <f aca="false">IF('Avaliador 1'!J183='Avaliador 2'!J183,'Avaliador 1'!J183&amp;"","")</f>
        <v/>
      </c>
      <c r="N183" s="11" t="str">
        <f aca="false">IF(OR('Avaliador 1'!F183="",'Avaliador 2'!F183=""),"",IF(AND('Avaliador 1'!F183='Avaliador 2'!F183,'Avaliador 1'!G183='Avaliador 2'!G183,'Avaliador 1'!H183='Avaliador 2'!H183,'Avaliador 1'!I183='Avaliador 2'!I183),"Não","Sim"))</f>
        <v/>
      </c>
      <c r="O183" s="14"/>
      <c r="P183" s="10" t="str">
        <f aca="false">IF(LEN(H183)=3,"Defeito encontrado",IF(I183="Sim","Falso alarme",IF(H183="—","Nenhum defeito apontado","")))</f>
        <v/>
      </c>
    </row>
    <row r="184" customFormat="false" ht="15" hidden="false" customHeight="false" outlineLevel="0" collapsed="false">
      <c r="A184" s="11" t="str">
        <f aca="false">Apontamentos!C184</f>
        <v/>
      </c>
      <c r="B184" s="11" t="str">
        <f aca="false">IF(Apontamentos!$C184="","",Apontamentos!A184&amp;"")</f>
        <v/>
      </c>
      <c r="C184" s="11" t="str">
        <f aca="false">IF(B184="","",IFERROR(INDEX(Execuções!$C$2:$C$97,MATCH(B184,Execuções!$A$2:$A$97,0)),"ID?"))</f>
        <v/>
      </c>
      <c r="D184" s="10" t="str">
        <f aca="false">IF(B184="","",IFERROR(INDEX(Execuções!$B$2:$B$97,MATCH(B184,Execuções!$A$2:$A$97,0)),"ID?"))</f>
        <v/>
      </c>
      <c r="E184" s="11" t="str">
        <f aca="false">IF(B184="","",Apontamentos!D184)</f>
        <v/>
      </c>
      <c r="F184" s="11" t="str">
        <f aca="false">IF(B184="","",Apontamentos!E184)</f>
        <v/>
      </c>
      <c r="G184" s="10" t="str">
        <f aca="false">IF(B184="","",Apontamentos!G184&amp;"")</f>
        <v/>
      </c>
      <c r="H184" s="14" t="str">
        <f aca="false">IF('Avaliador 1'!F184='Avaliador 2'!F184,'Avaliador 1'!F184&amp;"","")</f>
        <v/>
      </c>
      <c r="I184" s="14" t="str">
        <f aca="false">IF('Avaliador 1'!G184='Avaliador 2'!G184,'Avaliador 1'!G184&amp;"","")</f>
        <v/>
      </c>
      <c r="J184" s="14" t="str">
        <f aca="false">IF('Avaliador 1'!H184='Avaliador 2'!H184,'Avaliador 1'!H184&amp;"","")</f>
        <v/>
      </c>
      <c r="K184" s="14" t="str">
        <f aca="false">IF('Avaliador 1'!I184='Avaliador 2'!I184,'Avaliador 1'!I184&amp;"","")</f>
        <v/>
      </c>
      <c r="L184" s="13"/>
      <c r="M184" s="13" t="str">
        <f aca="false">IF('Avaliador 1'!J184='Avaliador 2'!J184,'Avaliador 1'!J184&amp;"","")</f>
        <v/>
      </c>
      <c r="N184" s="11" t="str">
        <f aca="false">IF(OR('Avaliador 1'!F184="",'Avaliador 2'!F184=""),"",IF(AND('Avaliador 1'!F184='Avaliador 2'!F184,'Avaliador 1'!G184='Avaliador 2'!G184,'Avaliador 1'!H184='Avaliador 2'!H184,'Avaliador 1'!I184='Avaliador 2'!I184),"Não","Sim"))</f>
        <v/>
      </c>
      <c r="O184" s="14"/>
      <c r="P184" s="10" t="str">
        <f aca="false">IF(LEN(H184)=3,"Defeito encontrado",IF(I184="Sim","Falso alarme",IF(H184="—","Nenhum defeito apontado","")))</f>
        <v/>
      </c>
    </row>
    <row r="185" customFormat="false" ht="15" hidden="false" customHeight="false" outlineLevel="0" collapsed="false">
      <c r="A185" s="11" t="str">
        <f aca="false">Apontamentos!C185</f>
        <v/>
      </c>
      <c r="B185" s="11" t="str">
        <f aca="false">IF(Apontamentos!$C185="","",Apontamentos!A185&amp;"")</f>
        <v/>
      </c>
      <c r="C185" s="11" t="str">
        <f aca="false">IF(B185="","",IFERROR(INDEX(Execuções!$C$2:$C$97,MATCH(B185,Execuções!$A$2:$A$97,0)),"ID?"))</f>
        <v/>
      </c>
      <c r="D185" s="10" t="str">
        <f aca="false">IF(B185="","",IFERROR(INDEX(Execuções!$B$2:$B$97,MATCH(B185,Execuções!$A$2:$A$97,0)),"ID?"))</f>
        <v/>
      </c>
      <c r="E185" s="11" t="str">
        <f aca="false">IF(B185="","",Apontamentos!D185)</f>
        <v/>
      </c>
      <c r="F185" s="11" t="str">
        <f aca="false">IF(B185="","",Apontamentos!E185)</f>
        <v/>
      </c>
      <c r="G185" s="10" t="str">
        <f aca="false">IF(B185="","",Apontamentos!G185&amp;"")</f>
        <v/>
      </c>
      <c r="H185" s="14" t="str">
        <f aca="false">IF('Avaliador 1'!F185='Avaliador 2'!F185,'Avaliador 1'!F185&amp;"","")</f>
        <v/>
      </c>
      <c r="I185" s="14" t="str">
        <f aca="false">IF('Avaliador 1'!G185='Avaliador 2'!G185,'Avaliador 1'!G185&amp;"","")</f>
        <v/>
      </c>
      <c r="J185" s="14" t="str">
        <f aca="false">IF('Avaliador 1'!H185='Avaliador 2'!H185,'Avaliador 1'!H185&amp;"","")</f>
        <v/>
      </c>
      <c r="K185" s="14" t="str">
        <f aca="false">IF('Avaliador 1'!I185='Avaliador 2'!I185,'Avaliador 1'!I185&amp;"","")</f>
        <v/>
      </c>
      <c r="L185" s="13"/>
      <c r="M185" s="13" t="str">
        <f aca="false">IF('Avaliador 1'!J185='Avaliador 2'!J185,'Avaliador 1'!J185&amp;"","")</f>
        <v/>
      </c>
      <c r="N185" s="11" t="str">
        <f aca="false">IF(OR('Avaliador 1'!F185="",'Avaliador 2'!F185=""),"",IF(AND('Avaliador 1'!F185='Avaliador 2'!F185,'Avaliador 1'!G185='Avaliador 2'!G185,'Avaliador 1'!H185='Avaliador 2'!H185,'Avaliador 1'!I185='Avaliador 2'!I185),"Não","Sim"))</f>
        <v/>
      </c>
      <c r="O185" s="14"/>
      <c r="P185" s="10" t="str">
        <f aca="false">IF(LEN(H185)=3,"Defeito encontrado",IF(I185="Sim","Falso alarme",IF(H185="—","Nenhum defeito apontado","")))</f>
        <v/>
      </c>
    </row>
    <row r="186" customFormat="false" ht="15" hidden="false" customHeight="false" outlineLevel="0" collapsed="false">
      <c r="A186" s="11" t="str">
        <f aca="false">Apontamentos!C186</f>
        <v/>
      </c>
      <c r="B186" s="11" t="str">
        <f aca="false">IF(Apontamentos!$C186="","",Apontamentos!A186&amp;"")</f>
        <v/>
      </c>
      <c r="C186" s="11" t="str">
        <f aca="false">IF(B186="","",IFERROR(INDEX(Execuções!$C$2:$C$97,MATCH(B186,Execuções!$A$2:$A$97,0)),"ID?"))</f>
        <v/>
      </c>
      <c r="D186" s="10" t="str">
        <f aca="false">IF(B186="","",IFERROR(INDEX(Execuções!$B$2:$B$97,MATCH(B186,Execuções!$A$2:$A$97,0)),"ID?"))</f>
        <v/>
      </c>
      <c r="E186" s="11" t="str">
        <f aca="false">IF(B186="","",Apontamentos!D186)</f>
        <v/>
      </c>
      <c r="F186" s="11" t="str">
        <f aca="false">IF(B186="","",Apontamentos!E186)</f>
        <v/>
      </c>
      <c r="G186" s="10" t="str">
        <f aca="false">IF(B186="","",Apontamentos!G186&amp;"")</f>
        <v/>
      </c>
      <c r="H186" s="14" t="str">
        <f aca="false">IF('Avaliador 1'!F186='Avaliador 2'!F186,'Avaliador 1'!F186&amp;"","")</f>
        <v/>
      </c>
      <c r="I186" s="14" t="str">
        <f aca="false">IF('Avaliador 1'!G186='Avaliador 2'!G186,'Avaliador 1'!G186&amp;"","")</f>
        <v/>
      </c>
      <c r="J186" s="14" t="str">
        <f aca="false">IF('Avaliador 1'!H186='Avaliador 2'!H186,'Avaliador 1'!H186&amp;"","")</f>
        <v/>
      </c>
      <c r="K186" s="14" t="str">
        <f aca="false">IF('Avaliador 1'!I186='Avaliador 2'!I186,'Avaliador 1'!I186&amp;"","")</f>
        <v/>
      </c>
      <c r="L186" s="13"/>
      <c r="M186" s="13" t="str">
        <f aca="false">IF('Avaliador 1'!J186='Avaliador 2'!J186,'Avaliador 1'!J186&amp;"","")</f>
        <v/>
      </c>
      <c r="N186" s="11" t="str">
        <f aca="false">IF(OR('Avaliador 1'!F186="",'Avaliador 2'!F186=""),"",IF(AND('Avaliador 1'!F186='Avaliador 2'!F186,'Avaliador 1'!G186='Avaliador 2'!G186,'Avaliador 1'!H186='Avaliador 2'!H186,'Avaliador 1'!I186='Avaliador 2'!I186),"Não","Sim"))</f>
        <v/>
      </c>
      <c r="O186" s="14"/>
      <c r="P186" s="10" t="str">
        <f aca="false">IF(LEN(H186)=3,"Defeito encontrado",IF(I186="Sim","Falso alarme",IF(H186="—","Nenhum defeito apontado","")))</f>
        <v/>
      </c>
    </row>
    <row r="187" customFormat="false" ht="15" hidden="false" customHeight="false" outlineLevel="0" collapsed="false">
      <c r="A187" s="11" t="str">
        <f aca="false">Apontamentos!C187</f>
        <v/>
      </c>
      <c r="B187" s="11" t="str">
        <f aca="false">IF(Apontamentos!$C187="","",Apontamentos!A187&amp;"")</f>
        <v/>
      </c>
      <c r="C187" s="11" t="str">
        <f aca="false">IF(B187="","",IFERROR(INDEX(Execuções!$C$2:$C$97,MATCH(B187,Execuções!$A$2:$A$97,0)),"ID?"))</f>
        <v/>
      </c>
      <c r="D187" s="10" t="str">
        <f aca="false">IF(B187="","",IFERROR(INDEX(Execuções!$B$2:$B$97,MATCH(B187,Execuções!$A$2:$A$97,0)),"ID?"))</f>
        <v/>
      </c>
      <c r="E187" s="11" t="str">
        <f aca="false">IF(B187="","",Apontamentos!D187)</f>
        <v/>
      </c>
      <c r="F187" s="11" t="str">
        <f aca="false">IF(B187="","",Apontamentos!E187)</f>
        <v/>
      </c>
      <c r="G187" s="10" t="str">
        <f aca="false">IF(B187="","",Apontamentos!G187&amp;"")</f>
        <v/>
      </c>
      <c r="H187" s="14" t="str">
        <f aca="false">IF('Avaliador 1'!F187='Avaliador 2'!F187,'Avaliador 1'!F187&amp;"","")</f>
        <v/>
      </c>
      <c r="I187" s="14" t="str">
        <f aca="false">IF('Avaliador 1'!G187='Avaliador 2'!G187,'Avaliador 1'!G187&amp;"","")</f>
        <v/>
      </c>
      <c r="J187" s="14" t="str">
        <f aca="false">IF('Avaliador 1'!H187='Avaliador 2'!H187,'Avaliador 1'!H187&amp;"","")</f>
        <v/>
      </c>
      <c r="K187" s="14" t="str">
        <f aca="false">IF('Avaliador 1'!I187='Avaliador 2'!I187,'Avaliador 1'!I187&amp;"","")</f>
        <v/>
      </c>
      <c r="L187" s="13"/>
      <c r="M187" s="13" t="str">
        <f aca="false">IF('Avaliador 1'!J187='Avaliador 2'!J187,'Avaliador 1'!J187&amp;"","")</f>
        <v/>
      </c>
      <c r="N187" s="11" t="str">
        <f aca="false">IF(OR('Avaliador 1'!F187="",'Avaliador 2'!F187=""),"",IF(AND('Avaliador 1'!F187='Avaliador 2'!F187,'Avaliador 1'!G187='Avaliador 2'!G187,'Avaliador 1'!H187='Avaliador 2'!H187,'Avaliador 1'!I187='Avaliador 2'!I187),"Não","Sim"))</f>
        <v/>
      </c>
      <c r="O187" s="14"/>
      <c r="P187" s="10" t="str">
        <f aca="false">IF(LEN(H187)=3,"Defeito encontrado",IF(I187="Sim","Falso alarme",IF(H187="—","Nenhum defeito apontado","")))</f>
        <v/>
      </c>
    </row>
    <row r="188" customFormat="false" ht="15" hidden="false" customHeight="false" outlineLevel="0" collapsed="false">
      <c r="A188" s="11" t="str">
        <f aca="false">Apontamentos!C188</f>
        <v/>
      </c>
      <c r="B188" s="11" t="str">
        <f aca="false">IF(Apontamentos!$C188="","",Apontamentos!A188&amp;"")</f>
        <v/>
      </c>
      <c r="C188" s="11" t="str">
        <f aca="false">IF(B188="","",IFERROR(INDEX(Execuções!$C$2:$C$97,MATCH(B188,Execuções!$A$2:$A$97,0)),"ID?"))</f>
        <v/>
      </c>
      <c r="D188" s="10" t="str">
        <f aca="false">IF(B188="","",IFERROR(INDEX(Execuções!$B$2:$B$97,MATCH(B188,Execuções!$A$2:$A$97,0)),"ID?"))</f>
        <v/>
      </c>
      <c r="E188" s="11" t="str">
        <f aca="false">IF(B188="","",Apontamentos!D188)</f>
        <v/>
      </c>
      <c r="F188" s="11" t="str">
        <f aca="false">IF(B188="","",Apontamentos!E188)</f>
        <v/>
      </c>
      <c r="G188" s="10" t="str">
        <f aca="false">IF(B188="","",Apontamentos!G188&amp;"")</f>
        <v/>
      </c>
      <c r="H188" s="14" t="str">
        <f aca="false">IF('Avaliador 1'!F188='Avaliador 2'!F188,'Avaliador 1'!F188&amp;"","")</f>
        <v/>
      </c>
      <c r="I188" s="14" t="str">
        <f aca="false">IF('Avaliador 1'!G188='Avaliador 2'!G188,'Avaliador 1'!G188&amp;"","")</f>
        <v/>
      </c>
      <c r="J188" s="14" t="str">
        <f aca="false">IF('Avaliador 1'!H188='Avaliador 2'!H188,'Avaliador 1'!H188&amp;"","")</f>
        <v/>
      </c>
      <c r="K188" s="14" t="str">
        <f aca="false">IF('Avaliador 1'!I188='Avaliador 2'!I188,'Avaliador 1'!I188&amp;"","")</f>
        <v/>
      </c>
      <c r="L188" s="13"/>
      <c r="M188" s="13" t="str">
        <f aca="false">IF('Avaliador 1'!J188='Avaliador 2'!J188,'Avaliador 1'!J188&amp;"","")</f>
        <v/>
      </c>
      <c r="N188" s="11" t="str">
        <f aca="false">IF(OR('Avaliador 1'!F188="",'Avaliador 2'!F188=""),"",IF(AND('Avaliador 1'!F188='Avaliador 2'!F188,'Avaliador 1'!G188='Avaliador 2'!G188,'Avaliador 1'!H188='Avaliador 2'!H188,'Avaliador 1'!I188='Avaliador 2'!I188),"Não","Sim"))</f>
        <v/>
      </c>
      <c r="O188" s="14"/>
      <c r="P188" s="10" t="str">
        <f aca="false">IF(LEN(H188)=3,"Defeito encontrado",IF(I188="Sim","Falso alarme",IF(H188="—","Nenhum defeito apontado","")))</f>
        <v/>
      </c>
    </row>
    <row r="189" customFormat="false" ht="15" hidden="false" customHeight="false" outlineLevel="0" collapsed="false">
      <c r="A189" s="11" t="str">
        <f aca="false">Apontamentos!C189</f>
        <v/>
      </c>
      <c r="B189" s="11" t="str">
        <f aca="false">IF(Apontamentos!$C189="","",Apontamentos!A189&amp;"")</f>
        <v/>
      </c>
      <c r="C189" s="11" t="str">
        <f aca="false">IF(B189="","",IFERROR(INDEX(Execuções!$C$2:$C$97,MATCH(B189,Execuções!$A$2:$A$97,0)),"ID?"))</f>
        <v/>
      </c>
      <c r="D189" s="10" t="str">
        <f aca="false">IF(B189="","",IFERROR(INDEX(Execuções!$B$2:$B$97,MATCH(B189,Execuções!$A$2:$A$97,0)),"ID?"))</f>
        <v/>
      </c>
      <c r="E189" s="11" t="str">
        <f aca="false">IF(B189="","",Apontamentos!D189)</f>
        <v/>
      </c>
      <c r="F189" s="11" t="str">
        <f aca="false">IF(B189="","",Apontamentos!E189)</f>
        <v/>
      </c>
      <c r="G189" s="10" t="str">
        <f aca="false">IF(B189="","",Apontamentos!G189&amp;"")</f>
        <v/>
      </c>
      <c r="H189" s="14" t="str">
        <f aca="false">IF('Avaliador 1'!F189='Avaliador 2'!F189,'Avaliador 1'!F189&amp;"","")</f>
        <v/>
      </c>
      <c r="I189" s="14" t="str">
        <f aca="false">IF('Avaliador 1'!G189='Avaliador 2'!G189,'Avaliador 1'!G189&amp;"","")</f>
        <v/>
      </c>
      <c r="J189" s="14" t="str">
        <f aca="false">IF('Avaliador 1'!H189='Avaliador 2'!H189,'Avaliador 1'!H189&amp;"","")</f>
        <v/>
      </c>
      <c r="K189" s="14" t="str">
        <f aca="false">IF('Avaliador 1'!I189='Avaliador 2'!I189,'Avaliador 1'!I189&amp;"","")</f>
        <v/>
      </c>
      <c r="L189" s="13"/>
      <c r="M189" s="13" t="str">
        <f aca="false">IF('Avaliador 1'!J189='Avaliador 2'!J189,'Avaliador 1'!J189&amp;"","")</f>
        <v/>
      </c>
      <c r="N189" s="11" t="str">
        <f aca="false">IF(OR('Avaliador 1'!F189="",'Avaliador 2'!F189=""),"",IF(AND('Avaliador 1'!F189='Avaliador 2'!F189,'Avaliador 1'!G189='Avaliador 2'!G189,'Avaliador 1'!H189='Avaliador 2'!H189,'Avaliador 1'!I189='Avaliador 2'!I189),"Não","Sim"))</f>
        <v/>
      </c>
      <c r="O189" s="14"/>
      <c r="P189" s="10" t="str">
        <f aca="false">IF(LEN(H189)=3,"Defeito encontrado",IF(I189="Sim","Falso alarme",IF(H189="—","Nenhum defeito apontado","")))</f>
        <v/>
      </c>
    </row>
    <row r="190" customFormat="false" ht="15" hidden="false" customHeight="false" outlineLevel="0" collapsed="false">
      <c r="A190" s="11" t="str">
        <f aca="false">Apontamentos!C190</f>
        <v/>
      </c>
      <c r="B190" s="11" t="str">
        <f aca="false">IF(Apontamentos!$C190="","",Apontamentos!A190&amp;"")</f>
        <v/>
      </c>
      <c r="C190" s="11" t="str">
        <f aca="false">IF(B190="","",IFERROR(INDEX(Execuções!$C$2:$C$97,MATCH(B190,Execuções!$A$2:$A$97,0)),"ID?"))</f>
        <v/>
      </c>
      <c r="D190" s="10" t="str">
        <f aca="false">IF(B190="","",IFERROR(INDEX(Execuções!$B$2:$B$97,MATCH(B190,Execuções!$A$2:$A$97,0)),"ID?"))</f>
        <v/>
      </c>
      <c r="E190" s="11" t="str">
        <f aca="false">IF(B190="","",Apontamentos!D190)</f>
        <v/>
      </c>
      <c r="F190" s="11" t="str">
        <f aca="false">IF(B190="","",Apontamentos!E190)</f>
        <v/>
      </c>
      <c r="G190" s="10" t="str">
        <f aca="false">IF(B190="","",Apontamentos!G190&amp;"")</f>
        <v/>
      </c>
      <c r="H190" s="14" t="str">
        <f aca="false">IF('Avaliador 1'!F190='Avaliador 2'!F190,'Avaliador 1'!F190&amp;"","")</f>
        <v/>
      </c>
      <c r="I190" s="14" t="str">
        <f aca="false">IF('Avaliador 1'!G190='Avaliador 2'!G190,'Avaliador 1'!G190&amp;"","")</f>
        <v/>
      </c>
      <c r="J190" s="14" t="str">
        <f aca="false">IF('Avaliador 1'!H190='Avaliador 2'!H190,'Avaliador 1'!H190&amp;"","")</f>
        <v/>
      </c>
      <c r="K190" s="14" t="str">
        <f aca="false">IF('Avaliador 1'!I190='Avaliador 2'!I190,'Avaliador 1'!I190&amp;"","")</f>
        <v/>
      </c>
      <c r="L190" s="13"/>
      <c r="M190" s="13" t="str">
        <f aca="false">IF('Avaliador 1'!J190='Avaliador 2'!J190,'Avaliador 1'!J190&amp;"","")</f>
        <v/>
      </c>
      <c r="N190" s="11" t="str">
        <f aca="false">IF(OR('Avaliador 1'!F190="",'Avaliador 2'!F190=""),"",IF(AND('Avaliador 1'!F190='Avaliador 2'!F190,'Avaliador 1'!G190='Avaliador 2'!G190,'Avaliador 1'!H190='Avaliador 2'!H190,'Avaliador 1'!I190='Avaliador 2'!I190),"Não","Sim"))</f>
        <v/>
      </c>
      <c r="O190" s="14"/>
      <c r="P190" s="10" t="str">
        <f aca="false">IF(LEN(H190)=3,"Defeito encontrado",IF(I190="Sim","Falso alarme",IF(H190="—","Nenhum defeito apontado","")))</f>
        <v/>
      </c>
    </row>
    <row r="191" customFormat="false" ht="15" hidden="false" customHeight="false" outlineLevel="0" collapsed="false">
      <c r="A191" s="11" t="str">
        <f aca="false">Apontamentos!C191</f>
        <v/>
      </c>
      <c r="B191" s="11" t="str">
        <f aca="false">IF(Apontamentos!$C191="","",Apontamentos!A191&amp;"")</f>
        <v/>
      </c>
      <c r="C191" s="11" t="str">
        <f aca="false">IF(B191="","",IFERROR(INDEX(Execuções!$C$2:$C$97,MATCH(B191,Execuções!$A$2:$A$97,0)),"ID?"))</f>
        <v/>
      </c>
      <c r="D191" s="10" t="str">
        <f aca="false">IF(B191="","",IFERROR(INDEX(Execuções!$B$2:$B$97,MATCH(B191,Execuções!$A$2:$A$97,0)),"ID?"))</f>
        <v/>
      </c>
      <c r="E191" s="11" t="str">
        <f aca="false">IF(B191="","",Apontamentos!D191)</f>
        <v/>
      </c>
      <c r="F191" s="11" t="str">
        <f aca="false">IF(B191="","",Apontamentos!E191)</f>
        <v/>
      </c>
      <c r="G191" s="10" t="str">
        <f aca="false">IF(B191="","",Apontamentos!G191&amp;"")</f>
        <v/>
      </c>
      <c r="H191" s="14" t="str">
        <f aca="false">IF('Avaliador 1'!F191='Avaliador 2'!F191,'Avaliador 1'!F191&amp;"","")</f>
        <v/>
      </c>
      <c r="I191" s="14" t="str">
        <f aca="false">IF('Avaliador 1'!G191='Avaliador 2'!G191,'Avaliador 1'!G191&amp;"","")</f>
        <v/>
      </c>
      <c r="J191" s="14" t="str">
        <f aca="false">IF('Avaliador 1'!H191='Avaliador 2'!H191,'Avaliador 1'!H191&amp;"","")</f>
        <v/>
      </c>
      <c r="K191" s="14" t="str">
        <f aca="false">IF('Avaliador 1'!I191='Avaliador 2'!I191,'Avaliador 1'!I191&amp;"","")</f>
        <v/>
      </c>
      <c r="L191" s="13"/>
      <c r="M191" s="13" t="str">
        <f aca="false">IF('Avaliador 1'!J191='Avaliador 2'!J191,'Avaliador 1'!J191&amp;"","")</f>
        <v/>
      </c>
      <c r="N191" s="11" t="str">
        <f aca="false">IF(OR('Avaliador 1'!F191="",'Avaliador 2'!F191=""),"",IF(AND('Avaliador 1'!F191='Avaliador 2'!F191,'Avaliador 1'!G191='Avaliador 2'!G191,'Avaliador 1'!H191='Avaliador 2'!H191,'Avaliador 1'!I191='Avaliador 2'!I191),"Não","Sim"))</f>
        <v/>
      </c>
      <c r="O191" s="14"/>
      <c r="P191" s="10" t="str">
        <f aca="false">IF(LEN(H191)=3,"Defeito encontrado",IF(I191="Sim","Falso alarme",IF(H191="—","Nenhum defeito apontado","")))</f>
        <v/>
      </c>
    </row>
    <row r="192" customFormat="false" ht="15" hidden="false" customHeight="false" outlineLevel="0" collapsed="false">
      <c r="A192" s="11" t="str">
        <f aca="false">Apontamentos!C192</f>
        <v/>
      </c>
      <c r="B192" s="11" t="str">
        <f aca="false">IF(Apontamentos!$C192="","",Apontamentos!A192&amp;"")</f>
        <v/>
      </c>
      <c r="C192" s="11" t="str">
        <f aca="false">IF(B192="","",IFERROR(INDEX(Execuções!$C$2:$C$97,MATCH(B192,Execuções!$A$2:$A$97,0)),"ID?"))</f>
        <v/>
      </c>
      <c r="D192" s="10" t="str">
        <f aca="false">IF(B192="","",IFERROR(INDEX(Execuções!$B$2:$B$97,MATCH(B192,Execuções!$A$2:$A$97,0)),"ID?"))</f>
        <v/>
      </c>
      <c r="E192" s="11" t="str">
        <f aca="false">IF(B192="","",Apontamentos!D192)</f>
        <v/>
      </c>
      <c r="F192" s="11" t="str">
        <f aca="false">IF(B192="","",Apontamentos!E192)</f>
        <v/>
      </c>
      <c r="G192" s="10" t="str">
        <f aca="false">IF(B192="","",Apontamentos!G192&amp;"")</f>
        <v/>
      </c>
      <c r="H192" s="14" t="str">
        <f aca="false">IF('Avaliador 1'!F192='Avaliador 2'!F192,'Avaliador 1'!F192&amp;"","")</f>
        <v/>
      </c>
      <c r="I192" s="14" t="str">
        <f aca="false">IF('Avaliador 1'!G192='Avaliador 2'!G192,'Avaliador 1'!G192&amp;"","")</f>
        <v/>
      </c>
      <c r="J192" s="14" t="str">
        <f aca="false">IF('Avaliador 1'!H192='Avaliador 2'!H192,'Avaliador 1'!H192&amp;"","")</f>
        <v/>
      </c>
      <c r="K192" s="14" t="str">
        <f aca="false">IF('Avaliador 1'!I192='Avaliador 2'!I192,'Avaliador 1'!I192&amp;"","")</f>
        <v/>
      </c>
      <c r="L192" s="13"/>
      <c r="M192" s="13" t="str">
        <f aca="false">IF('Avaliador 1'!J192='Avaliador 2'!J192,'Avaliador 1'!J192&amp;"","")</f>
        <v/>
      </c>
      <c r="N192" s="11" t="str">
        <f aca="false">IF(OR('Avaliador 1'!F192="",'Avaliador 2'!F192=""),"",IF(AND('Avaliador 1'!F192='Avaliador 2'!F192,'Avaliador 1'!G192='Avaliador 2'!G192,'Avaliador 1'!H192='Avaliador 2'!H192,'Avaliador 1'!I192='Avaliador 2'!I192),"Não","Sim"))</f>
        <v/>
      </c>
      <c r="O192" s="14"/>
      <c r="P192" s="10" t="str">
        <f aca="false">IF(LEN(H192)=3,"Defeito encontrado",IF(I192="Sim","Falso alarme",IF(H192="—","Nenhum defeito apontado","")))</f>
        <v/>
      </c>
    </row>
    <row r="193" customFormat="false" ht="15" hidden="false" customHeight="false" outlineLevel="0" collapsed="false">
      <c r="A193" s="11" t="str">
        <f aca="false">Apontamentos!C193</f>
        <v/>
      </c>
      <c r="B193" s="11" t="str">
        <f aca="false">IF(Apontamentos!$C193="","",Apontamentos!A193&amp;"")</f>
        <v/>
      </c>
      <c r="C193" s="11" t="str">
        <f aca="false">IF(B193="","",IFERROR(INDEX(Execuções!$C$2:$C$97,MATCH(B193,Execuções!$A$2:$A$97,0)),"ID?"))</f>
        <v/>
      </c>
      <c r="D193" s="10" t="str">
        <f aca="false">IF(B193="","",IFERROR(INDEX(Execuções!$B$2:$B$97,MATCH(B193,Execuções!$A$2:$A$97,0)),"ID?"))</f>
        <v/>
      </c>
      <c r="E193" s="11" t="str">
        <f aca="false">IF(B193="","",Apontamentos!D193)</f>
        <v/>
      </c>
      <c r="F193" s="11" t="str">
        <f aca="false">IF(B193="","",Apontamentos!E193)</f>
        <v/>
      </c>
      <c r="G193" s="10" t="str">
        <f aca="false">IF(B193="","",Apontamentos!G193&amp;"")</f>
        <v/>
      </c>
      <c r="H193" s="14" t="str">
        <f aca="false">IF('Avaliador 1'!F193='Avaliador 2'!F193,'Avaliador 1'!F193&amp;"","")</f>
        <v/>
      </c>
      <c r="I193" s="14" t="str">
        <f aca="false">IF('Avaliador 1'!G193='Avaliador 2'!G193,'Avaliador 1'!G193&amp;"","")</f>
        <v/>
      </c>
      <c r="J193" s="14" t="str">
        <f aca="false">IF('Avaliador 1'!H193='Avaliador 2'!H193,'Avaliador 1'!H193&amp;"","")</f>
        <v/>
      </c>
      <c r="K193" s="14" t="str">
        <f aca="false">IF('Avaliador 1'!I193='Avaliador 2'!I193,'Avaliador 1'!I193&amp;"","")</f>
        <v/>
      </c>
      <c r="L193" s="13"/>
      <c r="M193" s="13" t="str">
        <f aca="false">IF('Avaliador 1'!J193='Avaliador 2'!J193,'Avaliador 1'!J193&amp;"","")</f>
        <v/>
      </c>
      <c r="N193" s="11" t="str">
        <f aca="false">IF(OR('Avaliador 1'!F193="",'Avaliador 2'!F193=""),"",IF(AND('Avaliador 1'!F193='Avaliador 2'!F193,'Avaliador 1'!G193='Avaliador 2'!G193,'Avaliador 1'!H193='Avaliador 2'!H193,'Avaliador 1'!I193='Avaliador 2'!I193),"Não","Sim"))</f>
        <v/>
      </c>
      <c r="O193" s="14"/>
      <c r="P193" s="10" t="str">
        <f aca="false">IF(LEN(H193)=3,"Defeito encontrado",IF(I193="Sim","Falso alarme",IF(H193="—","Nenhum defeito apontado","")))</f>
        <v/>
      </c>
    </row>
    <row r="194" customFormat="false" ht="15" hidden="false" customHeight="false" outlineLevel="0" collapsed="false">
      <c r="A194" s="11" t="str">
        <f aca="false">Apontamentos!C194</f>
        <v/>
      </c>
      <c r="B194" s="11" t="str">
        <f aca="false">IF(Apontamentos!$C194="","",Apontamentos!A194&amp;"")</f>
        <v/>
      </c>
      <c r="C194" s="11" t="str">
        <f aca="false">IF(B194="","",IFERROR(INDEX(Execuções!$C$2:$C$97,MATCH(B194,Execuções!$A$2:$A$97,0)),"ID?"))</f>
        <v/>
      </c>
      <c r="D194" s="10" t="str">
        <f aca="false">IF(B194="","",IFERROR(INDEX(Execuções!$B$2:$B$97,MATCH(B194,Execuções!$A$2:$A$97,0)),"ID?"))</f>
        <v/>
      </c>
      <c r="E194" s="11" t="str">
        <f aca="false">IF(B194="","",Apontamentos!D194)</f>
        <v/>
      </c>
      <c r="F194" s="11" t="str">
        <f aca="false">IF(B194="","",Apontamentos!E194)</f>
        <v/>
      </c>
      <c r="G194" s="10" t="str">
        <f aca="false">IF(B194="","",Apontamentos!G194&amp;"")</f>
        <v/>
      </c>
      <c r="H194" s="14" t="str">
        <f aca="false">IF('Avaliador 1'!F194='Avaliador 2'!F194,'Avaliador 1'!F194&amp;"","")</f>
        <v/>
      </c>
      <c r="I194" s="14" t="str">
        <f aca="false">IF('Avaliador 1'!G194='Avaliador 2'!G194,'Avaliador 1'!G194&amp;"","")</f>
        <v/>
      </c>
      <c r="J194" s="14" t="str">
        <f aca="false">IF('Avaliador 1'!H194='Avaliador 2'!H194,'Avaliador 1'!H194&amp;"","")</f>
        <v/>
      </c>
      <c r="K194" s="14" t="str">
        <f aca="false">IF('Avaliador 1'!I194='Avaliador 2'!I194,'Avaliador 1'!I194&amp;"","")</f>
        <v/>
      </c>
      <c r="L194" s="13"/>
      <c r="M194" s="13" t="str">
        <f aca="false">IF('Avaliador 1'!J194='Avaliador 2'!J194,'Avaliador 1'!J194&amp;"","")</f>
        <v/>
      </c>
      <c r="N194" s="11" t="str">
        <f aca="false">IF(OR('Avaliador 1'!F194="",'Avaliador 2'!F194=""),"",IF(AND('Avaliador 1'!F194='Avaliador 2'!F194,'Avaliador 1'!G194='Avaliador 2'!G194,'Avaliador 1'!H194='Avaliador 2'!H194,'Avaliador 1'!I194='Avaliador 2'!I194),"Não","Sim"))</f>
        <v/>
      </c>
      <c r="O194" s="14"/>
      <c r="P194" s="10" t="str">
        <f aca="false">IF(LEN(H194)=3,"Defeito encontrado",IF(I194="Sim","Falso alarme",IF(H194="—","Nenhum defeito apontado","")))</f>
        <v/>
      </c>
    </row>
    <row r="195" customFormat="false" ht="15" hidden="false" customHeight="false" outlineLevel="0" collapsed="false">
      <c r="A195" s="11" t="str">
        <f aca="false">Apontamentos!C195</f>
        <v/>
      </c>
      <c r="B195" s="11" t="str">
        <f aca="false">IF(Apontamentos!$C195="","",Apontamentos!A195&amp;"")</f>
        <v/>
      </c>
      <c r="C195" s="11" t="str">
        <f aca="false">IF(B195="","",IFERROR(INDEX(Execuções!$C$2:$C$97,MATCH(B195,Execuções!$A$2:$A$97,0)),"ID?"))</f>
        <v/>
      </c>
      <c r="D195" s="10" t="str">
        <f aca="false">IF(B195="","",IFERROR(INDEX(Execuções!$B$2:$B$97,MATCH(B195,Execuções!$A$2:$A$97,0)),"ID?"))</f>
        <v/>
      </c>
      <c r="E195" s="11" t="str">
        <f aca="false">IF(B195="","",Apontamentos!D195)</f>
        <v/>
      </c>
      <c r="F195" s="11" t="str">
        <f aca="false">IF(B195="","",Apontamentos!E195)</f>
        <v/>
      </c>
      <c r="G195" s="10" t="str">
        <f aca="false">IF(B195="","",Apontamentos!G195&amp;"")</f>
        <v/>
      </c>
      <c r="H195" s="14" t="str">
        <f aca="false">IF('Avaliador 1'!F195='Avaliador 2'!F195,'Avaliador 1'!F195&amp;"","")</f>
        <v/>
      </c>
      <c r="I195" s="14" t="str">
        <f aca="false">IF('Avaliador 1'!G195='Avaliador 2'!G195,'Avaliador 1'!G195&amp;"","")</f>
        <v/>
      </c>
      <c r="J195" s="14" t="str">
        <f aca="false">IF('Avaliador 1'!H195='Avaliador 2'!H195,'Avaliador 1'!H195&amp;"","")</f>
        <v/>
      </c>
      <c r="K195" s="14" t="str">
        <f aca="false">IF('Avaliador 1'!I195='Avaliador 2'!I195,'Avaliador 1'!I195&amp;"","")</f>
        <v/>
      </c>
      <c r="L195" s="13"/>
      <c r="M195" s="13" t="str">
        <f aca="false">IF('Avaliador 1'!J195='Avaliador 2'!J195,'Avaliador 1'!J195&amp;"","")</f>
        <v/>
      </c>
      <c r="N195" s="11" t="str">
        <f aca="false">IF(OR('Avaliador 1'!F195="",'Avaliador 2'!F195=""),"",IF(AND('Avaliador 1'!F195='Avaliador 2'!F195,'Avaliador 1'!G195='Avaliador 2'!G195,'Avaliador 1'!H195='Avaliador 2'!H195,'Avaliador 1'!I195='Avaliador 2'!I195),"Não","Sim"))</f>
        <v/>
      </c>
      <c r="O195" s="14"/>
      <c r="P195" s="10" t="str">
        <f aca="false">IF(LEN(H195)=3,"Defeito encontrado",IF(I195="Sim","Falso alarme",IF(H195="—","Nenhum defeito apontado","")))</f>
        <v/>
      </c>
    </row>
    <row r="196" customFormat="false" ht="15" hidden="false" customHeight="false" outlineLevel="0" collapsed="false">
      <c r="A196" s="11" t="str">
        <f aca="false">Apontamentos!C196</f>
        <v/>
      </c>
      <c r="B196" s="11" t="str">
        <f aca="false">IF(Apontamentos!$C196="","",Apontamentos!A196&amp;"")</f>
        <v/>
      </c>
      <c r="C196" s="11" t="str">
        <f aca="false">IF(B196="","",IFERROR(INDEX(Execuções!$C$2:$C$97,MATCH(B196,Execuções!$A$2:$A$97,0)),"ID?"))</f>
        <v/>
      </c>
      <c r="D196" s="10" t="str">
        <f aca="false">IF(B196="","",IFERROR(INDEX(Execuções!$B$2:$B$97,MATCH(B196,Execuções!$A$2:$A$97,0)),"ID?"))</f>
        <v/>
      </c>
      <c r="E196" s="11" t="str">
        <f aca="false">IF(B196="","",Apontamentos!D196)</f>
        <v/>
      </c>
      <c r="F196" s="11" t="str">
        <f aca="false">IF(B196="","",Apontamentos!E196)</f>
        <v/>
      </c>
      <c r="G196" s="10" t="str">
        <f aca="false">IF(B196="","",Apontamentos!G196&amp;"")</f>
        <v/>
      </c>
      <c r="H196" s="14" t="str">
        <f aca="false">IF('Avaliador 1'!F196='Avaliador 2'!F196,'Avaliador 1'!F196&amp;"","")</f>
        <v/>
      </c>
      <c r="I196" s="14" t="str">
        <f aca="false">IF('Avaliador 1'!G196='Avaliador 2'!G196,'Avaliador 1'!G196&amp;"","")</f>
        <v/>
      </c>
      <c r="J196" s="14" t="str">
        <f aca="false">IF('Avaliador 1'!H196='Avaliador 2'!H196,'Avaliador 1'!H196&amp;"","")</f>
        <v/>
      </c>
      <c r="K196" s="14" t="str">
        <f aca="false">IF('Avaliador 1'!I196='Avaliador 2'!I196,'Avaliador 1'!I196&amp;"","")</f>
        <v/>
      </c>
      <c r="L196" s="13"/>
      <c r="M196" s="13" t="str">
        <f aca="false">IF('Avaliador 1'!J196='Avaliador 2'!J196,'Avaliador 1'!J196&amp;"","")</f>
        <v/>
      </c>
      <c r="N196" s="11" t="str">
        <f aca="false">IF(OR('Avaliador 1'!F196="",'Avaliador 2'!F196=""),"",IF(AND('Avaliador 1'!F196='Avaliador 2'!F196,'Avaliador 1'!G196='Avaliador 2'!G196,'Avaliador 1'!H196='Avaliador 2'!H196,'Avaliador 1'!I196='Avaliador 2'!I196),"Não","Sim"))</f>
        <v/>
      </c>
      <c r="O196" s="14"/>
      <c r="P196" s="10" t="str">
        <f aca="false">IF(LEN(H196)=3,"Defeito encontrado",IF(I196="Sim","Falso alarme",IF(H196="—","Nenhum defeito apontado","")))</f>
        <v/>
      </c>
    </row>
    <row r="197" customFormat="false" ht="15" hidden="false" customHeight="false" outlineLevel="0" collapsed="false">
      <c r="A197" s="11" t="str">
        <f aca="false">Apontamentos!C197</f>
        <v/>
      </c>
      <c r="B197" s="11" t="str">
        <f aca="false">IF(Apontamentos!$C197="","",Apontamentos!A197&amp;"")</f>
        <v/>
      </c>
      <c r="C197" s="11" t="str">
        <f aca="false">IF(B197="","",IFERROR(INDEX(Execuções!$C$2:$C$97,MATCH(B197,Execuções!$A$2:$A$97,0)),"ID?"))</f>
        <v/>
      </c>
      <c r="D197" s="10" t="str">
        <f aca="false">IF(B197="","",IFERROR(INDEX(Execuções!$B$2:$B$97,MATCH(B197,Execuções!$A$2:$A$97,0)),"ID?"))</f>
        <v/>
      </c>
      <c r="E197" s="11" t="str">
        <f aca="false">IF(B197="","",Apontamentos!D197)</f>
        <v/>
      </c>
      <c r="F197" s="11" t="str">
        <f aca="false">IF(B197="","",Apontamentos!E197)</f>
        <v/>
      </c>
      <c r="G197" s="10" t="str">
        <f aca="false">IF(B197="","",Apontamentos!G197&amp;"")</f>
        <v/>
      </c>
      <c r="H197" s="14" t="str">
        <f aca="false">IF('Avaliador 1'!F197='Avaliador 2'!F197,'Avaliador 1'!F197&amp;"","")</f>
        <v/>
      </c>
      <c r="I197" s="14" t="str">
        <f aca="false">IF('Avaliador 1'!G197='Avaliador 2'!G197,'Avaliador 1'!G197&amp;"","")</f>
        <v/>
      </c>
      <c r="J197" s="14" t="str">
        <f aca="false">IF('Avaliador 1'!H197='Avaliador 2'!H197,'Avaliador 1'!H197&amp;"","")</f>
        <v/>
      </c>
      <c r="K197" s="14" t="str">
        <f aca="false">IF('Avaliador 1'!I197='Avaliador 2'!I197,'Avaliador 1'!I197&amp;"","")</f>
        <v/>
      </c>
      <c r="L197" s="13"/>
      <c r="M197" s="13" t="str">
        <f aca="false">IF('Avaliador 1'!J197='Avaliador 2'!J197,'Avaliador 1'!J197&amp;"","")</f>
        <v/>
      </c>
      <c r="N197" s="11" t="str">
        <f aca="false">IF(OR('Avaliador 1'!F197="",'Avaliador 2'!F197=""),"",IF(AND('Avaliador 1'!F197='Avaliador 2'!F197,'Avaliador 1'!G197='Avaliador 2'!G197,'Avaliador 1'!H197='Avaliador 2'!H197,'Avaliador 1'!I197='Avaliador 2'!I197),"Não","Sim"))</f>
        <v/>
      </c>
      <c r="O197" s="14"/>
      <c r="P197" s="10" t="str">
        <f aca="false">IF(LEN(H197)=3,"Defeito encontrado",IF(I197="Sim","Falso alarme",IF(H197="—","Nenhum defeito apontado","")))</f>
        <v/>
      </c>
    </row>
    <row r="198" customFormat="false" ht="15" hidden="false" customHeight="false" outlineLevel="0" collapsed="false">
      <c r="A198" s="11" t="str">
        <f aca="false">Apontamentos!C198</f>
        <v/>
      </c>
      <c r="B198" s="11" t="str">
        <f aca="false">IF(Apontamentos!$C198="","",Apontamentos!A198&amp;"")</f>
        <v/>
      </c>
      <c r="C198" s="11" t="str">
        <f aca="false">IF(B198="","",IFERROR(INDEX(Execuções!$C$2:$C$97,MATCH(B198,Execuções!$A$2:$A$97,0)),"ID?"))</f>
        <v/>
      </c>
      <c r="D198" s="10" t="str">
        <f aca="false">IF(B198="","",IFERROR(INDEX(Execuções!$B$2:$B$97,MATCH(B198,Execuções!$A$2:$A$97,0)),"ID?"))</f>
        <v/>
      </c>
      <c r="E198" s="11" t="str">
        <f aca="false">IF(B198="","",Apontamentos!D198)</f>
        <v/>
      </c>
      <c r="F198" s="11" t="str">
        <f aca="false">IF(B198="","",Apontamentos!E198)</f>
        <v/>
      </c>
      <c r="G198" s="10" t="str">
        <f aca="false">IF(B198="","",Apontamentos!G198&amp;"")</f>
        <v/>
      </c>
      <c r="H198" s="14" t="str">
        <f aca="false">IF('Avaliador 1'!F198='Avaliador 2'!F198,'Avaliador 1'!F198&amp;"","")</f>
        <v/>
      </c>
      <c r="I198" s="14" t="str">
        <f aca="false">IF('Avaliador 1'!G198='Avaliador 2'!G198,'Avaliador 1'!G198&amp;"","")</f>
        <v/>
      </c>
      <c r="J198" s="14" t="str">
        <f aca="false">IF('Avaliador 1'!H198='Avaliador 2'!H198,'Avaliador 1'!H198&amp;"","")</f>
        <v/>
      </c>
      <c r="K198" s="14" t="str">
        <f aca="false">IF('Avaliador 1'!I198='Avaliador 2'!I198,'Avaliador 1'!I198&amp;"","")</f>
        <v/>
      </c>
      <c r="L198" s="13"/>
      <c r="M198" s="13" t="str">
        <f aca="false">IF('Avaliador 1'!J198='Avaliador 2'!J198,'Avaliador 1'!J198&amp;"","")</f>
        <v/>
      </c>
      <c r="N198" s="11" t="str">
        <f aca="false">IF(OR('Avaliador 1'!F198="",'Avaliador 2'!F198=""),"",IF(AND('Avaliador 1'!F198='Avaliador 2'!F198,'Avaliador 1'!G198='Avaliador 2'!G198,'Avaliador 1'!H198='Avaliador 2'!H198,'Avaliador 1'!I198='Avaliador 2'!I198),"Não","Sim"))</f>
        <v/>
      </c>
      <c r="O198" s="14"/>
      <c r="P198" s="10" t="str">
        <f aca="false">IF(LEN(H198)=3,"Defeito encontrado",IF(I198="Sim","Falso alarme",IF(H198="—","Nenhum defeito apontado","")))</f>
        <v/>
      </c>
    </row>
    <row r="199" customFormat="false" ht="15" hidden="false" customHeight="false" outlineLevel="0" collapsed="false">
      <c r="A199" s="11" t="str">
        <f aca="false">Apontamentos!C199</f>
        <v/>
      </c>
      <c r="B199" s="11" t="str">
        <f aca="false">IF(Apontamentos!$C199="","",Apontamentos!A199&amp;"")</f>
        <v/>
      </c>
      <c r="C199" s="11" t="str">
        <f aca="false">IF(B199="","",IFERROR(INDEX(Execuções!$C$2:$C$97,MATCH(B199,Execuções!$A$2:$A$97,0)),"ID?"))</f>
        <v/>
      </c>
      <c r="D199" s="10" t="str">
        <f aca="false">IF(B199="","",IFERROR(INDEX(Execuções!$B$2:$B$97,MATCH(B199,Execuções!$A$2:$A$97,0)),"ID?"))</f>
        <v/>
      </c>
      <c r="E199" s="11" t="str">
        <f aca="false">IF(B199="","",Apontamentos!D199)</f>
        <v/>
      </c>
      <c r="F199" s="11" t="str">
        <f aca="false">IF(B199="","",Apontamentos!E199)</f>
        <v/>
      </c>
      <c r="G199" s="10" t="str">
        <f aca="false">IF(B199="","",Apontamentos!G199&amp;"")</f>
        <v/>
      </c>
      <c r="H199" s="14" t="str">
        <f aca="false">IF('Avaliador 1'!F199='Avaliador 2'!F199,'Avaliador 1'!F199&amp;"","")</f>
        <v/>
      </c>
      <c r="I199" s="14" t="str">
        <f aca="false">IF('Avaliador 1'!G199='Avaliador 2'!G199,'Avaliador 1'!G199&amp;"","")</f>
        <v/>
      </c>
      <c r="J199" s="14" t="str">
        <f aca="false">IF('Avaliador 1'!H199='Avaliador 2'!H199,'Avaliador 1'!H199&amp;"","")</f>
        <v/>
      </c>
      <c r="K199" s="14" t="str">
        <f aca="false">IF('Avaliador 1'!I199='Avaliador 2'!I199,'Avaliador 1'!I199&amp;"","")</f>
        <v/>
      </c>
      <c r="L199" s="13"/>
      <c r="M199" s="13" t="str">
        <f aca="false">IF('Avaliador 1'!J199='Avaliador 2'!J199,'Avaliador 1'!J199&amp;"","")</f>
        <v/>
      </c>
      <c r="N199" s="11" t="str">
        <f aca="false">IF(OR('Avaliador 1'!F199="",'Avaliador 2'!F199=""),"",IF(AND('Avaliador 1'!F199='Avaliador 2'!F199,'Avaliador 1'!G199='Avaliador 2'!G199,'Avaliador 1'!H199='Avaliador 2'!H199,'Avaliador 1'!I199='Avaliador 2'!I199),"Não","Sim"))</f>
        <v/>
      </c>
      <c r="O199" s="14"/>
      <c r="P199" s="10" t="str">
        <f aca="false">IF(LEN(H199)=3,"Defeito encontrado",IF(I199="Sim","Falso alarme",IF(H199="—","Nenhum defeito apontado","")))</f>
        <v/>
      </c>
    </row>
    <row r="200" customFormat="false" ht="15" hidden="false" customHeight="false" outlineLevel="0" collapsed="false">
      <c r="A200" s="11" t="str">
        <f aca="false">Apontamentos!C200</f>
        <v/>
      </c>
      <c r="B200" s="11" t="str">
        <f aca="false">IF(Apontamentos!$C200="","",Apontamentos!A200&amp;"")</f>
        <v/>
      </c>
      <c r="C200" s="11" t="str">
        <f aca="false">IF(B200="","",IFERROR(INDEX(Execuções!$C$2:$C$97,MATCH(B200,Execuções!$A$2:$A$97,0)),"ID?"))</f>
        <v/>
      </c>
      <c r="D200" s="10" t="str">
        <f aca="false">IF(B200="","",IFERROR(INDEX(Execuções!$B$2:$B$97,MATCH(B200,Execuções!$A$2:$A$97,0)),"ID?"))</f>
        <v/>
      </c>
      <c r="E200" s="11" t="str">
        <f aca="false">IF(B200="","",Apontamentos!D200)</f>
        <v/>
      </c>
      <c r="F200" s="11" t="str">
        <f aca="false">IF(B200="","",Apontamentos!E200)</f>
        <v/>
      </c>
      <c r="G200" s="10" t="str">
        <f aca="false">IF(B200="","",Apontamentos!G200&amp;"")</f>
        <v/>
      </c>
      <c r="H200" s="14" t="str">
        <f aca="false">IF('Avaliador 1'!F200='Avaliador 2'!F200,'Avaliador 1'!F200&amp;"","")</f>
        <v/>
      </c>
      <c r="I200" s="14" t="str">
        <f aca="false">IF('Avaliador 1'!G200='Avaliador 2'!G200,'Avaliador 1'!G200&amp;"","")</f>
        <v/>
      </c>
      <c r="J200" s="14" t="str">
        <f aca="false">IF('Avaliador 1'!H200='Avaliador 2'!H200,'Avaliador 1'!H200&amp;"","")</f>
        <v/>
      </c>
      <c r="K200" s="14" t="str">
        <f aca="false">IF('Avaliador 1'!I200='Avaliador 2'!I200,'Avaliador 1'!I200&amp;"","")</f>
        <v/>
      </c>
      <c r="L200" s="13"/>
      <c r="M200" s="13" t="str">
        <f aca="false">IF('Avaliador 1'!J200='Avaliador 2'!J200,'Avaliador 1'!J200&amp;"","")</f>
        <v/>
      </c>
      <c r="N200" s="11" t="str">
        <f aca="false">IF(OR('Avaliador 1'!F200="",'Avaliador 2'!F200=""),"",IF(AND('Avaliador 1'!F200='Avaliador 2'!F200,'Avaliador 1'!G200='Avaliador 2'!G200,'Avaliador 1'!H200='Avaliador 2'!H200,'Avaliador 1'!I200='Avaliador 2'!I200),"Não","Sim"))</f>
        <v/>
      </c>
      <c r="O200" s="14"/>
      <c r="P200" s="10" t="str">
        <f aca="false">IF(LEN(H200)=3,"Defeito encontrado",IF(I200="Sim","Falso alarme",IF(H200="—","Nenhum defeito apontado","")))</f>
        <v/>
      </c>
    </row>
    <row r="201" customFormat="false" ht="15" hidden="false" customHeight="false" outlineLevel="0" collapsed="false">
      <c r="A201" s="11" t="str">
        <f aca="false">Apontamentos!C201</f>
        <v/>
      </c>
      <c r="B201" s="11" t="str">
        <f aca="false">IF(Apontamentos!$C201="","",Apontamentos!A201&amp;"")</f>
        <v/>
      </c>
      <c r="C201" s="11" t="str">
        <f aca="false">IF(B201="","",IFERROR(INDEX(Execuções!$C$2:$C$97,MATCH(B201,Execuções!$A$2:$A$97,0)),"ID?"))</f>
        <v/>
      </c>
      <c r="D201" s="10" t="str">
        <f aca="false">IF(B201="","",IFERROR(INDEX(Execuções!$B$2:$B$97,MATCH(B201,Execuções!$A$2:$A$97,0)),"ID?"))</f>
        <v/>
      </c>
      <c r="E201" s="11" t="str">
        <f aca="false">IF(B201="","",Apontamentos!D201)</f>
        <v/>
      </c>
      <c r="F201" s="11" t="str">
        <f aca="false">IF(B201="","",Apontamentos!E201)</f>
        <v/>
      </c>
      <c r="G201" s="10" t="str">
        <f aca="false">IF(B201="","",Apontamentos!G201&amp;"")</f>
        <v/>
      </c>
      <c r="H201" s="14" t="str">
        <f aca="false">IF('Avaliador 1'!F201='Avaliador 2'!F201,'Avaliador 1'!F201&amp;"","")</f>
        <v/>
      </c>
      <c r="I201" s="14" t="str">
        <f aca="false">IF('Avaliador 1'!G201='Avaliador 2'!G201,'Avaliador 1'!G201&amp;"","")</f>
        <v/>
      </c>
      <c r="J201" s="14" t="str">
        <f aca="false">IF('Avaliador 1'!H201='Avaliador 2'!H201,'Avaliador 1'!H201&amp;"","")</f>
        <v/>
      </c>
      <c r="K201" s="14" t="str">
        <f aca="false">IF('Avaliador 1'!I201='Avaliador 2'!I201,'Avaliador 1'!I201&amp;"","")</f>
        <v/>
      </c>
      <c r="L201" s="13"/>
      <c r="M201" s="13" t="str">
        <f aca="false">IF('Avaliador 1'!J201='Avaliador 2'!J201,'Avaliador 1'!J201&amp;"","")</f>
        <v/>
      </c>
      <c r="N201" s="11" t="str">
        <f aca="false">IF(OR('Avaliador 1'!F201="",'Avaliador 2'!F201=""),"",IF(AND('Avaliador 1'!F201='Avaliador 2'!F201,'Avaliador 1'!G201='Avaliador 2'!G201,'Avaliador 1'!H201='Avaliador 2'!H201,'Avaliador 1'!I201='Avaliador 2'!I201),"Não","Sim"))</f>
        <v/>
      </c>
      <c r="O201" s="14"/>
      <c r="P201" s="10" t="str">
        <f aca="false">IF(LEN(H201)=3,"Defeito encontrado",IF(I201="Sim","Falso alarme",IF(H201="—","Nenhum defeito apontado","")))</f>
        <v/>
      </c>
    </row>
    <row r="202" customFormat="false" ht="15" hidden="false" customHeight="false" outlineLevel="0" collapsed="false">
      <c r="A202" s="11" t="str">
        <f aca="false">Apontamentos!C202</f>
        <v/>
      </c>
      <c r="B202" s="11" t="str">
        <f aca="false">IF(Apontamentos!$C202="","",Apontamentos!A202&amp;"")</f>
        <v/>
      </c>
      <c r="C202" s="11" t="str">
        <f aca="false">IF(B202="","",IFERROR(INDEX(Execuções!$C$2:$C$97,MATCH(B202,Execuções!$A$2:$A$97,0)),"ID?"))</f>
        <v/>
      </c>
      <c r="D202" s="10" t="str">
        <f aca="false">IF(B202="","",IFERROR(INDEX(Execuções!$B$2:$B$97,MATCH(B202,Execuções!$A$2:$A$97,0)),"ID?"))</f>
        <v/>
      </c>
      <c r="E202" s="11" t="str">
        <f aca="false">IF(B202="","",Apontamentos!D202)</f>
        <v/>
      </c>
      <c r="F202" s="11" t="str">
        <f aca="false">IF(B202="","",Apontamentos!E202)</f>
        <v/>
      </c>
      <c r="G202" s="10" t="str">
        <f aca="false">IF(B202="","",Apontamentos!G202&amp;"")</f>
        <v/>
      </c>
      <c r="H202" s="14" t="str">
        <f aca="false">IF('Avaliador 1'!F202='Avaliador 2'!F202,'Avaliador 1'!F202&amp;"","")</f>
        <v/>
      </c>
      <c r="I202" s="14" t="str">
        <f aca="false">IF('Avaliador 1'!G202='Avaliador 2'!G202,'Avaliador 1'!G202&amp;"","")</f>
        <v/>
      </c>
      <c r="J202" s="14" t="str">
        <f aca="false">IF('Avaliador 1'!H202='Avaliador 2'!H202,'Avaliador 1'!H202&amp;"","")</f>
        <v/>
      </c>
      <c r="K202" s="14" t="str">
        <f aca="false">IF('Avaliador 1'!I202='Avaliador 2'!I202,'Avaliador 1'!I202&amp;"","")</f>
        <v/>
      </c>
      <c r="L202" s="13"/>
      <c r="M202" s="13" t="str">
        <f aca="false">IF('Avaliador 1'!J202='Avaliador 2'!J202,'Avaliador 1'!J202&amp;"","")</f>
        <v/>
      </c>
      <c r="N202" s="11" t="str">
        <f aca="false">IF(OR('Avaliador 1'!F202="",'Avaliador 2'!F202=""),"",IF(AND('Avaliador 1'!F202='Avaliador 2'!F202,'Avaliador 1'!G202='Avaliador 2'!G202,'Avaliador 1'!H202='Avaliador 2'!H202,'Avaliador 1'!I202='Avaliador 2'!I202),"Não","Sim"))</f>
        <v/>
      </c>
      <c r="O202" s="14"/>
      <c r="P202" s="10" t="str">
        <f aca="false">IF(LEN(H202)=3,"Defeito encontrado",IF(I202="Sim","Falso alarme",IF(H202="—","Nenhum defeito apontado","")))</f>
        <v/>
      </c>
    </row>
    <row r="203" customFormat="false" ht="15" hidden="false" customHeight="false" outlineLevel="0" collapsed="false">
      <c r="A203" s="11" t="str">
        <f aca="false">Apontamentos!C203</f>
        <v/>
      </c>
      <c r="B203" s="11" t="str">
        <f aca="false">IF(Apontamentos!$C203="","",Apontamentos!A203&amp;"")</f>
        <v/>
      </c>
      <c r="C203" s="11" t="str">
        <f aca="false">IF(B203="","",IFERROR(INDEX(Execuções!$C$2:$C$97,MATCH(B203,Execuções!$A$2:$A$97,0)),"ID?"))</f>
        <v/>
      </c>
      <c r="D203" s="10" t="str">
        <f aca="false">IF(B203="","",IFERROR(INDEX(Execuções!$B$2:$B$97,MATCH(B203,Execuções!$A$2:$A$97,0)),"ID?"))</f>
        <v/>
      </c>
      <c r="E203" s="11" t="str">
        <f aca="false">IF(B203="","",Apontamentos!D203)</f>
        <v/>
      </c>
      <c r="F203" s="11" t="str">
        <f aca="false">IF(B203="","",Apontamentos!E203)</f>
        <v/>
      </c>
      <c r="G203" s="10" t="str">
        <f aca="false">IF(B203="","",Apontamentos!G203&amp;"")</f>
        <v/>
      </c>
      <c r="H203" s="14" t="str">
        <f aca="false">IF('Avaliador 1'!F203='Avaliador 2'!F203,'Avaliador 1'!F203&amp;"","")</f>
        <v/>
      </c>
      <c r="I203" s="14" t="str">
        <f aca="false">IF('Avaliador 1'!G203='Avaliador 2'!G203,'Avaliador 1'!G203&amp;"","")</f>
        <v/>
      </c>
      <c r="J203" s="14" t="str">
        <f aca="false">IF('Avaliador 1'!H203='Avaliador 2'!H203,'Avaliador 1'!H203&amp;"","")</f>
        <v/>
      </c>
      <c r="K203" s="14" t="str">
        <f aca="false">IF('Avaliador 1'!I203='Avaliador 2'!I203,'Avaliador 1'!I203&amp;"","")</f>
        <v/>
      </c>
      <c r="L203" s="13"/>
      <c r="M203" s="13" t="str">
        <f aca="false">IF('Avaliador 1'!J203='Avaliador 2'!J203,'Avaliador 1'!J203&amp;"","")</f>
        <v/>
      </c>
      <c r="N203" s="11" t="str">
        <f aca="false">IF(OR('Avaliador 1'!F203="",'Avaliador 2'!F203=""),"",IF(AND('Avaliador 1'!F203='Avaliador 2'!F203,'Avaliador 1'!G203='Avaliador 2'!G203,'Avaliador 1'!H203='Avaliador 2'!H203,'Avaliador 1'!I203='Avaliador 2'!I203),"Não","Sim"))</f>
        <v/>
      </c>
      <c r="O203" s="14"/>
      <c r="P203" s="10" t="str">
        <f aca="false">IF(LEN(H203)=3,"Defeito encontrado",IF(I203="Sim","Falso alarme",IF(H203="—","Nenhum defeito apontado","")))</f>
        <v/>
      </c>
    </row>
    <row r="204" customFormat="false" ht="15" hidden="false" customHeight="false" outlineLevel="0" collapsed="false">
      <c r="A204" s="11" t="str">
        <f aca="false">Apontamentos!C204</f>
        <v/>
      </c>
      <c r="B204" s="11" t="str">
        <f aca="false">IF(Apontamentos!$C204="","",Apontamentos!A204&amp;"")</f>
        <v/>
      </c>
      <c r="C204" s="11" t="str">
        <f aca="false">IF(B204="","",IFERROR(INDEX(Execuções!$C$2:$C$97,MATCH(B204,Execuções!$A$2:$A$97,0)),"ID?"))</f>
        <v/>
      </c>
      <c r="D204" s="10" t="str">
        <f aca="false">IF(B204="","",IFERROR(INDEX(Execuções!$B$2:$B$97,MATCH(B204,Execuções!$A$2:$A$97,0)),"ID?"))</f>
        <v/>
      </c>
      <c r="E204" s="11" t="str">
        <f aca="false">IF(B204="","",Apontamentos!D204)</f>
        <v/>
      </c>
      <c r="F204" s="11" t="str">
        <f aca="false">IF(B204="","",Apontamentos!E204)</f>
        <v/>
      </c>
      <c r="G204" s="10" t="str">
        <f aca="false">IF(B204="","",Apontamentos!G204&amp;"")</f>
        <v/>
      </c>
      <c r="H204" s="14" t="str">
        <f aca="false">IF('Avaliador 1'!F204='Avaliador 2'!F204,'Avaliador 1'!F204&amp;"","")</f>
        <v/>
      </c>
      <c r="I204" s="14" t="str">
        <f aca="false">IF('Avaliador 1'!G204='Avaliador 2'!G204,'Avaliador 1'!G204&amp;"","")</f>
        <v/>
      </c>
      <c r="J204" s="14" t="str">
        <f aca="false">IF('Avaliador 1'!H204='Avaliador 2'!H204,'Avaliador 1'!H204&amp;"","")</f>
        <v/>
      </c>
      <c r="K204" s="14" t="str">
        <f aca="false">IF('Avaliador 1'!I204='Avaliador 2'!I204,'Avaliador 1'!I204&amp;"","")</f>
        <v/>
      </c>
      <c r="L204" s="13"/>
      <c r="M204" s="13" t="str">
        <f aca="false">IF('Avaliador 1'!J204='Avaliador 2'!J204,'Avaliador 1'!J204&amp;"","")</f>
        <v/>
      </c>
      <c r="N204" s="11" t="str">
        <f aca="false">IF(OR('Avaliador 1'!F204="",'Avaliador 2'!F204=""),"",IF(AND('Avaliador 1'!F204='Avaliador 2'!F204,'Avaliador 1'!G204='Avaliador 2'!G204,'Avaliador 1'!H204='Avaliador 2'!H204,'Avaliador 1'!I204='Avaliador 2'!I204),"Não","Sim"))</f>
        <v/>
      </c>
      <c r="O204" s="14"/>
      <c r="P204" s="10" t="str">
        <f aca="false">IF(LEN(H204)=3,"Defeito encontrado",IF(I204="Sim","Falso alarme",IF(H204="—","Nenhum defeito apontado","")))</f>
        <v/>
      </c>
    </row>
    <row r="205" customFormat="false" ht="15" hidden="false" customHeight="false" outlineLevel="0" collapsed="false">
      <c r="A205" s="11" t="str">
        <f aca="false">Apontamentos!C205</f>
        <v/>
      </c>
      <c r="B205" s="11" t="str">
        <f aca="false">IF(Apontamentos!$C205="","",Apontamentos!A205&amp;"")</f>
        <v/>
      </c>
      <c r="C205" s="11" t="str">
        <f aca="false">IF(B205="","",IFERROR(INDEX(Execuções!$C$2:$C$97,MATCH(B205,Execuções!$A$2:$A$97,0)),"ID?"))</f>
        <v/>
      </c>
      <c r="D205" s="10" t="str">
        <f aca="false">IF(B205="","",IFERROR(INDEX(Execuções!$B$2:$B$97,MATCH(B205,Execuções!$A$2:$A$97,0)),"ID?"))</f>
        <v/>
      </c>
      <c r="E205" s="11" t="str">
        <f aca="false">IF(B205="","",Apontamentos!D205)</f>
        <v/>
      </c>
      <c r="F205" s="11" t="str">
        <f aca="false">IF(B205="","",Apontamentos!E205)</f>
        <v/>
      </c>
      <c r="G205" s="10" t="str">
        <f aca="false">IF(B205="","",Apontamentos!G205&amp;"")</f>
        <v/>
      </c>
      <c r="H205" s="14" t="str">
        <f aca="false">IF('Avaliador 1'!F205='Avaliador 2'!F205,'Avaliador 1'!F205&amp;"","")</f>
        <v/>
      </c>
      <c r="I205" s="14" t="str">
        <f aca="false">IF('Avaliador 1'!G205='Avaliador 2'!G205,'Avaliador 1'!G205&amp;"","")</f>
        <v/>
      </c>
      <c r="J205" s="14" t="str">
        <f aca="false">IF('Avaliador 1'!H205='Avaliador 2'!H205,'Avaliador 1'!H205&amp;"","")</f>
        <v/>
      </c>
      <c r="K205" s="14" t="str">
        <f aca="false">IF('Avaliador 1'!I205='Avaliador 2'!I205,'Avaliador 1'!I205&amp;"","")</f>
        <v/>
      </c>
      <c r="L205" s="13"/>
      <c r="M205" s="13" t="str">
        <f aca="false">IF('Avaliador 1'!J205='Avaliador 2'!J205,'Avaliador 1'!J205&amp;"","")</f>
        <v/>
      </c>
      <c r="N205" s="11" t="str">
        <f aca="false">IF(OR('Avaliador 1'!F205="",'Avaliador 2'!F205=""),"",IF(AND('Avaliador 1'!F205='Avaliador 2'!F205,'Avaliador 1'!G205='Avaliador 2'!G205,'Avaliador 1'!H205='Avaliador 2'!H205,'Avaliador 1'!I205='Avaliador 2'!I205),"Não","Sim"))</f>
        <v/>
      </c>
      <c r="O205" s="14"/>
      <c r="P205" s="10" t="str">
        <f aca="false">IF(LEN(H205)=3,"Defeito encontrado",IF(I205="Sim","Falso alarme",IF(H205="—","Nenhum defeito apontado","")))</f>
        <v/>
      </c>
    </row>
    <row r="206" customFormat="false" ht="15" hidden="false" customHeight="false" outlineLevel="0" collapsed="false">
      <c r="A206" s="11" t="str">
        <f aca="false">Apontamentos!C206</f>
        <v/>
      </c>
      <c r="B206" s="11" t="str">
        <f aca="false">IF(Apontamentos!$C206="","",Apontamentos!A206&amp;"")</f>
        <v/>
      </c>
      <c r="C206" s="11" t="str">
        <f aca="false">IF(B206="","",IFERROR(INDEX(Execuções!$C$2:$C$97,MATCH(B206,Execuções!$A$2:$A$97,0)),"ID?"))</f>
        <v/>
      </c>
      <c r="D206" s="10" t="str">
        <f aca="false">IF(B206="","",IFERROR(INDEX(Execuções!$B$2:$B$97,MATCH(B206,Execuções!$A$2:$A$97,0)),"ID?"))</f>
        <v/>
      </c>
      <c r="E206" s="11" t="str">
        <f aca="false">IF(B206="","",Apontamentos!D206)</f>
        <v/>
      </c>
      <c r="F206" s="11" t="str">
        <f aca="false">IF(B206="","",Apontamentos!E206)</f>
        <v/>
      </c>
      <c r="G206" s="10" t="str">
        <f aca="false">IF(B206="","",Apontamentos!G206&amp;"")</f>
        <v/>
      </c>
      <c r="H206" s="14" t="str">
        <f aca="false">IF('Avaliador 1'!F206='Avaliador 2'!F206,'Avaliador 1'!F206&amp;"","")</f>
        <v/>
      </c>
      <c r="I206" s="14" t="str">
        <f aca="false">IF('Avaliador 1'!G206='Avaliador 2'!G206,'Avaliador 1'!G206&amp;"","")</f>
        <v/>
      </c>
      <c r="J206" s="14" t="str">
        <f aca="false">IF('Avaliador 1'!H206='Avaliador 2'!H206,'Avaliador 1'!H206&amp;"","")</f>
        <v/>
      </c>
      <c r="K206" s="14" t="str">
        <f aca="false">IF('Avaliador 1'!I206='Avaliador 2'!I206,'Avaliador 1'!I206&amp;"","")</f>
        <v/>
      </c>
      <c r="L206" s="13"/>
      <c r="M206" s="13" t="str">
        <f aca="false">IF('Avaliador 1'!J206='Avaliador 2'!J206,'Avaliador 1'!J206&amp;"","")</f>
        <v/>
      </c>
      <c r="N206" s="11" t="str">
        <f aca="false">IF(OR('Avaliador 1'!F206="",'Avaliador 2'!F206=""),"",IF(AND('Avaliador 1'!F206='Avaliador 2'!F206,'Avaliador 1'!G206='Avaliador 2'!G206,'Avaliador 1'!H206='Avaliador 2'!H206,'Avaliador 1'!I206='Avaliador 2'!I206),"Não","Sim"))</f>
        <v/>
      </c>
      <c r="O206" s="14"/>
      <c r="P206" s="10" t="str">
        <f aca="false">IF(LEN(H206)=3,"Defeito encontrado",IF(I206="Sim","Falso alarme",IF(H206="—","Nenhum defeito apontado","")))</f>
        <v/>
      </c>
    </row>
    <row r="207" customFormat="false" ht="15" hidden="false" customHeight="false" outlineLevel="0" collapsed="false">
      <c r="A207" s="11" t="str">
        <f aca="false">Apontamentos!C207</f>
        <v/>
      </c>
      <c r="B207" s="11" t="str">
        <f aca="false">IF(Apontamentos!$C207="","",Apontamentos!A207&amp;"")</f>
        <v/>
      </c>
      <c r="C207" s="11" t="str">
        <f aca="false">IF(B207="","",IFERROR(INDEX(Execuções!$C$2:$C$97,MATCH(B207,Execuções!$A$2:$A$97,0)),"ID?"))</f>
        <v/>
      </c>
      <c r="D207" s="10" t="str">
        <f aca="false">IF(B207="","",IFERROR(INDEX(Execuções!$B$2:$B$97,MATCH(B207,Execuções!$A$2:$A$97,0)),"ID?"))</f>
        <v/>
      </c>
      <c r="E207" s="11" t="str">
        <f aca="false">IF(B207="","",Apontamentos!D207)</f>
        <v/>
      </c>
      <c r="F207" s="11" t="str">
        <f aca="false">IF(B207="","",Apontamentos!E207)</f>
        <v/>
      </c>
      <c r="G207" s="10" t="str">
        <f aca="false">IF(B207="","",Apontamentos!G207&amp;"")</f>
        <v/>
      </c>
      <c r="H207" s="14" t="str">
        <f aca="false">IF('Avaliador 1'!F207='Avaliador 2'!F207,'Avaliador 1'!F207&amp;"","")</f>
        <v/>
      </c>
      <c r="I207" s="14" t="str">
        <f aca="false">IF('Avaliador 1'!G207='Avaliador 2'!G207,'Avaliador 1'!G207&amp;"","")</f>
        <v/>
      </c>
      <c r="J207" s="14" t="str">
        <f aca="false">IF('Avaliador 1'!H207='Avaliador 2'!H207,'Avaliador 1'!H207&amp;"","")</f>
        <v/>
      </c>
      <c r="K207" s="14" t="str">
        <f aca="false">IF('Avaliador 1'!I207='Avaliador 2'!I207,'Avaliador 1'!I207&amp;"","")</f>
        <v/>
      </c>
      <c r="L207" s="13"/>
      <c r="M207" s="13" t="str">
        <f aca="false">IF('Avaliador 1'!J207='Avaliador 2'!J207,'Avaliador 1'!J207&amp;"","")</f>
        <v/>
      </c>
      <c r="N207" s="11" t="str">
        <f aca="false">IF(OR('Avaliador 1'!F207="",'Avaliador 2'!F207=""),"",IF(AND('Avaliador 1'!F207='Avaliador 2'!F207,'Avaliador 1'!G207='Avaliador 2'!G207,'Avaliador 1'!H207='Avaliador 2'!H207,'Avaliador 1'!I207='Avaliador 2'!I207),"Não","Sim"))</f>
        <v/>
      </c>
      <c r="O207" s="14"/>
      <c r="P207" s="10" t="str">
        <f aca="false">IF(LEN(H207)=3,"Defeito encontrado",IF(I207="Sim","Falso alarme",IF(H207="—","Nenhum defeito apontado","")))</f>
        <v/>
      </c>
    </row>
    <row r="208" customFormat="false" ht="15" hidden="false" customHeight="false" outlineLevel="0" collapsed="false">
      <c r="A208" s="11" t="str">
        <f aca="false">Apontamentos!C208</f>
        <v/>
      </c>
      <c r="B208" s="11" t="str">
        <f aca="false">IF(Apontamentos!$C208="","",Apontamentos!A208&amp;"")</f>
        <v/>
      </c>
      <c r="C208" s="11" t="str">
        <f aca="false">IF(B208="","",IFERROR(INDEX(Execuções!$C$2:$C$97,MATCH(B208,Execuções!$A$2:$A$97,0)),"ID?"))</f>
        <v/>
      </c>
      <c r="D208" s="10" t="str">
        <f aca="false">IF(B208="","",IFERROR(INDEX(Execuções!$B$2:$B$97,MATCH(B208,Execuções!$A$2:$A$97,0)),"ID?"))</f>
        <v/>
      </c>
      <c r="E208" s="11" t="str">
        <f aca="false">IF(B208="","",Apontamentos!D208)</f>
        <v/>
      </c>
      <c r="F208" s="11" t="str">
        <f aca="false">IF(B208="","",Apontamentos!E208)</f>
        <v/>
      </c>
      <c r="G208" s="10" t="str">
        <f aca="false">IF(B208="","",Apontamentos!G208&amp;"")</f>
        <v/>
      </c>
      <c r="H208" s="14" t="str">
        <f aca="false">IF('Avaliador 1'!F208='Avaliador 2'!F208,'Avaliador 1'!F208&amp;"","")</f>
        <v/>
      </c>
      <c r="I208" s="14" t="str">
        <f aca="false">IF('Avaliador 1'!G208='Avaliador 2'!G208,'Avaliador 1'!G208&amp;"","")</f>
        <v/>
      </c>
      <c r="J208" s="14" t="str">
        <f aca="false">IF('Avaliador 1'!H208='Avaliador 2'!H208,'Avaliador 1'!H208&amp;"","")</f>
        <v/>
      </c>
      <c r="K208" s="14" t="str">
        <f aca="false">IF('Avaliador 1'!I208='Avaliador 2'!I208,'Avaliador 1'!I208&amp;"","")</f>
        <v/>
      </c>
      <c r="L208" s="13"/>
      <c r="M208" s="13" t="str">
        <f aca="false">IF('Avaliador 1'!J208='Avaliador 2'!J208,'Avaliador 1'!J208&amp;"","")</f>
        <v/>
      </c>
      <c r="N208" s="11" t="str">
        <f aca="false">IF(OR('Avaliador 1'!F208="",'Avaliador 2'!F208=""),"",IF(AND('Avaliador 1'!F208='Avaliador 2'!F208,'Avaliador 1'!G208='Avaliador 2'!G208,'Avaliador 1'!H208='Avaliador 2'!H208,'Avaliador 1'!I208='Avaliador 2'!I208),"Não","Sim"))</f>
        <v/>
      </c>
      <c r="O208" s="14"/>
      <c r="P208" s="10" t="str">
        <f aca="false">IF(LEN(H208)=3,"Defeito encontrado",IF(I208="Sim","Falso alarme",IF(H208="—","Nenhum defeito apontado","")))</f>
        <v/>
      </c>
    </row>
    <row r="209" customFormat="false" ht="15" hidden="false" customHeight="false" outlineLevel="0" collapsed="false">
      <c r="A209" s="11" t="str">
        <f aca="false">Apontamentos!C209</f>
        <v/>
      </c>
      <c r="B209" s="11" t="str">
        <f aca="false">IF(Apontamentos!$C209="","",Apontamentos!A209&amp;"")</f>
        <v/>
      </c>
      <c r="C209" s="11" t="str">
        <f aca="false">IF(B209="","",IFERROR(INDEX(Execuções!$C$2:$C$97,MATCH(B209,Execuções!$A$2:$A$97,0)),"ID?"))</f>
        <v/>
      </c>
      <c r="D209" s="10" t="str">
        <f aca="false">IF(B209="","",IFERROR(INDEX(Execuções!$B$2:$B$97,MATCH(B209,Execuções!$A$2:$A$97,0)),"ID?"))</f>
        <v/>
      </c>
      <c r="E209" s="11" t="str">
        <f aca="false">IF(B209="","",Apontamentos!D209)</f>
        <v/>
      </c>
      <c r="F209" s="11" t="str">
        <f aca="false">IF(B209="","",Apontamentos!E209)</f>
        <v/>
      </c>
      <c r="G209" s="10" t="str">
        <f aca="false">IF(B209="","",Apontamentos!G209&amp;"")</f>
        <v/>
      </c>
      <c r="H209" s="14" t="str">
        <f aca="false">IF('Avaliador 1'!F209='Avaliador 2'!F209,'Avaliador 1'!F209&amp;"","")</f>
        <v/>
      </c>
      <c r="I209" s="14" t="str">
        <f aca="false">IF('Avaliador 1'!G209='Avaliador 2'!G209,'Avaliador 1'!G209&amp;"","")</f>
        <v/>
      </c>
      <c r="J209" s="14" t="str">
        <f aca="false">IF('Avaliador 1'!H209='Avaliador 2'!H209,'Avaliador 1'!H209&amp;"","")</f>
        <v/>
      </c>
      <c r="K209" s="14" t="str">
        <f aca="false">IF('Avaliador 1'!I209='Avaliador 2'!I209,'Avaliador 1'!I209&amp;"","")</f>
        <v/>
      </c>
      <c r="L209" s="13"/>
      <c r="M209" s="13" t="str">
        <f aca="false">IF('Avaliador 1'!J209='Avaliador 2'!J209,'Avaliador 1'!J209&amp;"","")</f>
        <v/>
      </c>
      <c r="N209" s="11" t="str">
        <f aca="false">IF(OR('Avaliador 1'!F209="",'Avaliador 2'!F209=""),"",IF(AND('Avaliador 1'!F209='Avaliador 2'!F209,'Avaliador 1'!G209='Avaliador 2'!G209,'Avaliador 1'!H209='Avaliador 2'!H209,'Avaliador 1'!I209='Avaliador 2'!I209),"Não","Sim"))</f>
        <v/>
      </c>
      <c r="O209" s="14"/>
      <c r="P209" s="10" t="str">
        <f aca="false">IF(LEN(H209)=3,"Defeito encontrado",IF(I209="Sim","Falso alarme",IF(H209="—","Nenhum defeito apontado","")))</f>
        <v/>
      </c>
    </row>
    <row r="210" customFormat="false" ht="15" hidden="false" customHeight="false" outlineLevel="0" collapsed="false">
      <c r="A210" s="11" t="str">
        <f aca="false">Apontamentos!C210</f>
        <v/>
      </c>
      <c r="B210" s="11" t="str">
        <f aca="false">IF(Apontamentos!$C210="","",Apontamentos!A210&amp;"")</f>
        <v/>
      </c>
      <c r="C210" s="11" t="str">
        <f aca="false">IF(B210="","",IFERROR(INDEX(Execuções!$C$2:$C$97,MATCH(B210,Execuções!$A$2:$A$97,0)),"ID?"))</f>
        <v/>
      </c>
      <c r="D210" s="10" t="str">
        <f aca="false">IF(B210="","",IFERROR(INDEX(Execuções!$B$2:$B$97,MATCH(B210,Execuções!$A$2:$A$97,0)),"ID?"))</f>
        <v/>
      </c>
      <c r="E210" s="11" t="str">
        <f aca="false">IF(B210="","",Apontamentos!D210)</f>
        <v/>
      </c>
      <c r="F210" s="11" t="str">
        <f aca="false">IF(B210="","",Apontamentos!E210)</f>
        <v/>
      </c>
      <c r="G210" s="10" t="str">
        <f aca="false">IF(B210="","",Apontamentos!G210&amp;"")</f>
        <v/>
      </c>
      <c r="H210" s="14" t="str">
        <f aca="false">IF('Avaliador 1'!F210='Avaliador 2'!F210,'Avaliador 1'!F210&amp;"","")</f>
        <v/>
      </c>
      <c r="I210" s="14" t="str">
        <f aca="false">IF('Avaliador 1'!G210='Avaliador 2'!G210,'Avaliador 1'!G210&amp;"","")</f>
        <v/>
      </c>
      <c r="J210" s="14" t="str">
        <f aca="false">IF('Avaliador 1'!H210='Avaliador 2'!H210,'Avaliador 1'!H210&amp;"","")</f>
        <v/>
      </c>
      <c r="K210" s="14" t="str">
        <f aca="false">IF('Avaliador 1'!I210='Avaliador 2'!I210,'Avaliador 1'!I210&amp;"","")</f>
        <v/>
      </c>
      <c r="L210" s="13"/>
      <c r="M210" s="13" t="str">
        <f aca="false">IF('Avaliador 1'!J210='Avaliador 2'!J210,'Avaliador 1'!J210&amp;"","")</f>
        <v/>
      </c>
      <c r="N210" s="11" t="str">
        <f aca="false">IF(OR('Avaliador 1'!F210="",'Avaliador 2'!F210=""),"",IF(AND('Avaliador 1'!F210='Avaliador 2'!F210,'Avaliador 1'!G210='Avaliador 2'!G210,'Avaliador 1'!H210='Avaliador 2'!H210,'Avaliador 1'!I210='Avaliador 2'!I210),"Não","Sim"))</f>
        <v/>
      </c>
      <c r="O210" s="14"/>
      <c r="P210" s="10" t="str">
        <f aca="false">IF(LEN(H210)=3,"Defeito encontrado",IF(I210="Sim","Falso alarme",IF(H210="—","Nenhum defeito apontado","")))</f>
        <v/>
      </c>
    </row>
    <row r="211" customFormat="false" ht="15" hidden="false" customHeight="false" outlineLevel="0" collapsed="false">
      <c r="A211" s="11" t="str">
        <f aca="false">Apontamentos!C211</f>
        <v/>
      </c>
      <c r="B211" s="11" t="str">
        <f aca="false">IF(Apontamentos!$C211="","",Apontamentos!A211&amp;"")</f>
        <v/>
      </c>
      <c r="C211" s="11" t="str">
        <f aca="false">IF(B211="","",IFERROR(INDEX(Execuções!$C$2:$C$97,MATCH(B211,Execuções!$A$2:$A$97,0)),"ID?"))</f>
        <v/>
      </c>
      <c r="D211" s="10" t="str">
        <f aca="false">IF(B211="","",IFERROR(INDEX(Execuções!$B$2:$B$97,MATCH(B211,Execuções!$A$2:$A$97,0)),"ID?"))</f>
        <v/>
      </c>
      <c r="E211" s="11" t="str">
        <f aca="false">IF(B211="","",Apontamentos!D211)</f>
        <v/>
      </c>
      <c r="F211" s="11" t="str">
        <f aca="false">IF(B211="","",Apontamentos!E211)</f>
        <v/>
      </c>
      <c r="G211" s="10" t="str">
        <f aca="false">IF(B211="","",Apontamentos!G211&amp;"")</f>
        <v/>
      </c>
      <c r="H211" s="14" t="str">
        <f aca="false">IF('Avaliador 1'!F211='Avaliador 2'!F211,'Avaliador 1'!F211&amp;"","")</f>
        <v/>
      </c>
      <c r="I211" s="14" t="str">
        <f aca="false">IF('Avaliador 1'!G211='Avaliador 2'!G211,'Avaliador 1'!G211&amp;"","")</f>
        <v/>
      </c>
      <c r="J211" s="14" t="str">
        <f aca="false">IF('Avaliador 1'!H211='Avaliador 2'!H211,'Avaliador 1'!H211&amp;"","")</f>
        <v/>
      </c>
      <c r="K211" s="14" t="str">
        <f aca="false">IF('Avaliador 1'!I211='Avaliador 2'!I211,'Avaliador 1'!I211&amp;"","")</f>
        <v/>
      </c>
      <c r="L211" s="13"/>
      <c r="M211" s="13" t="str">
        <f aca="false">IF('Avaliador 1'!J211='Avaliador 2'!J211,'Avaliador 1'!J211&amp;"","")</f>
        <v/>
      </c>
      <c r="N211" s="11" t="str">
        <f aca="false">IF(OR('Avaliador 1'!F211="",'Avaliador 2'!F211=""),"",IF(AND('Avaliador 1'!F211='Avaliador 2'!F211,'Avaliador 1'!G211='Avaliador 2'!G211,'Avaliador 1'!H211='Avaliador 2'!H211,'Avaliador 1'!I211='Avaliador 2'!I211),"Não","Sim"))</f>
        <v/>
      </c>
      <c r="O211" s="14"/>
      <c r="P211" s="10" t="str">
        <f aca="false">IF(LEN(H211)=3,"Defeito encontrado",IF(I211="Sim","Falso alarme",IF(H211="—","Nenhum defeito apontado","")))</f>
        <v/>
      </c>
    </row>
    <row r="212" customFormat="false" ht="15" hidden="false" customHeight="false" outlineLevel="0" collapsed="false">
      <c r="A212" s="11" t="str">
        <f aca="false">Apontamentos!C212</f>
        <v/>
      </c>
      <c r="B212" s="11" t="str">
        <f aca="false">IF(Apontamentos!$C212="","",Apontamentos!A212&amp;"")</f>
        <v/>
      </c>
      <c r="C212" s="11" t="str">
        <f aca="false">IF(B212="","",IFERROR(INDEX(Execuções!$C$2:$C$97,MATCH(B212,Execuções!$A$2:$A$97,0)),"ID?"))</f>
        <v/>
      </c>
      <c r="D212" s="10" t="str">
        <f aca="false">IF(B212="","",IFERROR(INDEX(Execuções!$B$2:$B$97,MATCH(B212,Execuções!$A$2:$A$97,0)),"ID?"))</f>
        <v/>
      </c>
      <c r="E212" s="11" t="str">
        <f aca="false">IF(B212="","",Apontamentos!D212)</f>
        <v/>
      </c>
      <c r="F212" s="11" t="str">
        <f aca="false">IF(B212="","",Apontamentos!E212)</f>
        <v/>
      </c>
      <c r="G212" s="10" t="str">
        <f aca="false">IF(B212="","",Apontamentos!G212&amp;"")</f>
        <v/>
      </c>
      <c r="H212" s="14" t="str">
        <f aca="false">IF('Avaliador 1'!F212='Avaliador 2'!F212,'Avaliador 1'!F212&amp;"","")</f>
        <v/>
      </c>
      <c r="I212" s="14" t="str">
        <f aca="false">IF('Avaliador 1'!G212='Avaliador 2'!G212,'Avaliador 1'!G212&amp;"","")</f>
        <v/>
      </c>
      <c r="J212" s="14" t="str">
        <f aca="false">IF('Avaliador 1'!H212='Avaliador 2'!H212,'Avaliador 1'!H212&amp;"","")</f>
        <v/>
      </c>
      <c r="K212" s="14" t="str">
        <f aca="false">IF('Avaliador 1'!I212='Avaliador 2'!I212,'Avaliador 1'!I212&amp;"","")</f>
        <v/>
      </c>
      <c r="L212" s="13"/>
      <c r="M212" s="13" t="str">
        <f aca="false">IF('Avaliador 1'!J212='Avaliador 2'!J212,'Avaliador 1'!J212&amp;"","")</f>
        <v/>
      </c>
      <c r="N212" s="11" t="str">
        <f aca="false">IF(OR('Avaliador 1'!F212="",'Avaliador 2'!F212=""),"",IF(AND('Avaliador 1'!F212='Avaliador 2'!F212,'Avaliador 1'!G212='Avaliador 2'!G212,'Avaliador 1'!H212='Avaliador 2'!H212,'Avaliador 1'!I212='Avaliador 2'!I212),"Não","Sim"))</f>
        <v/>
      </c>
      <c r="O212" s="14"/>
      <c r="P212" s="10" t="str">
        <f aca="false">IF(LEN(H212)=3,"Defeito encontrado",IF(I212="Sim","Falso alarme",IF(H212="—","Nenhum defeito apontado","")))</f>
        <v/>
      </c>
    </row>
    <row r="213" customFormat="false" ht="15" hidden="false" customHeight="false" outlineLevel="0" collapsed="false">
      <c r="A213" s="11" t="str">
        <f aca="false">Apontamentos!C213</f>
        <v/>
      </c>
      <c r="B213" s="11" t="str">
        <f aca="false">IF(Apontamentos!$C213="","",Apontamentos!A213&amp;"")</f>
        <v/>
      </c>
      <c r="C213" s="11" t="str">
        <f aca="false">IF(B213="","",IFERROR(INDEX(Execuções!$C$2:$C$97,MATCH(B213,Execuções!$A$2:$A$97,0)),"ID?"))</f>
        <v/>
      </c>
      <c r="D213" s="10" t="str">
        <f aca="false">IF(B213="","",IFERROR(INDEX(Execuções!$B$2:$B$97,MATCH(B213,Execuções!$A$2:$A$97,0)),"ID?"))</f>
        <v/>
      </c>
      <c r="E213" s="11" t="str">
        <f aca="false">IF(B213="","",Apontamentos!D213)</f>
        <v/>
      </c>
      <c r="F213" s="11" t="str">
        <f aca="false">IF(B213="","",Apontamentos!E213)</f>
        <v/>
      </c>
      <c r="G213" s="10" t="str">
        <f aca="false">IF(B213="","",Apontamentos!G213&amp;"")</f>
        <v/>
      </c>
      <c r="H213" s="14" t="str">
        <f aca="false">IF('Avaliador 1'!F213='Avaliador 2'!F213,'Avaliador 1'!F213&amp;"","")</f>
        <v/>
      </c>
      <c r="I213" s="14" t="str">
        <f aca="false">IF('Avaliador 1'!G213='Avaliador 2'!G213,'Avaliador 1'!G213&amp;"","")</f>
        <v/>
      </c>
      <c r="J213" s="14" t="str">
        <f aca="false">IF('Avaliador 1'!H213='Avaliador 2'!H213,'Avaliador 1'!H213&amp;"","")</f>
        <v/>
      </c>
      <c r="K213" s="14" t="str">
        <f aca="false">IF('Avaliador 1'!I213='Avaliador 2'!I213,'Avaliador 1'!I213&amp;"","")</f>
        <v/>
      </c>
      <c r="L213" s="13"/>
      <c r="M213" s="13" t="str">
        <f aca="false">IF('Avaliador 1'!J213='Avaliador 2'!J213,'Avaliador 1'!J213&amp;"","")</f>
        <v/>
      </c>
      <c r="N213" s="11" t="str">
        <f aca="false">IF(OR('Avaliador 1'!F213="",'Avaliador 2'!F213=""),"",IF(AND('Avaliador 1'!F213='Avaliador 2'!F213,'Avaliador 1'!G213='Avaliador 2'!G213,'Avaliador 1'!H213='Avaliador 2'!H213,'Avaliador 1'!I213='Avaliador 2'!I213),"Não","Sim"))</f>
        <v/>
      </c>
      <c r="O213" s="14"/>
      <c r="P213" s="10" t="str">
        <f aca="false">IF(LEN(H213)=3,"Defeito encontrado",IF(I213="Sim","Falso alarme",IF(H213="—","Nenhum defeito apontado","")))</f>
        <v/>
      </c>
    </row>
    <row r="214" customFormat="false" ht="15" hidden="false" customHeight="false" outlineLevel="0" collapsed="false">
      <c r="A214" s="11" t="str">
        <f aca="false">Apontamentos!C214</f>
        <v/>
      </c>
      <c r="B214" s="11" t="str">
        <f aca="false">IF(Apontamentos!$C214="","",Apontamentos!A214&amp;"")</f>
        <v/>
      </c>
      <c r="C214" s="11" t="str">
        <f aca="false">IF(B214="","",IFERROR(INDEX(Execuções!$C$2:$C$97,MATCH(B214,Execuções!$A$2:$A$97,0)),"ID?"))</f>
        <v/>
      </c>
      <c r="D214" s="10" t="str">
        <f aca="false">IF(B214="","",IFERROR(INDEX(Execuções!$B$2:$B$97,MATCH(B214,Execuções!$A$2:$A$97,0)),"ID?"))</f>
        <v/>
      </c>
      <c r="E214" s="11" t="str">
        <f aca="false">IF(B214="","",Apontamentos!D214)</f>
        <v/>
      </c>
      <c r="F214" s="11" t="str">
        <f aca="false">IF(B214="","",Apontamentos!E214)</f>
        <v/>
      </c>
      <c r="G214" s="10" t="str">
        <f aca="false">IF(B214="","",Apontamentos!G214&amp;"")</f>
        <v/>
      </c>
      <c r="H214" s="14" t="str">
        <f aca="false">IF('Avaliador 1'!F214='Avaliador 2'!F214,'Avaliador 1'!F214&amp;"","")</f>
        <v/>
      </c>
      <c r="I214" s="14" t="str">
        <f aca="false">IF('Avaliador 1'!G214='Avaliador 2'!G214,'Avaliador 1'!G214&amp;"","")</f>
        <v/>
      </c>
      <c r="J214" s="14" t="str">
        <f aca="false">IF('Avaliador 1'!H214='Avaliador 2'!H214,'Avaliador 1'!H214&amp;"","")</f>
        <v/>
      </c>
      <c r="K214" s="14" t="str">
        <f aca="false">IF('Avaliador 1'!I214='Avaliador 2'!I214,'Avaliador 1'!I214&amp;"","")</f>
        <v/>
      </c>
      <c r="L214" s="13"/>
      <c r="M214" s="13" t="str">
        <f aca="false">IF('Avaliador 1'!J214='Avaliador 2'!J214,'Avaliador 1'!J214&amp;"","")</f>
        <v/>
      </c>
      <c r="N214" s="11" t="str">
        <f aca="false">IF(OR('Avaliador 1'!F214="",'Avaliador 2'!F214=""),"",IF(AND('Avaliador 1'!F214='Avaliador 2'!F214,'Avaliador 1'!G214='Avaliador 2'!G214,'Avaliador 1'!H214='Avaliador 2'!H214,'Avaliador 1'!I214='Avaliador 2'!I214),"Não","Sim"))</f>
        <v/>
      </c>
      <c r="O214" s="14"/>
      <c r="P214" s="10" t="str">
        <f aca="false">IF(LEN(H214)=3,"Defeito encontrado",IF(I214="Sim","Falso alarme",IF(H214="—","Nenhum defeito apontado","")))</f>
        <v/>
      </c>
    </row>
    <row r="215" customFormat="false" ht="15" hidden="false" customHeight="false" outlineLevel="0" collapsed="false">
      <c r="A215" s="11" t="str">
        <f aca="false">Apontamentos!C215</f>
        <v/>
      </c>
      <c r="B215" s="11" t="str">
        <f aca="false">IF(Apontamentos!$C215="","",Apontamentos!A215&amp;"")</f>
        <v/>
      </c>
      <c r="C215" s="11" t="str">
        <f aca="false">IF(B215="","",IFERROR(INDEX(Execuções!$C$2:$C$97,MATCH(B215,Execuções!$A$2:$A$97,0)),"ID?"))</f>
        <v/>
      </c>
      <c r="D215" s="10" t="str">
        <f aca="false">IF(B215="","",IFERROR(INDEX(Execuções!$B$2:$B$97,MATCH(B215,Execuções!$A$2:$A$97,0)),"ID?"))</f>
        <v/>
      </c>
      <c r="E215" s="11" t="str">
        <f aca="false">IF(B215="","",Apontamentos!D215)</f>
        <v/>
      </c>
      <c r="F215" s="11" t="str">
        <f aca="false">IF(B215="","",Apontamentos!E215)</f>
        <v/>
      </c>
      <c r="G215" s="10" t="str">
        <f aca="false">IF(B215="","",Apontamentos!G215&amp;"")</f>
        <v/>
      </c>
      <c r="H215" s="14" t="str">
        <f aca="false">IF('Avaliador 1'!F215='Avaliador 2'!F215,'Avaliador 1'!F215&amp;"","")</f>
        <v/>
      </c>
      <c r="I215" s="14" t="str">
        <f aca="false">IF('Avaliador 1'!G215='Avaliador 2'!G215,'Avaliador 1'!G215&amp;"","")</f>
        <v/>
      </c>
      <c r="J215" s="14" t="str">
        <f aca="false">IF('Avaliador 1'!H215='Avaliador 2'!H215,'Avaliador 1'!H215&amp;"","")</f>
        <v/>
      </c>
      <c r="K215" s="14" t="str">
        <f aca="false">IF('Avaliador 1'!I215='Avaliador 2'!I215,'Avaliador 1'!I215&amp;"","")</f>
        <v/>
      </c>
      <c r="L215" s="13"/>
      <c r="M215" s="13" t="str">
        <f aca="false">IF('Avaliador 1'!J215='Avaliador 2'!J215,'Avaliador 1'!J215&amp;"","")</f>
        <v/>
      </c>
      <c r="N215" s="11" t="str">
        <f aca="false">IF(OR('Avaliador 1'!F215="",'Avaliador 2'!F215=""),"",IF(AND('Avaliador 1'!F215='Avaliador 2'!F215,'Avaliador 1'!G215='Avaliador 2'!G215,'Avaliador 1'!H215='Avaliador 2'!H215,'Avaliador 1'!I215='Avaliador 2'!I215),"Não","Sim"))</f>
        <v/>
      </c>
      <c r="O215" s="14"/>
      <c r="P215" s="10" t="str">
        <f aca="false">IF(LEN(H215)=3,"Defeito encontrado",IF(I215="Sim","Falso alarme",IF(H215="—","Nenhum defeito apontado","")))</f>
        <v/>
      </c>
    </row>
    <row r="216" customFormat="false" ht="15" hidden="false" customHeight="false" outlineLevel="0" collapsed="false">
      <c r="A216" s="11" t="str">
        <f aca="false">Apontamentos!C216</f>
        <v/>
      </c>
      <c r="B216" s="11" t="str">
        <f aca="false">IF(Apontamentos!$C216="","",Apontamentos!A216&amp;"")</f>
        <v/>
      </c>
      <c r="C216" s="11" t="str">
        <f aca="false">IF(B216="","",IFERROR(INDEX(Execuções!$C$2:$C$97,MATCH(B216,Execuções!$A$2:$A$97,0)),"ID?"))</f>
        <v/>
      </c>
      <c r="D216" s="10" t="str">
        <f aca="false">IF(B216="","",IFERROR(INDEX(Execuções!$B$2:$B$97,MATCH(B216,Execuções!$A$2:$A$97,0)),"ID?"))</f>
        <v/>
      </c>
      <c r="E216" s="11" t="str">
        <f aca="false">IF(B216="","",Apontamentos!D216)</f>
        <v/>
      </c>
      <c r="F216" s="11" t="str">
        <f aca="false">IF(B216="","",Apontamentos!E216)</f>
        <v/>
      </c>
      <c r="G216" s="10" t="str">
        <f aca="false">IF(B216="","",Apontamentos!G216&amp;"")</f>
        <v/>
      </c>
      <c r="H216" s="14" t="str">
        <f aca="false">IF('Avaliador 1'!F216='Avaliador 2'!F216,'Avaliador 1'!F216&amp;"","")</f>
        <v/>
      </c>
      <c r="I216" s="14" t="str">
        <f aca="false">IF('Avaliador 1'!G216='Avaliador 2'!G216,'Avaliador 1'!G216&amp;"","")</f>
        <v/>
      </c>
      <c r="J216" s="14" t="str">
        <f aca="false">IF('Avaliador 1'!H216='Avaliador 2'!H216,'Avaliador 1'!H216&amp;"","")</f>
        <v/>
      </c>
      <c r="K216" s="14" t="str">
        <f aca="false">IF('Avaliador 1'!I216='Avaliador 2'!I216,'Avaliador 1'!I216&amp;"","")</f>
        <v/>
      </c>
      <c r="L216" s="13"/>
      <c r="M216" s="13" t="str">
        <f aca="false">IF('Avaliador 1'!J216='Avaliador 2'!J216,'Avaliador 1'!J216&amp;"","")</f>
        <v/>
      </c>
      <c r="N216" s="11" t="str">
        <f aca="false">IF(OR('Avaliador 1'!F216="",'Avaliador 2'!F216=""),"",IF(AND('Avaliador 1'!F216='Avaliador 2'!F216,'Avaliador 1'!G216='Avaliador 2'!G216,'Avaliador 1'!H216='Avaliador 2'!H216,'Avaliador 1'!I216='Avaliador 2'!I216),"Não","Sim"))</f>
        <v/>
      </c>
      <c r="O216" s="14"/>
      <c r="P216" s="10" t="str">
        <f aca="false">IF(LEN(H216)=3,"Defeito encontrado",IF(I216="Sim","Falso alarme",IF(H216="—","Nenhum defeito apontado","")))</f>
        <v/>
      </c>
    </row>
    <row r="217" customFormat="false" ht="15" hidden="false" customHeight="false" outlineLevel="0" collapsed="false">
      <c r="A217" s="11" t="str">
        <f aca="false">Apontamentos!C217</f>
        <v/>
      </c>
      <c r="B217" s="11" t="str">
        <f aca="false">IF(Apontamentos!$C217="","",Apontamentos!A217&amp;"")</f>
        <v/>
      </c>
      <c r="C217" s="11" t="str">
        <f aca="false">IF(B217="","",IFERROR(INDEX(Execuções!$C$2:$C$97,MATCH(B217,Execuções!$A$2:$A$97,0)),"ID?"))</f>
        <v/>
      </c>
      <c r="D217" s="10" t="str">
        <f aca="false">IF(B217="","",IFERROR(INDEX(Execuções!$B$2:$B$97,MATCH(B217,Execuções!$A$2:$A$97,0)),"ID?"))</f>
        <v/>
      </c>
      <c r="E217" s="11" t="str">
        <f aca="false">IF(B217="","",Apontamentos!D217)</f>
        <v/>
      </c>
      <c r="F217" s="11" t="str">
        <f aca="false">IF(B217="","",Apontamentos!E217)</f>
        <v/>
      </c>
      <c r="G217" s="10" t="str">
        <f aca="false">IF(B217="","",Apontamentos!G217&amp;"")</f>
        <v/>
      </c>
      <c r="H217" s="14" t="str">
        <f aca="false">IF('Avaliador 1'!F217='Avaliador 2'!F217,'Avaliador 1'!F217&amp;"","")</f>
        <v/>
      </c>
      <c r="I217" s="14" t="str">
        <f aca="false">IF('Avaliador 1'!G217='Avaliador 2'!G217,'Avaliador 1'!G217&amp;"","")</f>
        <v/>
      </c>
      <c r="J217" s="14" t="str">
        <f aca="false">IF('Avaliador 1'!H217='Avaliador 2'!H217,'Avaliador 1'!H217&amp;"","")</f>
        <v/>
      </c>
      <c r="K217" s="14" t="str">
        <f aca="false">IF('Avaliador 1'!I217='Avaliador 2'!I217,'Avaliador 1'!I217&amp;"","")</f>
        <v/>
      </c>
      <c r="L217" s="13"/>
      <c r="M217" s="13" t="str">
        <f aca="false">IF('Avaliador 1'!J217='Avaliador 2'!J217,'Avaliador 1'!J217&amp;"","")</f>
        <v/>
      </c>
      <c r="N217" s="11" t="str">
        <f aca="false">IF(OR('Avaliador 1'!F217="",'Avaliador 2'!F217=""),"",IF(AND('Avaliador 1'!F217='Avaliador 2'!F217,'Avaliador 1'!G217='Avaliador 2'!G217,'Avaliador 1'!H217='Avaliador 2'!H217,'Avaliador 1'!I217='Avaliador 2'!I217),"Não","Sim"))</f>
        <v/>
      </c>
      <c r="O217" s="14"/>
      <c r="P217" s="10" t="str">
        <f aca="false">IF(LEN(H217)=3,"Defeito encontrado",IF(I217="Sim","Falso alarme",IF(H217="—","Nenhum defeito apontado","")))</f>
        <v/>
      </c>
    </row>
    <row r="218" customFormat="false" ht="15" hidden="false" customHeight="false" outlineLevel="0" collapsed="false">
      <c r="A218" s="11" t="str">
        <f aca="false">Apontamentos!C218</f>
        <v/>
      </c>
      <c r="B218" s="11" t="str">
        <f aca="false">IF(Apontamentos!$C218="","",Apontamentos!A218&amp;"")</f>
        <v/>
      </c>
      <c r="C218" s="11" t="str">
        <f aca="false">IF(B218="","",IFERROR(INDEX(Execuções!$C$2:$C$97,MATCH(B218,Execuções!$A$2:$A$97,0)),"ID?"))</f>
        <v/>
      </c>
      <c r="D218" s="10" t="str">
        <f aca="false">IF(B218="","",IFERROR(INDEX(Execuções!$B$2:$B$97,MATCH(B218,Execuções!$A$2:$A$97,0)),"ID?"))</f>
        <v/>
      </c>
      <c r="E218" s="11" t="str">
        <f aca="false">IF(B218="","",Apontamentos!D218)</f>
        <v/>
      </c>
      <c r="F218" s="11" t="str">
        <f aca="false">IF(B218="","",Apontamentos!E218)</f>
        <v/>
      </c>
      <c r="G218" s="10" t="str">
        <f aca="false">IF(B218="","",Apontamentos!G218&amp;"")</f>
        <v/>
      </c>
      <c r="H218" s="14" t="str">
        <f aca="false">IF('Avaliador 1'!F218='Avaliador 2'!F218,'Avaliador 1'!F218&amp;"","")</f>
        <v/>
      </c>
      <c r="I218" s="14" t="str">
        <f aca="false">IF('Avaliador 1'!G218='Avaliador 2'!G218,'Avaliador 1'!G218&amp;"","")</f>
        <v/>
      </c>
      <c r="J218" s="14" t="str">
        <f aca="false">IF('Avaliador 1'!H218='Avaliador 2'!H218,'Avaliador 1'!H218&amp;"","")</f>
        <v/>
      </c>
      <c r="K218" s="14" t="str">
        <f aca="false">IF('Avaliador 1'!I218='Avaliador 2'!I218,'Avaliador 1'!I218&amp;"","")</f>
        <v/>
      </c>
      <c r="L218" s="13"/>
      <c r="M218" s="13" t="str">
        <f aca="false">IF('Avaliador 1'!J218='Avaliador 2'!J218,'Avaliador 1'!J218&amp;"","")</f>
        <v/>
      </c>
      <c r="N218" s="11" t="str">
        <f aca="false">IF(OR('Avaliador 1'!F218="",'Avaliador 2'!F218=""),"",IF(AND('Avaliador 1'!F218='Avaliador 2'!F218,'Avaliador 1'!G218='Avaliador 2'!G218,'Avaliador 1'!H218='Avaliador 2'!H218,'Avaliador 1'!I218='Avaliador 2'!I218),"Não","Sim"))</f>
        <v/>
      </c>
      <c r="O218" s="14"/>
      <c r="P218" s="10" t="str">
        <f aca="false">IF(LEN(H218)=3,"Defeito encontrado",IF(I218="Sim","Falso alarme",IF(H218="—","Nenhum defeito apontado","")))</f>
        <v/>
      </c>
    </row>
    <row r="219" customFormat="false" ht="15" hidden="false" customHeight="false" outlineLevel="0" collapsed="false">
      <c r="A219" s="11" t="str">
        <f aca="false">Apontamentos!C219</f>
        <v/>
      </c>
      <c r="B219" s="11" t="str">
        <f aca="false">IF(Apontamentos!$C219="","",Apontamentos!A219&amp;"")</f>
        <v/>
      </c>
      <c r="C219" s="11" t="str">
        <f aca="false">IF(B219="","",IFERROR(INDEX(Execuções!$C$2:$C$97,MATCH(B219,Execuções!$A$2:$A$97,0)),"ID?"))</f>
        <v/>
      </c>
      <c r="D219" s="10" t="str">
        <f aca="false">IF(B219="","",IFERROR(INDEX(Execuções!$B$2:$B$97,MATCH(B219,Execuções!$A$2:$A$97,0)),"ID?"))</f>
        <v/>
      </c>
      <c r="E219" s="11" t="str">
        <f aca="false">IF(B219="","",Apontamentos!D219)</f>
        <v/>
      </c>
      <c r="F219" s="11" t="str">
        <f aca="false">IF(B219="","",Apontamentos!E219)</f>
        <v/>
      </c>
      <c r="G219" s="10" t="str">
        <f aca="false">IF(B219="","",Apontamentos!G219&amp;"")</f>
        <v/>
      </c>
      <c r="H219" s="14" t="str">
        <f aca="false">IF('Avaliador 1'!F219='Avaliador 2'!F219,'Avaliador 1'!F219&amp;"","")</f>
        <v/>
      </c>
      <c r="I219" s="14" t="str">
        <f aca="false">IF('Avaliador 1'!G219='Avaliador 2'!G219,'Avaliador 1'!G219&amp;"","")</f>
        <v/>
      </c>
      <c r="J219" s="14" t="str">
        <f aca="false">IF('Avaliador 1'!H219='Avaliador 2'!H219,'Avaliador 1'!H219&amp;"","")</f>
        <v/>
      </c>
      <c r="K219" s="14" t="str">
        <f aca="false">IF('Avaliador 1'!I219='Avaliador 2'!I219,'Avaliador 1'!I219&amp;"","")</f>
        <v/>
      </c>
      <c r="L219" s="13"/>
      <c r="M219" s="13" t="str">
        <f aca="false">IF('Avaliador 1'!J219='Avaliador 2'!J219,'Avaliador 1'!J219&amp;"","")</f>
        <v/>
      </c>
      <c r="N219" s="11" t="str">
        <f aca="false">IF(OR('Avaliador 1'!F219="",'Avaliador 2'!F219=""),"",IF(AND('Avaliador 1'!F219='Avaliador 2'!F219,'Avaliador 1'!G219='Avaliador 2'!G219,'Avaliador 1'!H219='Avaliador 2'!H219,'Avaliador 1'!I219='Avaliador 2'!I219),"Não","Sim"))</f>
        <v/>
      </c>
      <c r="O219" s="14"/>
      <c r="P219" s="10" t="str">
        <f aca="false">IF(LEN(H219)=3,"Defeito encontrado",IF(I219="Sim","Falso alarme",IF(H219="—","Nenhum defeito apontado","")))</f>
        <v/>
      </c>
    </row>
    <row r="220" customFormat="false" ht="15" hidden="false" customHeight="false" outlineLevel="0" collapsed="false">
      <c r="A220" s="11" t="str">
        <f aca="false">Apontamentos!C220</f>
        <v/>
      </c>
      <c r="B220" s="11" t="str">
        <f aca="false">IF(Apontamentos!$C220="","",Apontamentos!A220&amp;"")</f>
        <v/>
      </c>
      <c r="C220" s="11" t="str">
        <f aca="false">IF(B220="","",IFERROR(INDEX(Execuções!$C$2:$C$97,MATCH(B220,Execuções!$A$2:$A$97,0)),"ID?"))</f>
        <v/>
      </c>
      <c r="D220" s="10" t="str">
        <f aca="false">IF(B220="","",IFERROR(INDEX(Execuções!$B$2:$B$97,MATCH(B220,Execuções!$A$2:$A$97,0)),"ID?"))</f>
        <v/>
      </c>
      <c r="E220" s="11" t="str">
        <f aca="false">IF(B220="","",Apontamentos!D220)</f>
        <v/>
      </c>
      <c r="F220" s="11" t="str">
        <f aca="false">IF(B220="","",Apontamentos!E220)</f>
        <v/>
      </c>
      <c r="G220" s="10" t="str">
        <f aca="false">IF(B220="","",Apontamentos!G220&amp;"")</f>
        <v/>
      </c>
      <c r="H220" s="14" t="str">
        <f aca="false">IF('Avaliador 1'!F220='Avaliador 2'!F220,'Avaliador 1'!F220&amp;"","")</f>
        <v/>
      </c>
      <c r="I220" s="14" t="str">
        <f aca="false">IF('Avaliador 1'!G220='Avaliador 2'!G220,'Avaliador 1'!G220&amp;"","")</f>
        <v/>
      </c>
      <c r="J220" s="14" t="str">
        <f aca="false">IF('Avaliador 1'!H220='Avaliador 2'!H220,'Avaliador 1'!H220&amp;"","")</f>
        <v/>
      </c>
      <c r="K220" s="14" t="str">
        <f aca="false">IF('Avaliador 1'!I220='Avaliador 2'!I220,'Avaliador 1'!I220&amp;"","")</f>
        <v/>
      </c>
      <c r="L220" s="13"/>
      <c r="M220" s="13" t="str">
        <f aca="false">IF('Avaliador 1'!J220='Avaliador 2'!J220,'Avaliador 1'!J220&amp;"","")</f>
        <v/>
      </c>
      <c r="N220" s="11" t="str">
        <f aca="false">IF(OR('Avaliador 1'!F220="",'Avaliador 2'!F220=""),"",IF(AND('Avaliador 1'!F220='Avaliador 2'!F220,'Avaliador 1'!G220='Avaliador 2'!G220,'Avaliador 1'!H220='Avaliador 2'!H220,'Avaliador 1'!I220='Avaliador 2'!I220),"Não","Sim"))</f>
        <v/>
      </c>
      <c r="O220" s="14"/>
      <c r="P220" s="10" t="str">
        <f aca="false">IF(LEN(H220)=3,"Defeito encontrado",IF(I220="Sim","Falso alarme",IF(H220="—","Nenhum defeito apontado","")))</f>
        <v/>
      </c>
    </row>
    <row r="221" customFormat="false" ht="15" hidden="false" customHeight="false" outlineLevel="0" collapsed="false">
      <c r="A221" s="11" t="str">
        <f aca="false">Apontamentos!C221</f>
        <v/>
      </c>
      <c r="B221" s="11" t="str">
        <f aca="false">IF(Apontamentos!$C221="","",Apontamentos!A221&amp;"")</f>
        <v/>
      </c>
      <c r="C221" s="11" t="str">
        <f aca="false">IF(B221="","",IFERROR(INDEX(Execuções!$C$2:$C$97,MATCH(B221,Execuções!$A$2:$A$97,0)),"ID?"))</f>
        <v/>
      </c>
      <c r="D221" s="10" t="str">
        <f aca="false">IF(B221="","",IFERROR(INDEX(Execuções!$B$2:$B$97,MATCH(B221,Execuções!$A$2:$A$97,0)),"ID?"))</f>
        <v/>
      </c>
      <c r="E221" s="11" t="str">
        <f aca="false">IF(B221="","",Apontamentos!D221)</f>
        <v/>
      </c>
      <c r="F221" s="11" t="str">
        <f aca="false">IF(B221="","",Apontamentos!E221)</f>
        <v/>
      </c>
      <c r="G221" s="10" t="str">
        <f aca="false">IF(B221="","",Apontamentos!G221&amp;"")</f>
        <v/>
      </c>
      <c r="H221" s="14" t="str">
        <f aca="false">IF('Avaliador 1'!F221='Avaliador 2'!F221,'Avaliador 1'!F221&amp;"","")</f>
        <v/>
      </c>
      <c r="I221" s="14" t="str">
        <f aca="false">IF('Avaliador 1'!G221='Avaliador 2'!G221,'Avaliador 1'!G221&amp;"","")</f>
        <v/>
      </c>
      <c r="J221" s="14" t="str">
        <f aca="false">IF('Avaliador 1'!H221='Avaliador 2'!H221,'Avaliador 1'!H221&amp;"","")</f>
        <v/>
      </c>
      <c r="K221" s="14" t="str">
        <f aca="false">IF('Avaliador 1'!I221='Avaliador 2'!I221,'Avaliador 1'!I221&amp;"","")</f>
        <v/>
      </c>
      <c r="L221" s="13"/>
      <c r="M221" s="13" t="str">
        <f aca="false">IF('Avaliador 1'!J221='Avaliador 2'!J221,'Avaliador 1'!J221&amp;"","")</f>
        <v/>
      </c>
      <c r="N221" s="11" t="str">
        <f aca="false">IF(OR('Avaliador 1'!F221="",'Avaliador 2'!F221=""),"",IF(AND('Avaliador 1'!F221='Avaliador 2'!F221,'Avaliador 1'!G221='Avaliador 2'!G221,'Avaliador 1'!H221='Avaliador 2'!H221,'Avaliador 1'!I221='Avaliador 2'!I221),"Não","Sim"))</f>
        <v/>
      </c>
      <c r="O221" s="14"/>
      <c r="P221" s="10" t="str">
        <f aca="false">IF(LEN(H221)=3,"Defeito encontrado",IF(I221="Sim","Falso alarme",IF(H221="—","Nenhum defeito apontado","")))</f>
        <v/>
      </c>
    </row>
    <row r="222" customFormat="false" ht="15" hidden="false" customHeight="false" outlineLevel="0" collapsed="false">
      <c r="A222" s="11" t="str">
        <f aca="false">Apontamentos!C222</f>
        <v/>
      </c>
      <c r="B222" s="11" t="str">
        <f aca="false">IF(Apontamentos!$C222="","",Apontamentos!A222&amp;"")</f>
        <v/>
      </c>
      <c r="C222" s="11" t="str">
        <f aca="false">IF(B222="","",IFERROR(INDEX(Execuções!$C$2:$C$97,MATCH(B222,Execuções!$A$2:$A$97,0)),"ID?"))</f>
        <v/>
      </c>
      <c r="D222" s="10" t="str">
        <f aca="false">IF(B222="","",IFERROR(INDEX(Execuções!$B$2:$B$97,MATCH(B222,Execuções!$A$2:$A$97,0)),"ID?"))</f>
        <v/>
      </c>
      <c r="E222" s="11" t="str">
        <f aca="false">IF(B222="","",Apontamentos!D222)</f>
        <v/>
      </c>
      <c r="F222" s="11" t="str">
        <f aca="false">IF(B222="","",Apontamentos!E222)</f>
        <v/>
      </c>
      <c r="G222" s="10" t="str">
        <f aca="false">IF(B222="","",Apontamentos!G222&amp;"")</f>
        <v/>
      </c>
      <c r="H222" s="14" t="str">
        <f aca="false">IF('Avaliador 1'!F222='Avaliador 2'!F222,'Avaliador 1'!F222&amp;"","")</f>
        <v/>
      </c>
      <c r="I222" s="14" t="str">
        <f aca="false">IF('Avaliador 1'!G222='Avaliador 2'!G222,'Avaliador 1'!G222&amp;"","")</f>
        <v/>
      </c>
      <c r="J222" s="14" t="str">
        <f aca="false">IF('Avaliador 1'!H222='Avaliador 2'!H222,'Avaliador 1'!H222&amp;"","")</f>
        <v/>
      </c>
      <c r="K222" s="14" t="str">
        <f aca="false">IF('Avaliador 1'!I222='Avaliador 2'!I222,'Avaliador 1'!I222&amp;"","")</f>
        <v/>
      </c>
      <c r="L222" s="13"/>
      <c r="M222" s="13" t="str">
        <f aca="false">IF('Avaliador 1'!J222='Avaliador 2'!J222,'Avaliador 1'!J222&amp;"","")</f>
        <v/>
      </c>
      <c r="N222" s="11" t="str">
        <f aca="false">IF(OR('Avaliador 1'!F222="",'Avaliador 2'!F222=""),"",IF(AND('Avaliador 1'!F222='Avaliador 2'!F222,'Avaliador 1'!G222='Avaliador 2'!G222,'Avaliador 1'!H222='Avaliador 2'!H222,'Avaliador 1'!I222='Avaliador 2'!I222),"Não","Sim"))</f>
        <v/>
      </c>
      <c r="O222" s="14"/>
      <c r="P222" s="10" t="str">
        <f aca="false">IF(LEN(H222)=3,"Defeito encontrado",IF(I222="Sim","Falso alarme",IF(H222="—","Nenhum defeito apontado","")))</f>
        <v/>
      </c>
    </row>
    <row r="223" customFormat="false" ht="15" hidden="false" customHeight="false" outlineLevel="0" collapsed="false">
      <c r="A223" s="11" t="str">
        <f aca="false">Apontamentos!C223</f>
        <v/>
      </c>
      <c r="B223" s="11" t="str">
        <f aca="false">IF(Apontamentos!$C223="","",Apontamentos!A223&amp;"")</f>
        <v/>
      </c>
      <c r="C223" s="11" t="str">
        <f aca="false">IF(B223="","",IFERROR(INDEX(Execuções!$C$2:$C$97,MATCH(B223,Execuções!$A$2:$A$97,0)),"ID?"))</f>
        <v/>
      </c>
      <c r="D223" s="10" t="str">
        <f aca="false">IF(B223="","",IFERROR(INDEX(Execuções!$B$2:$B$97,MATCH(B223,Execuções!$A$2:$A$97,0)),"ID?"))</f>
        <v/>
      </c>
      <c r="E223" s="11" t="str">
        <f aca="false">IF(B223="","",Apontamentos!D223)</f>
        <v/>
      </c>
      <c r="F223" s="11" t="str">
        <f aca="false">IF(B223="","",Apontamentos!E223)</f>
        <v/>
      </c>
      <c r="G223" s="10" t="str">
        <f aca="false">IF(B223="","",Apontamentos!G223&amp;"")</f>
        <v/>
      </c>
      <c r="H223" s="14" t="str">
        <f aca="false">IF('Avaliador 1'!F223='Avaliador 2'!F223,'Avaliador 1'!F223&amp;"","")</f>
        <v/>
      </c>
      <c r="I223" s="14" t="str">
        <f aca="false">IF('Avaliador 1'!G223='Avaliador 2'!G223,'Avaliador 1'!G223&amp;"","")</f>
        <v/>
      </c>
      <c r="J223" s="14" t="str">
        <f aca="false">IF('Avaliador 1'!H223='Avaliador 2'!H223,'Avaliador 1'!H223&amp;"","")</f>
        <v/>
      </c>
      <c r="K223" s="14" t="str">
        <f aca="false">IF('Avaliador 1'!I223='Avaliador 2'!I223,'Avaliador 1'!I223&amp;"","")</f>
        <v/>
      </c>
      <c r="L223" s="13"/>
      <c r="M223" s="13" t="str">
        <f aca="false">IF('Avaliador 1'!J223='Avaliador 2'!J223,'Avaliador 1'!J223&amp;"","")</f>
        <v/>
      </c>
      <c r="N223" s="11" t="str">
        <f aca="false">IF(OR('Avaliador 1'!F223="",'Avaliador 2'!F223=""),"",IF(AND('Avaliador 1'!F223='Avaliador 2'!F223,'Avaliador 1'!G223='Avaliador 2'!G223,'Avaliador 1'!H223='Avaliador 2'!H223,'Avaliador 1'!I223='Avaliador 2'!I223),"Não","Sim"))</f>
        <v/>
      </c>
      <c r="O223" s="14"/>
      <c r="P223" s="10" t="str">
        <f aca="false">IF(LEN(H223)=3,"Defeito encontrado",IF(I223="Sim","Falso alarme",IF(H223="—","Nenhum defeito apontado","")))</f>
        <v/>
      </c>
    </row>
    <row r="224" customFormat="false" ht="15" hidden="false" customHeight="false" outlineLevel="0" collapsed="false">
      <c r="A224" s="11" t="str">
        <f aca="false">Apontamentos!C224</f>
        <v/>
      </c>
      <c r="B224" s="11" t="str">
        <f aca="false">IF(Apontamentos!$C224="","",Apontamentos!A224&amp;"")</f>
        <v/>
      </c>
      <c r="C224" s="11" t="str">
        <f aca="false">IF(B224="","",IFERROR(INDEX(Execuções!$C$2:$C$97,MATCH(B224,Execuções!$A$2:$A$97,0)),"ID?"))</f>
        <v/>
      </c>
      <c r="D224" s="10" t="str">
        <f aca="false">IF(B224="","",IFERROR(INDEX(Execuções!$B$2:$B$97,MATCH(B224,Execuções!$A$2:$A$97,0)),"ID?"))</f>
        <v/>
      </c>
      <c r="E224" s="11" t="str">
        <f aca="false">IF(B224="","",Apontamentos!D224)</f>
        <v/>
      </c>
      <c r="F224" s="11" t="str">
        <f aca="false">IF(B224="","",Apontamentos!E224)</f>
        <v/>
      </c>
      <c r="G224" s="10" t="str">
        <f aca="false">IF(B224="","",Apontamentos!G224&amp;"")</f>
        <v/>
      </c>
      <c r="H224" s="14" t="str">
        <f aca="false">IF('Avaliador 1'!F224='Avaliador 2'!F224,'Avaliador 1'!F224&amp;"","")</f>
        <v/>
      </c>
      <c r="I224" s="14" t="str">
        <f aca="false">IF('Avaliador 1'!G224='Avaliador 2'!G224,'Avaliador 1'!G224&amp;"","")</f>
        <v/>
      </c>
      <c r="J224" s="14" t="str">
        <f aca="false">IF('Avaliador 1'!H224='Avaliador 2'!H224,'Avaliador 1'!H224&amp;"","")</f>
        <v/>
      </c>
      <c r="K224" s="14" t="str">
        <f aca="false">IF('Avaliador 1'!I224='Avaliador 2'!I224,'Avaliador 1'!I224&amp;"","")</f>
        <v/>
      </c>
      <c r="L224" s="13"/>
      <c r="M224" s="13" t="str">
        <f aca="false">IF('Avaliador 1'!J224='Avaliador 2'!J224,'Avaliador 1'!J224&amp;"","")</f>
        <v/>
      </c>
      <c r="N224" s="11" t="str">
        <f aca="false">IF(OR('Avaliador 1'!F224="",'Avaliador 2'!F224=""),"",IF(AND('Avaliador 1'!F224='Avaliador 2'!F224,'Avaliador 1'!G224='Avaliador 2'!G224,'Avaliador 1'!H224='Avaliador 2'!H224,'Avaliador 1'!I224='Avaliador 2'!I224),"Não","Sim"))</f>
        <v/>
      </c>
      <c r="O224" s="14"/>
      <c r="P224" s="10" t="str">
        <f aca="false">IF(LEN(H224)=3,"Defeito encontrado",IF(I224="Sim","Falso alarme",IF(H224="—","Nenhum defeito apontado","")))</f>
        <v/>
      </c>
    </row>
    <row r="225" customFormat="false" ht="15" hidden="false" customHeight="false" outlineLevel="0" collapsed="false">
      <c r="A225" s="11" t="str">
        <f aca="false">Apontamentos!C225</f>
        <v/>
      </c>
      <c r="B225" s="11" t="str">
        <f aca="false">IF(Apontamentos!$C225="","",Apontamentos!A225&amp;"")</f>
        <v/>
      </c>
      <c r="C225" s="11" t="str">
        <f aca="false">IF(B225="","",IFERROR(INDEX(Execuções!$C$2:$C$97,MATCH(B225,Execuções!$A$2:$A$97,0)),"ID?"))</f>
        <v/>
      </c>
      <c r="D225" s="10" t="str">
        <f aca="false">IF(B225="","",IFERROR(INDEX(Execuções!$B$2:$B$97,MATCH(B225,Execuções!$A$2:$A$97,0)),"ID?"))</f>
        <v/>
      </c>
      <c r="E225" s="11" t="str">
        <f aca="false">IF(B225="","",Apontamentos!D225)</f>
        <v/>
      </c>
      <c r="F225" s="11" t="str">
        <f aca="false">IF(B225="","",Apontamentos!E225)</f>
        <v/>
      </c>
      <c r="G225" s="10" t="str">
        <f aca="false">IF(B225="","",Apontamentos!G225&amp;"")</f>
        <v/>
      </c>
      <c r="H225" s="14" t="str">
        <f aca="false">IF('Avaliador 1'!F225='Avaliador 2'!F225,'Avaliador 1'!F225&amp;"","")</f>
        <v/>
      </c>
      <c r="I225" s="14" t="str">
        <f aca="false">IF('Avaliador 1'!G225='Avaliador 2'!G225,'Avaliador 1'!G225&amp;"","")</f>
        <v/>
      </c>
      <c r="J225" s="14" t="str">
        <f aca="false">IF('Avaliador 1'!H225='Avaliador 2'!H225,'Avaliador 1'!H225&amp;"","")</f>
        <v/>
      </c>
      <c r="K225" s="14" t="str">
        <f aca="false">IF('Avaliador 1'!I225='Avaliador 2'!I225,'Avaliador 1'!I225&amp;"","")</f>
        <v/>
      </c>
      <c r="L225" s="13"/>
      <c r="M225" s="13" t="str">
        <f aca="false">IF('Avaliador 1'!J225='Avaliador 2'!J225,'Avaliador 1'!J225&amp;"","")</f>
        <v/>
      </c>
      <c r="N225" s="11" t="str">
        <f aca="false">IF(OR('Avaliador 1'!F225="",'Avaliador 2'!F225=""),"",IF(AND('Avaliador 1'!F225='Avaliador 2'!F225,'Avaliador 1'!G225='Avaliador 2'!G225,'Avaliador 1'!H225='Avaliador 2'!H225,'Avaliador 1'!I225='Avaliador 2'!I225),"Não","Sim"))</f>
        <v/>
      </c>
      <c r="O225" s="14"/>
      <c r="P225" s="10" t="str">
        <f aca="false">IF(LEN(H225)=3,"Defeito encontrado",IF(I225="Sim","Falso alarme",IF(H225="—","Nenhum defeito apontado","")))</f>
        <v/>
      </c>
    </row>
    <row r="226" customFormat="false" ht="15" hidden="false" customHeight="false" outlineLevel="0" collapsed="false">
      <c r="A226" s="11" t="str">
        <f aca="false">Apontamentos!C226</f>
        <v/>
      </c>
      <c r="B226" s="11" t="str">
        <f aca="false">IF(Apontamentos!$C226="","",Apontamentos!A226&amp;"")</f>
        <v/>
      </c>
      <c r="C226" s="11" t="str">
        <f aca="false">IF(B226="","",IFERROR(INDEX(Execuções!$C$2:$C$97,MATCH(B226,Execuções!$A$2:$A$97,0)),"ID?"))</f>
        <v/>
      </c>
      <c r="D226" s="10" t="str">
        <f aca="false">IF(B226="","",IFERROR(INDEX(Execuções!$B$2:$B$97,MATCH(B226,Execuções!$A$2:$A$97,0)),"ID?"))</f>
        <v/>
      </c>
      <c r="E226" s="11" t="str">
        <f aca="false">IF(B226="","",Apontamentos!D226)</f>
        <v/>
      </c>
      <c r="F226" s="11" t="str">
        <f aca="false">IF(B226="","",Apontamentos!E226)</f>
        <v/>
      </c>
      <c r="G226" s="10" t="str">
        <f aca="false">IF(B226="","",Apontamentos!G226&amp;"")</f>
        <v/>
      </c>
      <c r="H226" s="14" t="str">
        <f aca="false">IF('Avaliador 1'!F226='Avaliador 2'!F226,'Avaliador 1'!F226&amp;"","")</f>
        <v/>
      </c>
      <c r="I226" s="14" t="str">
        <f aca="false">IF('Avaliador 1'!G226='Avaliador 2'!G226,'Avaliador 1'!G226&amp;"","")</f>
        <v/>
      </c>
      <c r="J226" s="14" t="str">
        <f aca="false">IF('Avaliador 1'!H226='Avaliador 2'!H226,'Avaliador 1'!H226&amp;"","")</f>
        <v/>
      </c>
      <c r="K226" s="14" t="str">
        <f aca="false">IF('Avaliador 1'!I226='Avaliador 2'!I226,'Avaliador 1'!I226&amp;"","")</f>
        <v/>
      </c>
      <c r="L226" s="13"/>
      <c r="M226" s="13" t="str">
        <f aca="false">IF('Avaliador 1'!J226='Avaliador 2'!J226,'Avaliador 1'!J226&amp;"","")</f>
        <v/>
      </c>
      <c r="N226" s="11" t="str">
        <f aca="false">IF(OR('Avaliador 1'!F226="",'Avaliador 2'!F226=""),"",IF(AND('Avaliador 1'!F226='Avaliador 2'!F226,'Avaliador 1'!G226='Avaliador 2'!G226,'Avaliador 1'!H226='Avaliador 2'!H226,'Avaliador 1'!I226='Avaliador 2'!I226),"Não","Sim"))</f>
        <v/>
      </c>
      <c r="O226" s="14"/>
      <c r="P226" s="10" t="str">
        <f aca="false">IF(LEN(H226)=3,"Defeito encontrado",IF(I226="Sim","Falso alarme",IF(H226="—","Nenhum defeito apontado","")))</f>
        <v/>
      </c>
    </row>
    <row r="227" customFormat="false" ht="15" hidden="false" customHeight="false" outlineLevel="0" collapsed="false">
      <c r="A227" s="11" t="str">
        <f aca="false">Apontamentos!C227</f>
        <v/>
      </c>
      <c r="B227" s="11" t="str">
        <f aca="false">IF(Apontamentos!$C227="","",Apontamentos!A227&amp;"")</f>
        <v/>
      </c>
      <c r="C227" s="11" t="str">
        <f aca="false">IF(B227="","",IFERROR(INDEX(Execuções!$C$2:$C$97,MATCH(B227,Execuções!$A$2:$A$97,0)),"ID?"))</f>
        <v/>
      </c>
      <c r="D227" s="10" t="str">
        <f aca="false">IF(B227="","",IFERROR(INDEX(Execuções!$B$2:$B$97,MATCH(B227,Execuções!$A$2:$A$97,0)),"ID?"))</f>
        <v/>
      </c>
      <c r="E227" s="11" t="str">
        <f aca="false">IF(B227="","",Apontamentos!D227)</f>
        <v/>
      </c>
      <c r="F227" s="11" t="str">
        <f aca="false">IF(B227="","",Apontamentos!E227)</f>
        <v/>
      </c>
      <c r="G227" s="10" t="str">
        <f aca="false">IF(B227="","",Apontamentos!G227&amp;"")</f>
        <v/>
      </c>
      <c r="H227" s="14" t="str">
        <f aca="false">IF('Avaliador 1'!F227='Avaliador 2'!F227,'Avaliador 1'!F227&amp;"","")</f>
        <v/>
      </c>
      <c r="I227" s="14" t="str">
        <f aca="false">IF('Avaliador 1'!G227='Avaliador 2'!G227,'Avaliador 1'!G227&amp;"","")</f>
        <v/>
      </c>
      <c r="J227" s="14" t="str">
        <f aca="false">IF('Avaliador 1'!H227='Avaliador 2'!H227,'Avaliador 1'!H227&amp;"","")</f>
        <v/>
      </c>
      <c r="K227" s="14" t="str">
        <f aca="false">IF('Avaliador 1'!I227='Avaliador 2'!I227,'Avaliador 1'!I227&amp;"","")</f>
        <v/>
      </c>
      <c r="L227" s="13"/>
      <c r="M227" s="13" t="str">
        <f aca="false">IF('Avaliador 1'!J227='Avaliador 2'!J227,'Avaliador 1'!J227&amp;"","")</f>
        <v/>
      </c>
      <c r="N227" s="11" t="str">
        <f aca="false">IF(OR('Avaliador 1'!F227="",'Avaliador 2'!F227=""),"",IF(AND('Avaliador 1'!F227='Avaliador 2'!F227,'Avaliador 1'!G227='Avaliador 2'!G227,'Avaliador 1'!H227='Avaliador 2'!H227,'Avaliador 1'!I227='Avaliador 2'!I227),"Não","Sim"))</f>
        <v/>
      </c>
      <c r="O227" s="14"/>
      <c r="P227" s="10" t="str">
        <f aca="false">IF(LEN(H227)=3,"Defeito encontrado",IF(I227="Sim","Falso alarme",IF(H227="—","Nenhum defeito apontado","")))</f>
        <v/>
      </c>
    </row>
    <row r="228" customFormat="false" ht="15" hidden="false" customHeight="false" outlineLevel="0" collapsed="false">
      <c r="A228" s="11" t="str">
        <f aca="false">Apontamentos!C228</f>
        <v/>
      </c>
      <c r="B228" s="11" t="str">
        <f aca="false">IF(Apontamentos!$C228="","",Apontamentos!A228&amp;"")</f>
        <v/>
      </c>
      <c r="C228" s="11" t="str">
        <f aca="false">IF(B228="","",IFERROR(INDEX(Execuções!$C$2:$C$97,MATCH(B228,Execuções!$A$2:$A$97,0)),"ID?"))</f>
        <v/>
      </c>
      <c r="D228" s="10" t="str">
        <f aca="false">IF(B228="","",IFERROR(INDEX(Execuções!$B$2:$B$97,MATCH(B228,Execuções!$A$2:$A$97,0)),"ID?"))</f>
        <v/>
      </c>
      <c r="E228" s="11" t="str">
        <f aca="false">IF(B228="","",Apontamentos!D228)</f>
        <v/>
      </c>
      <c r="F228" s="11" t="str">
        <f aca="false">IF(B228="","",Apontamentos!E228)</f>
        <v/>
      </c>
      <c r="G228" s="10" t="str">
        <f aca="false">IF(B228="","",Apontamentos!G228&amp;"")</f>
        <v/>
      </c>
      <c r="H228" s="14" t="str">
        <f aca="false">IF('Avaliador 1'!F228='Avaliador 2'!F228,'Avaliador 1'!F228&amp;"","")</f>
        <v/>
      </c>
      <c r="I228" s="14" t="str">
        <f aca="false">IF('Avaliador 1'!G228='Avaliador 2'!G228,'Avaliador 1'!G228&amp;"","")</f>
        <v/>
      </c>
      <c r="J228" s="14" t="str">
        <f aca="false">IF('Avaliador 1'!H228='Avaliador 2'!H228,'Avaliador 1'!H228&amp;"","")</f>
        <v/>
      </c>
      <c r="K228" s="14" t="str">
        <f aca="false">IF('Avaliador 1'!I228='Avaliador 2'!I228,'Avaliador 1'!I228&amp;"","")</f>
        <v/>
      </c>
      <c r="L228" s="13"/>
      <c r="M228" s="13" t="str">
        <f aca="false">IF('Avaliador 1'!J228='Avaliador 2'!J228,'Avaliador 1'!J228&amp;"","")</f>
        <v/>
      </c>
      <c r="N228" s="11" t="str">
        <f aca="false">IF(OR('Avaliador 1'!F228="",'Avaliador 2'!F228=""),"",IF(AND('Avaliador 1'!F228='Avaliador 2'!F228,'Avaliador 1'!G228='Avaliador 2'!G228,'Avaliador 1'!H228='Avaliador 2'!H228,'Avaliador 1'!I228='Avaliador 2'!I228),"Não","Sim"))</f>
        <v/>
      </c>
      <c r="O228" s="14"/>
      <c r="P228" s="10" t="str">
        <f aca="false">IF(LEN(H228)=3,"Defeito encontrado",IF(I228="Sim","Falso alarme",IF(H228="—","Nenhum defeito apontado","")))</f>
        <v/>
      </c>
    </row>
    <row r="229" customFormat="false" ht="15" hidden="false" customHeight="false" outlineLevel="0" collapsed="false">
      <c r="A229" s="11" t="str">
        <f aca="false">Apontamentos!C229</f>
        <v/>
      </c>
      <c r="B229" s="11" t="str">
        <f aca="false">IF(Apontamentos!$C229="","",Apontamentos!A229&amp;"")</f>
        <v/>
      </c>
      <c r="C229" s="11" t="str">
        <f aca="false">IF(B229="","",IFERROR(INDEX(Execuções!$C$2:$C$97,MATCH(B229,Execuções!$A$2:$A$97,0)),"ID?"))</f>
        <v/>
      </c>
      <c r="D229" s="10" t="str">
        <f aca="false">IF(B229="","",IFERROR(INDEX(Execuções!$B$2:$B$97,MATCH(B229,Execuções!$A$2:$A$97,0)),"ID?"))</f>
        <v/>
      </c>
      <c r="E229" s="11" t="str">
        <f aca="false">IF(B229="","",Apontamentos!D229)</f>
        <v/>
      </c>
      <c r="F229" s="11" t="str">
        <f aca="false">IF(B229="","",Apontamentos!E229)</f>
        <v/>
      </c>
      <c r="G229" s="10" t="str">
        <f aca="false">IF(B229="","",Apontamentos!G229&amp;"")</f>
        <v/>
      </c>
      <c r="H229" s="14" t="str">
        <f aca="false">IF('Avaliador 1'!F229='Avaliador 2'!F229,'Avaliador 1'!F229&amp;"","")</f>
        <v/>
      </c>
      <c r="I229" s="14" t="str">
        <f aca="false">IF('Avaliador 1'!G229='Avaliador 2'!G229,'Avaliador 1'!G229&amp;"","")</f>
        <v/>
      </c>
      <c r="J229" s="14" t="str">
        <f aca="false">IF('Avaliador 1'!H229='Avaliador 2'!H229,'Avaliador 1'!H229&amp;"","")</f>
        <v/>
      </c>
      <c r="K229" s="14" t="str">
        <f aca="false">IF('Avaliador 1'!I229='Avaliador 2'!I229,'Avaliador 1'!I229&amp;"","")</f>
        <v/>
      </c>
      <c r="L229" s="13"/>
      <c r="M229" s="13" t="str">
        <f aca="false">IF('Avaliador 1'!J229='Avaliador 2'!J229,'Avaliador 1'!J229&amp;"","")</f>
        <v/>
      </c>
      <c r="N229" s="11" t="str">
        <f aca="false">IF(OR('Avaliador 1'!F229="",'Avaliador 2'!F229=""),"",IF(AND('Avaliador 1'!F229='Avaliador 2'!F229,'Avaliador 1'!G229='Avaliador 2'!G229,'Avaliador 1'!H229='Avaliador 2'!H229,'Avaliador 1'!I229='Avaliador 2'!I229),"Não","Sim"))</f>
        <v/>
      </c>
      <c r="O229" s="14"/>
      <c r="P229" s="10" t="str">
        <f aca="false">IF(LEN(H229)=3,"Defeito encontrado",IF(I229="Sim","Falso alarme",IF(H229="—","Nenhum defeito apontado","")))</f>
        <v/>
      </c>
    </row>
    <row r="230" customFormat="false" ht="15" hidden="false" customHeight="false" outlineLevel="0" collapsed="false">
      <c r="A230" s="11" t="str">
        <f aca="false">Apontamentos!C230</f>
        <v/>
      </c>
      <c r="B230" s="11" t="str">
        <f aca="false">IF(Apontamentos!$C230="","",Apontamentos!A230&amp;"")</f>
        <v/>
      </c>
      <c r="C230" s="11" t="str">
        <f aca="false">IF(B230="","",IFERROR(INDEX(Execuções!$C$2:$C$97,MATCH(B230,Execuções!$A$2:$A$97,0)),"ID?"))</f>
        <v/>
      </c>
      <c r="D230" s="10" t="str">
        <f aca="false">IF(B230="","",IFERROR(INDEX(Execuções!$B$2:$B$97,MATCH(B230,Execuções!$A$2:$A$97,0)),"ID?"))</f>
        <v/>
      </c>
      <c r="E230" s="11" t="str">
        <f aca="false">IF(B230="","",Apontamentos!D230)</f>
        <v/>
      </c>
      <c r="F230" s="11" t="str">
        <f aca="false">IF(B230="","",Apontamentos!E230)</f>
        <v/>
      </c>
      <c r="G230" s="10" t="str">
        <f aca="false">IF(B230="","",Apontamentos!G230&amp;"")</f>
        <v/>
      </c>
      <c r="H230" s="14" t="str">
        <f aca="false">IF('Avaliador 1'!F230='Avaliador 2'!F230,'Avaliador 1'!F230&amp;"","")</f>
        <v/>
      </c>
      <c r="I230" s="14" t="str">
        <f aca="false">IF('Avaliador 1'!G230='Avaliador 2'!G230,'Avaliador 1'!G230&amp;"","")</f>
        <v/>
      </c>
      <c r="J230" s="14" t="str">
        <f aca="false">IF('Avaliador 1'!H230='Avaliador 2'!H230,'Avaliador 1'!H230&amp;"","")</f>
        <v/>
      </c>
      <c r="K230" s="14" t="str">
        <f aca="false">IF('Avaliador 1'!I230='Avaliador 2'!I230,'Avaliador 1'!I230&amp;"","")</f>
        <v/>
      </c>
      <c r="L230" s="13"/>
      <c r="M230" s="13" t="str">
        <f aca="false">IF('Avaliador 1'!J230='Avaliador 2'!J230,'Avaliador 1'!J230&amp;"","")</f>
        <v/>
      </c>
      <c r="N230" s="11" t="str">
        <f aca="false">IF(OR('Avaliador 1'!F230="",'Avaliador 2'!F230=""),"",IF(AND('Avaliador 1'!F230='Avaliador 2'!F230,'Avaliador 1'!G230='Avaliador 2'!G230,'Avaliador 1'!H230='Avaliador 2'!H230,'Avaliador 1'!I230='Avaliador 2'!I230),"Não","Sim"))</f>
        <v/>
      </c>
      <c r="O230" s="14"/>
      <c r="P230" s="10" t="str">
        <f aca="false">IF(LEN(H230)=3,"Defeito encontrado",IF(I230="Sim","Falso alarme",IF(H230="—","Nenhum defeito apontado","")))</f>
        <v/>
      </c>
    </row>
    <row r="231" customFormat="false" ht="15" hidden="false" customHeight="false" outlineLevel="0" collapsed="false">
      <c r="A231" s="11" t="str">
        <f aca="false">Apontamentos!C231</f>
        <v/>
      </c>
      <c r="B231" s="11" t="str">
        <f aca="false">IF(Apontamentos!$C231="","",Apontamentos!A231&amp;"")</f>
        <v/>
      </c>
      <c r="C231" s="11" t="str">
        <f aca="false">IF(B231="","",IFERROR(INDEX(Execuções!$C$2:$C$97,MATCH(B231,Execuções!$A$2:$A$97,0)),"ID?"))</f>
        <v/>
      </c>
      <c r="D231" s="10" t="str">
        <f aca="false">IF(B231="","",IFERROR(INDEX(Execuções!$B$2:$B$97,MATCH(B231,Execuções!$A$2:$A$97,0)),"ID?"))</f>
        <v/>
      </c>
      <c r="E231" s="11" t="str">
        <f aca="false">IF(B231="","",Apontamentos!D231)</f>
        <v/>
      </c>
      <c r="F231" s="11" t="str">
        <f aca="false">IF(B231="","",Apontamentos!E231)</f>
        <v/>
      </c>
      <c r="G231" s="10" t="str">
        <f aca="false">IF(B231="","",Apontamentos!G231&amp;"")</f>
        <v/>
      </c>
      <c r="H231" s="14" t="str">
        <f aca="false">IF('Avaliador 1'!F231='Avaliador 2'!F231,'Avaliador 1'!F231&amp;"","")</f>
        <v/>
      </c>
      <c r="I231" s="14" t="str">
        <f aca="false">IF('Avaliador 1'!G231='Avaliador 2'!G231,'Avaliador 1'!G231&amp;"","")</f>
        <v/>
      </c>
      <c r="J231" s="14" t="str">
        <f aca="false">IF('Avaliador 1'!H231='Avaliador 2'!H231,'Avaliador 1'!H231&amp;"","")</f>
        <v/>
      </c>
      <c r="K231" s="14" t="str">
        <f aca="false">IF('Avaliador 1'!I231='Avaliador 2'!I231,'Avaliador 1'!I231&amp;"","")</f>
        <v/>
      </c>
      <c r="L231" s="13"/>
      <c r="M231" s="13" t="str">
        <f aca="false">IF('Avaliador 1'!J231='Avaliador 2'!J231,'Avaliador 1'!J231&amp;"","")</f>
        <v/>
      </c>
      <c r="N231" s="11" t="str">
        <f aca="false">IF(OR('Avaliador 1'!F231="",'Avaliador 2'!F231=""),"",IF(AND('Avaliador 1'!F231='Avaliador 2'!F231,'Avaliador 1'!G231='Avaliador 2'!G231,'Avaliador 1'!H231='Avaliador 2'!H231,'Avaliador 1'!I231='Avaliador 2'!I231),"Não","Sim"))</f>
        <v/>
      </c>
      <c r="O231" s="14"/>
      <c r="P231" s="10" t="str">
        <f aca="false">IF(LEN(H231)=3,"Defeito encontrado",IF(I231="Sim","Falso alarme",IF(H231="—","Nenhum defeito apontado","")))</f>
        <v/>
      </c>
    </row>
    <row r="232" customFormat="false" ht="15" hidden="false" customHeight="false" outlineLevel="0" collapsed="false">
      <c r="A232" s="11" t="str">
        <f aca="false">Apontamentos!C232</f>
        <v/>
      </c>
      <c r="B232" s="11" t="str">
        <f aca="false">IF(Apontamentos!$C232="","",Apontamentos!A232&amp;"")</f>
        <v/>
      </c>
      <c r="C232" s="11" t="str">
        <f aca="false">IF(B232="","",IFERROR(INDEX(Execuções!$C$2:$C$97,MATCH(B232,Execuções!$A$2:$A$97,0)),"ID?"))</f>
        <v/>
      </c>
      <c r="D232" s="10" t="str">
        <f aca="false">IF(B232="","",IFERROR(INDEX(Execuções!$B$2:$B$97,MATCH(B232,Execuções!$A$2:$A$97,0)),"ID?"))</f>
        <v/>
      </c>
      <c r="E232" s="11" t="str">
        <f aca="false">IF(B232="","",Apontamentos!D232)</f>
        <v/>
      </c>
      <c r="F232" s="11" t="str">
        <f aca="false">IF(B232="","",Apontamentos!E232)</f>
        <v/>
      </c>
      <c r="G232" s="10" t="str">
        <f aca="false">IF(B232="","",Apontamentos!G232&amp;"")</f>
        <v/>
      </c>
      <c r="H232" s="14" t="str">
        <f aca="false">IF('Avaliador 1'!F232='Avaliador 2'!F232,'Avaliador 1'!F232&amp;"","")</f>
        <v/>
      </c>
      <c r="I232" s="14" t="str">
        <f aca="false">IF('Avaliador 1'!G232='Avaliador 2'!G232,'Avaliador 1'!G232&amp;"","")</f>
        <v/>
      </c>
      <c r="J232" s="14" t="str">
        <f aca="false">IF('Avaliador 1'!H232='Avaliador 2'!H232,'Avaliador 1'!H232&amp;"","")</f>
        <v/>
      </c>
      <c r="K232" s="14" t="str">
        <f aca="false">IF('Avaliador 1'!I232='Avaliador 2'!I232,'Avaliador 1'!I232&amp;"","")</f>
        <v/>
      </c>
      <c r="L232" s="13"/>
      <c r="M232" s="13" t="str">
        <f aca="false">IF('Avaliador 1'!J232='Avaliador 2'!J232,'Avaliador 1'!J232&amp;"","")</f>
        <v/>
      </c>
      <c r="N232" s="11" t="str">
        <f aca="false">IF(OR('Avaliador 1'!F232="",'Avaliador 2'!F232=""),"",IF(AND('Avaliador 1'!F232='Avaliador 2'!F232,'Avaliador 1'!G232='Avaliador 2'!G232,'Avaliador 1'!H232='Avaliador 2'!H232,'Avaliador 1'!I232='Avaliador 2'!I232),"Não","Sim"))</f>
        <v/>
      </c>
      <c r="O232" s="14"/>
      <c r="P232" s="10" t="str">
        <f aca="false">IF(LEN(H232)=3,"Defeito encontrado",IF(I232="Sim","Falso alarme",IF(H232="—","Nenhum defeito apontado","")))</f>
        <v/>
      </c>
    </row>
    <row r="233" customFormat="false" ht="15" hidden="false" customHeight="false" outlineLevel="0" collapsed="false">
      <c r="A233" s="11" t="str">
        <f aca="false">Apontamentos!C233</f>
        <v/>
      </c>
      <c r="B233" s="11" t="str">
        <f aca="false">IF(Apontamentos!$C233="","",Apontamentos!A233&amp;"")</f>
        <v/>
      </c>
      <c r="C233" s="11" t="str">
        <f aca="false">IF(B233="","",IFERROR(INDEX(Execuções!$C$2:$C$97,MATCH(B233,Execuções!$A$2:$A$97,0)),"ID?"))</f>
        <v/>
      </c>
      <c r="D233" s="10" t="str">
        <f aca="false">IF(B233="","",IFERROR(INDEX(Execuções!$B$2:$B$97,MATCH(B233,Execuções!$A$2:$A$97,0)),"ID?"))</f>
        <v/>
      </c>
      <c r="E233" s="11" t="str">
        <f aca="false">IF(B233="","",Apontamentos!D233)</f>
        <v/>
      </c>
      <c r="F233" s="11" t="str">
        <f aca="false">IF(B233="","",Apontamentos!E233)</f>
        <v/>
      </c>
      <c r="G233" s="10" t="str">
        <f aca="false">IF(B233="","",Apontamentos!G233&amp;"")</f>
        <v/>
      </c>
      <c r="H233" s="14" t="str">
        <f aca="false">IF('Avaliador 1'!F233='Avaliador 2'!F233,'Avaliador 1'!F233&amp;"","")</f>
        <v/>
      </c>
      <c r="I233" s="14" t="str">
        <f aca="false">IF('Avaliador 1'!G233='Avaliador 2'!G233,'Avaliador 1'!G233&amp;"","")</f>
        <v/>
      </c>
      <c r="J233" s="14" t="str">
        <f aca="false">IF('Avaliador 1'!H233='Avaliador 2'!H233,'Avaliador 1'!H233&amp;"","")</f>
        <v/>
      </c>
      <c r="K233" s="14" t="str">
        <f aca="false">IF('Avaliador 1'!I233='Avaliador 2'!I233,'Avaliador 1'!I233&amp;"","")</f>
        <v/>
      </c>
      <c r="L233" s="13"/>
      <c r="M233" s="13" t="str">
        <f aca="false">IF('Avaliador 1'!J233='Avaliador 2'!J233,'Avaliador 1'!J233&amp;"","")</f>
        <v/>
      </c>
      <c r="N233" s="11" t="str">
        <f aca="false">IF(OR('Avaliador 1'!F233="",'Avaliador 2'!F233=""),"",IF(AND('Avaliador 1'!F233='Avaliador 2'!F233,'Avaliador 1'!G233='Avaliador 2'!G233,'Avaliador 1'!H233='Avaliador 2'!H233,'Avaliador 1'!I233='Avaliador 2'!I233),"Não","Sim"))</f>
        <v/>
      </c>
      <c r="O233" s="14"/>
      <c r="P233" s="10" t="str">
        <f aca="false">IF(LEN(H233)=3,"Defeito encontrado",IF(I233="Sim","Falso alarme",IF(H233="—","Nenhum defeito apontado","")))</f>
        <v/>
      </c>
    </row>
    <row r="234" customFormat="false" ht="15" hidden="false" customHeight="false" outlineLevel="0" collapsed="false">
      <c r="A234" s="11" t="str">
        <f aca="false">Apontamentos!C234</f>
        <v/>
      </c>
      <c r="B234" s="11" t="str">
        <f aca="false">IF(Apontamentos!$C234="","",Apontamentos!A234&amp;"")</f>
        <v/>
      </c>
      <c r="C234" s="11" t="str">
        <f aca="false">IF(B234="","",IFERROR(INDEX(Execuções!$C$2:$C$97,MATCH(B234,Execuções!$A$2:$A$97,0)),"ID?"))</f>
        <v/>
      </c>
      <c r="D234" s="10" t="str">
        <f aca="false">IF(B234="","",IFERROR(INDEX(Execuções!$B$2:$B$97,MATCH(B234,Execuções!$A$2:$A$97,0)),"ID?"))</f>
        <v/>
      </c>
      <c r="E234" s="11" t="str">
        <f aca="false">IF(B234="","",Apontamentos!D234)</f>
        <v/>
      </c>
      <c r="F234" s="11" t="str">
        <f aca="false">IF(B234="","",Apontamentos!E234)</f>
        <v/>
      </c>
      <c r="G234" s="10" t="str">
        <f aca="false">IF(B234="","",Apontamentos!G234&amp;"")</f>
        <v/>
      </c>
      <c r="H234" s="14" t="str">
        <f aca="false">IF('Avaliador 1'!F234='Avaliador 2'!F234,'Avaliador 1'!F234&amp;"","")</f>
        <v/>
      </c>
      <c r="I234" s="14" t="str">
        <f aca="false">IF('Avaliador 1'!G234='Avaliador 2'!G234,'Avaliador 1'!G234&amp;"","")</f>
        <v/>
      </c>
      <c r="J234" s="14" t="str">
        <f aca="false">IF('Avaliador 1'!H234='Avaliador 2'!H234,'Avaliador 1'!H234&amp;"","")</f>
        <v/>
      </c>
      <c r="K234" s="14" t="str">
        <f aca="false">IF('Avaliador 1'!I234='Avaliador 2'!I234,'Avaliador 1'!I234&amp;"","")</f>
        <v/>
      </c>
      <c r="L234" s="13"/>
      <c r="M234" s="13" t="str">
        <f aca="false">IF('Avaliador 1'!J234='Avaliador 2'!J234,'Avaliador 1'!J234&amp;"","")</f>
        <v/>
      </c>
      <c r="N234" s="11" t="str">
        <f aca="false">IF(OR('Avaliador 1'!F234="",'Avaliador 2'!F234=""),"",IF(AND('Avaliador 1'!F234='Avaliador 2'!F234,'Avaliador 1'!G234='Avaliador 2'!G234,'Avaliador 1'!H234='Avaliador 2'!H234,'Avaliador 1'!I234='Avaliador 2'!I234),"Não","Sim"))</f>
        <v/>
      </c>
      <c r="O234" s="14"/>
      <c r="P234" s="10" t="str">
        <f aca="false">IF(LEN(H234)=3,"Defeito encontrado",IF(I234="Sim","Falso alarme",IF(H234="—","Nenhum defeito apontado","")))</f>
        <v/>
      </c>
    </row>
    <row r="235" customFormat="false" ht="15" hidden="false" customHeight="false" outlineLevel="0" collapsed="false">
      <c r="A235" s="11" t="str">
        <f aca="false">Apontamentos!C235</f>
        <v/>
      </c>
      <c r="B235" s="11" t="str">
        <f aca="false">IF(Apontamentos!$C235="","",Apontamentos!A235&amp;"")</f>
        <v/>
      </c>
      <c r="C235" s="11" t="str">
        <f aca="false">IF(B235="","",IFERROR(INDEX(Execuções!$C$2:$C$97,MATCH(B235,Execuções!$A$2:$A$97,0)),"ID?"))</f>
        <v/>
      </c>
      <c r="D235" s="10" t="str">
        <f aca="false">IF(B235="","",IFERROR(INDEX(Execuções!$B$2:$B$97,MATCH(B235,Execuções!$A$2:$A$97,0)),"ID?"))</f>
        <v/>
      </c>
      <c r="E235" s="11" t="str">
        <f aca="false">IF(B235="","",Apontamentos!D235)</f>
        <v/>
      </c>
      <c r="F235" s="11" t="str">
        <f aca="false">IF(B235="","",Apontamentos!E235)</f>
        <v/>
      </c>
      <c r="G235" s="10" t="str">
        <f aca="false">IF(B235="","",Apontamentos!G235&amp;"")</f>
        <v/>
      </c>
      <c r="H235" s="14" t="str">
        <f aca="false">IF('Avaliador 1'!F235='Avaliador 2'!F235,'Avaliador 1'!F235&amp;"","")</f>
        <v/>
      </c>
      <c r="I235" s="14" t="str">
        <f aca="false">IF('Avaliador 1'!G235='Avaliador 2'!G235,'Avaliador 1'!G235&amp;"","")</f>
        <v/>
      </c>
      <c r="J235" s="14" t="str">
        <f aca="false">IF('Avaliador 1'!H235='Avaliador 2'!H235,'Avaliador 1'!H235&amp;"","")</f>
        <v/>
      </c>
      <c r="K235" s="14" t="str">
        <f aca="false">IF('Avaliador 1'!I235='Avaliador 2'!I235,'Avaliador 1'!I235&amp;"","")</f>
        <v/>
      </c>
      <c r="L235" s="13"/>
      <c r="M235" s="13" t="str">
        <f aca="false">IF('Avaliador 1'!J235='Avaliador 2'!J235,'Avaliador 1'!J235&amp;"","")</f>
        <v/>
      </c>
      <c r="N235" s="11" t="str">
        <f aca="false">IF(OR('Avaliador 1'!F235="",'Avaliador 2'!F235=""),"",IF(AND('Avaliador 1'!F235='Avaliador 2'!F235,'Avaliador 1'!G235='Avaliador 2'!G235,'Avaliador 1'!H235='Avaliador 2'!H235,'Avaliador 1'!I235='Avaliador 2'!I235),"Não","Sim"))</f>
        <v/>
      </c>
      <c r="O235" s="14"/>
      <c r="P235" s="10" t="str">
        <f aca="false">IF(LEN(H235)=3,"Defeito encontrado",IF(I235="Sim","Falso alarme",IF(H235="—","Nenhum defeito apontado","")))</f>
        <v/>
      </c>
    </row>
    <row r="236" customFormat="false" ht="15" hidden="false" customHeight="false" outlineLevel="0" collapsed="false">
      <c r="A236" s="11" t="str">
        <f aca="false">Apontamentos!C236</f>
        <v/>
      </c>
      <c r="B236" s="11" t="str">
        <f aca="false">IF(Apontamentos!$C236="","",Apontamentos!A236&amp;"")</f>
        <v/>
      </c>
      <c r="C236" s="11" t="str">
        <f aca="false">IF(B236="","",IFERROR(INDEX(Execuções!$C$2:$C$97,MATCH(B236,Execuções!$A$2:$A$97,0)),"ID?"))</f>
        <v/>
      </c>
      <c r="D236" s="10" t="str">
        <f aca="false">IF(B236="","",IFERROR(INDEX(Execuções!$B$2:$B$97,MATCH(B236,Execuções!$A$2:$A$97,0)),"ID?"))</f>
        <v/>
      </c>
      <c r="E236" s="11" t="str">
        <f aca="false">IF(B236="","",Apontamentos!D236)</f>
        <v/>
      </c>
      <c r="F236" s="11" t="str">
        <f aca="false">IF(B236="","",Apontamentos!E236)</f>
        <v/>
      </c>
      <c r="G236" s="10" t="str">
        <f aca="false">IF(B236="","",Apontamentos!G236&amp;"")</f>
        <v/>
      </c>
      <c r="H236" s="14" t="str">
        <f aca="false">IF('Avaliador 1'!F236='Avaliador 2'!F236,'Avaliador 1'!F236&amp;"","")</f>
        <v/>
      </c>
      <c r="I236" s="14" t="str">
        <f aca="false">IF('Avaliador 1'!G236='Avaliador 2'!G236,'Avaliador 1'!G236&amp;"","")</f>
        <v/>
      </c>
      <c r="J236" s="14" t="str">
        <f aca="false">IF('Avaliador 1'!H236='Avaliador 2'!H236,'Avaliador 1'!H236&amp;"","")</f>
        <v/>
      </c>
      <c r="K236" s="14" t="str">
        <f aca="false">IF('Avaliador 1'!I236='Avaliador 2'!I236,'Avaliador 1'!I236&amp;"","")</f>
        <v/>
      </c>
      <c r="L236" s="13"/>
      <c r="M236" s="13" t="str">
        <f aca="false">IF('Avaliador 1'!J236='Avaliador 2'!J236,'Avaliador 1'!J236&amp;"","")</f>
        <v/>
      </c>
      <c r="N236" s="11" t="str">
        <f aca="false">IF(OR('Avaliador 1'!F236="",'Avaliador 2'!F236=""),"",IF(AND('Avaliador 1'!F236='Avaliador 2'!F236,'Avaliador 1'!G236='Avaliador 2'!G236,'Avaliador 1'!H236='Avaliador 2'!H236,'Avaliador 1'!I236='Avaliador 2'!I236),"Não","Sim"))</f>
        <v/>
      </c>
      <c r="O236" s="14"/>
      <c r="P236" s="10" t="str">
        <f aca="false">IF(LEN(H236)=3,"Defeito encontrado",IF(I236="Sim","Falso alarme",IF(H236="—","Nenhum defeito apontado","")))</f>
        <v/>
      </c>
    </row>
    <row r="237" customFormat="false" ht="15" hidden="false" customHeight="false" outlineLevel="0" collapsed="false">
      <c r="A237" s="11" t="str">
        <f aca="false">Apontamentos!C237</f>
        <v/>
      </c>
      <c r="B237" s="11" t="str">
        <f aca="false">IF(Apontamentos!$C237="","",Apontamentos!A237&amp;"")</f>
        <v/>
      </c>
      <c r="C237" s="11" t="str">
        <f aca="false">IF(B237="","",IFERROR(INDEX(Execuções!$C$2:$C$97,MATCH(B237,Execuções!$A$2:$A$97,0)),"ID?"))</f>
        <v/>
      </c>
      <c r="D237" s="10" t="str">
        <f aca="false">IF(B237="","",IFERROR(INDEX(Execuções!$B$2:$B$97,MATCH(B237,Execuções!$A$2:$A$97,0)),"ID?"))</f>
        <v/>
      </c>
      <c r="E237" s="11" t="str">
        <f aca="false">IF(B237="","",Apontamentos!D237)</f>
        <v/>
      </c>
      <c r="F237" s="11" t="str">
        <f aca="false">IF(B237="","",Apontamentos!E237)</f>
        <v/>
      </c>
      <c r="G237" s="10" t="str">
        <f aca="false">IF(B237="","",Apontamentos!G237&amp;"")</f>
        <v/>
      </c>
      <c r="H237" s="14" t="str">
        <f aca="false">IF('Avaliador 1'!F237='Avaliador 2'!F237,'Avaliador 1'!F237&amp;"","")</f>
        <v/>
      </c>
      <c r="I237" s="14" t="str">
        <f aca="false">IF('Avaliador 1'!G237='Avaliador 2'!G237,'Avaliador 1'!G237&amp;"","")</f>
        <v/>
      </c>
      <c r="J237" s="14" t="str">
        <f aca="false">IF('Avaliador 1'!H237='Avaliador 2'!H237,'Avaliador 1'!H237&amp;"","")</f>
        <v/>
      </c>
      <c r="K237" s="14" t="str">
        <f aca="false">IF('Avaliador 1'!I237='Avaliador 2'!I237,'Avaliador 1'!I237&amp;"","")</f>
        <v/>
      </c>
      <c r="L237" s="13"/>
      <c r="M237" s="13" t="str">
        <f aca="false">IF('Avaliador 1'!J237='Avaliador 2'!J237,'Avaliador 1'!J237&amp;"","")</f>
        <v/>
      </c>
      <c r="N237" s="11" t="str">
        <f aca="false">IF(OR('Avaliador 1'!F237="",'Avaliador 2'!F237=""),"",IF(AND('Avaliador 1'!F237='Avaliador 2'!F237,'Avaliador 1'!G237='Avaliador 2'!G237,'Avaliador 1'!H237='Avaliador 2'!H237,'Avaliador 1'!I237='Avaliador 2'!I237),"Não","Sim"))</f>
        <v/>
      </c>
      <c r="O237" s="14"/>
      <c r="P237" s="10" t="str">
        <f aca="false">IF(LEN(H237)=3,"Defeito encontrado",IF(I237="Sim","Falso alarme",IF(H237="—","Nenhum defeito apontado","")))</f>
        <v/>
      </c>
    </row>
    <row r="238" customFormat="false" ht="15" hidden="false" customHeight="false" outlineLevel="0" collapsed="false">
      <c r="A238" s="11" t="str">
        <f aca="false">Apontamentos!C238</f>
        <v/>
      </c>
      <c r="B238" s="11" t="str">
        <f aca="false">IF(Apontamentos!$C238="","",Apontamentos!A238&amp;"")</f>
        <v/>
      </c>
      <c r="C238" s="11" t="str">
        <f aca="false">IF(B238="","",IFERROR(INDEX(Execuções!$C$2:$C$97,MATCH(B238,Execuções!$A$2:$A$97,0)),"ID?"))</f>
        <v/>
      </c>
      <c r="D238" s="10" t="str">
        <f aca="false">IF(B238="","",IFERROR(INDEX(Execuções!$B$2:$B$97,MATCH(B238,Execuções!$A$2:$A$97,0)),"ID?"))</f>
        <v/>
      </c>
      <c r="E238" s="11" t="str">
        <f aca="false">IF(B238="","",Apontamentos!D238)</f>
        <v/>
      </c>
      <c r="F238" s="11" t="str">
        <f aca="false">IF(B238="","",Apontamentos!E238)</f>
        <v/>
      </c>
      <c r="G238" s="10" t="str">
        <f aca="false">IF(B238="","",Apontamentos!G238&amp;"")</f>
        <v/>
      </c>
      <c r="H238" s="14" t="str">
        <f aca="false">IF('Avaliador 1'!F238='Avaliador 2'!F238,'Avaliador 1'!F238&amp;"","")</f>
        <v/>
      </c>
      <c r="I238" s="14" t="str">
        <f aca="false">IF('Avaliador 1'!G238='Avaliador 2'!G238,'Avaliador 1'!G238&amp;"","")</f>
        <v/>
      </c>
      <c r="J238" s="14" t="str">
        <f aca="false">IF('Avaliador 1'!H238='Avaliador 2'!H238,'Avaliador 1'!H238&amp;"","")</f>
        <v/>
      </c>
      <c r="K238" s="14" t="str">
        <f aca="false">IF('Avaliador 1'!I238='Avaliador 2'!I238,'Avaliador 1'!I238&amp;"","")</f>
        <v/>
      </c>
      <c r="L238" s="13"/>
      <c r="M238" s="13" t="str">
        <f aca="false">IF('Avaliador 1'!J238='Avaliador 2'!J238,'Avaliador 1'!J238&amp;"","")</f>
        <v/>
      </c>
      <c r="N238" s="11" t="str">
        <f aca="false">IF(OR('Avaliador 1'!F238="",'Avaliador 2'!F238=""),"",IF(AND('Avaliador 1'!F238='Avaliador 2'!F238,'Avaliador 1'!G238='Avaliador 2'!G238,'Avaliador 1'!H238='Avaliador 2'!H238,'Avaliador 1'!I238='Avaliador 2'!I238),"Não","Sim"))</f>
        <v/>
      </c>
      <c r="O238" s="14"/>
      <c r="P238" s="10" t="str">
        <f aca="false">IF(LEN(H238)=3,"Defeito encontrado",IF(I238="Sim","Falso alarme",IF(H238="—","Nenhum defeito apontado","")))</f>
        <v/>
      </c>
    </row>
    <row r="239" customFormat="false" ht="15" hidden="false" customHeight="false" outlineLevel="0" collapsed="false">
      <c r="A239" s="11" t="str">
        <f aca="false">Apontamentos!C239</f>
        <v/>
      </c>
      <c r="B239" s="11" t="str">
        <f aca="false">IF(Apontamentos!$C239="","",Apontamentos!A239&amp;"")</f>
        <v/>
      </c>
      <c r="C239" s="11" t="str">
        <f aca="false">IF(B239="","",IFERROR(INDEX(Execuções!$C$2:$C$97,MATCH(B239,Execuções!$A$2:$A$97,0)),"ID?"))</f>
        <v/>
      </c>
      <c r="D239" s="10" t="str">
        <f aca="false">IF(B239="","",IFERROR(INDEX(Execuções!$B$2:$B$97,MATCH(B239,Execuções!$A$2:$A$97,0)),"ID?"))</f>
        <v/>
      </c>
      <c r="E239" s="11" t="str">
        <f aca="false">IF(B239="","",Apontamentos!D239)</f>
        <v/>
      </c>
      <c r="F239" s="11" t="str">
        <f aca="false">IF(B239="","",Apontamentos!E239)</f>
        <v/>
      </c>
      <c r="G239" s="10" t="str">
        <f aca="false">IF(B239="","",Apontamentos!G239&amp;"")</f>
        <v/>
      </c>
      <c r="H239" s="14" t="str">
        <f aca="false">IF('Avaliador 1'!F239='Avaliador 2'!F239,'Avaliador 1'!F239&amp;"","")</f>
        <v/>
      </c>
      <c r="I239" s="14" t="str">
        <f aca="false">IF('Avaliador 1'!G239='Avaliador 2'!G239,'Avaliador 1'!G239&amp;"","")</f>
        <v/>
      </c>
      <c r="J239" s="14" t="str">
        <f aca="false">IF('Avaliador 1'!H239='Avaliador 2'!H239,'Avaliador 1'!H239&amp;"","")</f>
        <v/>
      </c>
      <c r="K239" s="14" t="str">
        <f aca="false">IF('Avaliador 1'!I239='Avaliador 2'!I239,'Avaliador 1'!I239&amp;"","")</f>
        <v/>
      </c>
      <c r="L239" s="13"/>
      <c r="M239" s="13" t="str">
        <f aca="false">IF('Avaliador 1'!J239='Avaliador 2'!J239,'Avaliador 1'!J239&amp;"","")</f>
        <v/>
      </c>
      <c r="N239" s="11" t="str">
        <f aca="false">IF(OR('Avaliador 1'!F239="",'Avaliador 2'!F239=""),"",IF(AND('Avaliador 1'!F239='Avaliador 2'!F239,'Avaliador 1'!G239='Avaliador 2'!G239,'Avaliador 1'!H239='Avaliador 2'!H239,'Avaliador 1'!I239='Avaliador 2'!I239),"Não","Sim"))</f>
        <v/>
      </c>
      <c r="O239" s="14"/>
      <c r="P239" s="10" t="str">
        <f aca="false">IF(LEN(H239)=3,"Defeito encontrado",IF(I239="Sim","Falso alarme",IF(H239="—","Nenhum defeito apontado","")))</f>
        <v/>
      </c>
    </row>
    <row r="240" customFormat="false" ht="15" hidden="false" customHeight="false" outlineLevel="0" collapsed="false">
      <c r="A240" s="11" t="str">
        <f aca="false">Apontamentos!C240</f>
        <v/>
      </c>
      <c r="B240" s="11" t="str">
        <f aca="false">IF(Apontamentos!$C240="","",Apontamentos!A240&amp;"")</f>
        <v/>
      </c>
      <c r="C240" s="11" t="str">
        <f aca="false">IF(B240="","",IFERROR(INDEX(Execuções!$C$2:$C$97,MATCH(B240,Execuções!$A$2:$A$97,0)),"ID?"))</f>
        <v/>
      </c>
      <c r="D240" s="10" t="str">
        <f aca="false">IF(B240="","",IFERROR(INDEX(Execuções!$B$2:$B$97,MATCH(B240,Execuções!$A$2:$A$97,0)),"ID?"))</f>
        <v/>
      </c>
      <c r="E240" s="11" t="str">
        <f aca="false">IF(B240="","",Apontamentos!D240)</f>
        <v/>
      </c>
      <c r="F240" s="11" t="str">
        <f aca="false">IF(B240="","",Apontamentos!E240)</f>
        <v/>
      </c>
      <c r="G240" s="10" t="str">
        <f aca="false">IF(B240="","",Apontamentos!G240&amp;"")</f>
        <v/>
      </c>
      <c r="H240" s="14" t="str">
        <f aca="false">IF('Avaliador 1'!F240='Avaliador 2'!F240,'Avaliador 1'!F240&amp;"","")</f>
        <v/>
      </c>
      <c r="I240" s="14" t="str">
        <f aca="false">IF('Avaliador 1'!G240='Avaliador 2'!G240,'Avaliador 1'!G240&amp;"","")</f>
        <v/>
      </c>
      <c r="J240" s="14" t="str">
        <f aca="false">IF('Avaliador 1'!H240='Avaliador 2'!H240,'Avaliador 1'!H240&amp;"","")</f>
        <v/>
      </c>
      <c r="K240" s="14" t="str">
        <f aca="false">IF('Avaliador 1'!I240='Avaliador 2'!I240,'Avaliador 1'!I240&amp;"","")</f>
        <v/>
      </c>
      <c r="L240" s="13"/>
      <c r="M240" s="13" t="str">
        <f aca="false">IF('Avaliador 1'!J240='Avaliador 2'!J240,'Avaliador 1'!J240&amp;"","")</f>
        <v/>
      </c>
      <c r="N240" s="11" t="str">
        <f aca="false">IF(OR('Avaliador 1'!F240="",'Avaliador 2'!F240=""),"",IF(AND('Avaliador 1'!F240='Avaliador 2'!F240,'Avaliador 1'!G240='Avaliador 2'!G240,'Avaliador 1'!H240='Avaliador 2'!H240,'Avaliador 1'!I240='Avaliador 2'!I240),"Não","Sim"))</f>
        <v/>
      </c>
      <c r="O240" s="14"/>
      <c r="P240" s="10" t="str">
        <f aca="false">IF(LEN(H240)=3,"Defeito encontrado",IF(I240="Sim","Falso alarme",IF(H240="—","Nenhum defeito apontado","")))</f>
        <v/>
      </c>
    </row>
    <row r="241" customFormat="false" ht="15" hidden="false" customHeight="false" outlineLevel="0" collapsed="false">
      <c r="A241" s="11" t="str">
        <f aca="false">Apontamentos!C241</f>
        <v/>
      </c>
      <c r="B241" s="11" t="str">
        <f aca="false">IF(Apontamentos!$C241="","",Apontamentos!A241&amp;"")</f>
        <v/>
      </c>
      <c r="C241" s="11" t="str">
        <f aca="false">IF(B241="","",IFERROR(INDEX(Execuções!$C$2:$C$97,MATCH(B241,Execuções!$A$2:$A$97,0)),"ID?"))</f>
        <v/>
      </c>
      <c r="D241" s="10" t="str">
        <f aca="false">IF(B241="","",IFERROR(INDEX(Execuções!$B$2:$B$97,MATCH(B241,Execuções!$A$2:$A$97,0)),"ID?"))</f>
        <v/>
      </c>
      <c r="E241" s="11" t="str">
        <f aca="false">IF(B241="","",Apontamentos!D241)</f>
        <v/>
      </c>
      <c r="F241" s="11" t="str">
        <f aca="false">IF(B241="","",Apontamentos!E241)</f>
        <v/>
      </c>
      <c r="G241" s="10" t="str">
        <f aca="false">IF(B241="","",Apontamentos!G241&amp;"")</f>
        <v/>
      </c>
      <c r="H241" s="14" t="str">
        <f aca="false">IF('Avaliador 1'!F241='Avaliador 2'!F241,'Avaliador 1'!F241&amp;"","")</f>
        <v/>
      </c>
      <c r="I241" s="14" t="str">
        <f aca="false">IF('Avaliador 1'!G241='Avaliador 2'!G241,'Avaliador 1'!G241&amp;"","")</f>
        <v/>
      </c>
      <c r="J241" s="14" t="str">
        <f aca="false">IF('Avaliador 1'!H241='Avaliador 2'!H241,'Avaliador 1'!H241&amp;"","")</f>
        <v/>
      </c>
      <c r="K241" s="14" t="str">
        <f aca="false">IF('Avaliador 1'!I241='Avaliador 2'!I241,'Avaliador 1'!I241&amp;"","")</f>
        <v/>
      </c>
      <c r="L241" s="13"/>
      <c r="M241" s="13" t="str">
        <f aca="false">IF('Avaliador 1'!J241='Avaliador 2'!J241,'Avaliador 1'!J241&amp;"","")</f>
        <v/>
      </c>
      <c r="N241" s="11" t="str">
        <f aca="false">IF(OR('Avaliador 1'!F241="",'Avaliador 2'!F241=""),"",IF(AND('Avaliador 1'!F241='Avaliador 2'!F241,'Avaliador 1'!G241='Avaliador 2'!G241,'Avaliador 1'!H241='Avaliador 2'!H241,'Avaliador 1'!I241='Avaliador 2'!I241),"Não","Sim"))</f>
        <v/>
      </c>
      <c r="O241" s="14"/>
      <c r="P241" s="10" t="str">
        <f aca="false">IF(LEN(H241)=3,"Defeito encontrado",IF(I241="Sim","Falso alarme",IF(H241="—","Nenhum defeito apontado","")))</f>
        <v/>
      </c>
    </row>
    <row r="242" customFormat="false" ht="15" hidden="false" customHeight="false" outlineLevel="0" collapsed="false">
      <c r="A242" s="11" t="str">
        <f aca="false">Apontamentos!C242</f>
        <v/>
      </c>
      <c r="B242" s="11" t="str">
        <f aca="false">IF(Apontamentos!$C242="","",Apontamentos!A242&amp;"")</f>
        <v/>
      </c>
      <c r="C242" s="11" t="str">
        <f aca="false">IF(B242="","",IFERROR(INDEX(Execuções!$C$2:$C$97,MATCH(B242,Execuções!$A$2:$A$97,0)),"ID?"))</f>
        <v/>
      </c>
      <c r="D242" s="10" t="str">
        <f aca="false">IF(B242="","",IFERROR(INDEX(Execuções!$B$2:$B$97,MATCH(B242,Execuções!$A$2:$A$97,0)),"ID?"))</f>
        <v/>
      </c>
      <c r="E242" s="11" t="str">
        <f aca="false">IF(B242="","",Apontamentos!D242)</f>
        <v/>
      </c>
      <c r="F242" s="11" t="str">
        <f aca="false">IF(B242="","",Apontamentos!E242)</f>
        <v/>
      </c>
      <c r="G242" s="10" t="str">
        <f aca="false">IF(B242="","",Apontamentos!G242&amp;"")</f>
        <v/>
      </c>
      <c r="H242" s="14" t="str">
        <f aca="false">IF('Avaliador 1'!F242='Avaliador 2'!F242,'Avaliador 1'!F242&amp;"","")</f>
        <v/>
      </c>
      <c r="I242" s="14" t="str">
        <f aca="false">IF('Avaliador 1'!G242='Avaliador 2'!G242,'Avaliador 1'!G242&amp;"","")</f>
        <v/>
      </c>
      <c r="J242" s="14" t="str">
        <f aca="false">IF('Avaliador 1'!H242='Avaliador 2'!H242,'Avaliador 1'!H242&amp;"","")</f>
        <v/>
      </c>
      <c r="K242" s="14" t="str">
        <f aca="false">IF('Avaliador 1'!I242='Avaliador 2'!I242,'Avaliador 1'!I242&amp;"","")</f>
        <v/>
      </c>
      <c r="L242" s="13"/>
      <c r="M242" s="13" t="str">
        <f aca="false">IF('Avaliador 1'!J242='Avaliador 2'!J242,'Avaliador 1'!J242&amp;"","")</f>
        <v/>
      </c>
      <c r="N242" s="11" t="str">
        <f aca="false">IF(OR('Avaliador 1'!F242="",'Avaliador 2'!F242=""),"",IF(AND('Avaliador 1'!F242='Avaliador 2'!F242,'Avaliador 1'!G242='Avaliador 2'!G242,'Avaliador 1'!H242='Avaliador 2'!H242,'Avaliador 1'!I242='Avaliador 2'!I242),"Não","Sim"))</f>
        <v/>
      </c>
      <c r="O242" s="14"/>
      <c r="P242" s="10" t="str">
        <f aca="false">IF(LEN(H242)=3,"Defeito encontrado",IF(I242="Sim","Falso alarme",IF(H242="—","Nenhum defeito apontado","")))</f>
        <v/>
      </c>
    </row>
    <row r="243" customFormat="false" ht="15" hidden="false" customHeight="false" outlineLevel="0" collapsed="false">
      <c r="A243" s="11" t="str">
        <f aca="false">Apontamentos!C243</f>
        <v/>
      </c>
      <c r="B243" s="11" t="str">
        <f aca="false">IF(Apontamentos!$C243="","",Apontamentos!A243&amp;"")</f>
        <v/>
      </c>
      <c r="C243" s="11" t="str">
        <f aca="false">IF(B243="","",IFERROR(INDEX(Execuções!$C$2:$C$97,MATCH(B243,Execuções!$A$2:$A$97,0)),"ID?"))</f>
        <v/>
      </c>
      <c r="D243" s="10" t="str">
        <f aca="false">IF(B243="","",IFERROR(INDEX(Execuções!$B$2:$B$97,MATCH(B243,Execuções!$A$2:$A$97,0)),"ID?"))</f>
        <v/>
      </c>
      <c r="E243" s="11" t="str">
        <f aca="false">IF(B243="","",Apontamentos!D243)</f>
        <v/>
      </c>
      <c r="F243" s="11" t="str">
        <f aca="false">IF(B243="","",Apontamentos!E243)</f>
        <v/>
      </c>
      <c r="G243" s="10" t="str">
        <f aca="false">IF(B243="","",Apontamentos!G243&amp;"")</f>
        <v/>
      </c>
      <c r="H243" s="14" t="str">
        <f aca="false">IF('Avaliador 1'!F243='Avaliador 2'!F243,'Avaliador 1'!F243&amp;"","")</f>
        <v/>
      </c>
      <c r="I243" s="14" t="str">
        <f aca="false">IF('Avaliador 1'!G243='Avaliador 2'!G243,'Avaliador 1'!G243&amp;"","")</f>
        <v/>
      </c>
      <c r="J243" s="14" t="str">
        <f aca="false">IF('Avaliador 1'!H243='Avaliador 2'!H243,'Avaliador 1'!H243&amp;"","")</f>
        <v/>
      </c>
      <c r="K243" s="14" t="str">
        <f aca="false">IF('Avaliador 1'!I243='Avaliador 2'!I243,'Avaliador 1'!I243&amp;"","")</f>
        <v/>
      </c>
      <c r="L243" s="13"/>
      <c r="M243" s="13" t="str">
        <f aca="false">IF('Avaliador 1'!J243='Avaliador 2'!J243,'Avaliador 1'!J243&amp;"","")</f>
        <v/>
      </c>
      <c r="N243" s="11" t="str">
        <f aca="false">IF(OR('Avaliador 1'!F243="",'Avaliador 2'!F243=""),"",IF(AND('Avaliador 1'!F243='Avaliador 2'!F243,'Avaliador 1'!G243='Avaliador 2'!G243,'Avaliador 1'!H243='Avaliador 2'!H243,'Avaliador 1'!I243='Avaliador 2'!I243),"Não","Sim"))</f>
        <v/>
      </c>
      <c r="O243" s="14"/>
      <c r="P243" s="10" t="str">
        <f aca="false">IF(LEN(H243)=3,"Defeito encontrado",IF(I243="Sim","Falso alarme",IF(H243="—","Nenhum defeito apontado","")))</f>
        <v/>
      </c>
    </row>
    <row r="244" customFormat="false" ht="15" hidden="false" customHeight="false" outlineLevel="0" collapsed="false">
      <c r="A244" s="11" t="str">
        <f aca="false">Apontamentos!C244</f>
        <v/>
      </c>
      <c r="B244" s="11" t="str">
        <f aca="false">IF(Apontamentos!$C244="","",Apontamentos!A244&amp;"")</f>
        <v/>
      </c>
      <c r="C244" s="11" t="str">
        <f aca="false">IF(B244="","",IFERROR(INDEX(Execuções!$C$2:$C$97,MATCH(B244,Execuções!$A$2:$A$97,0)),"ID?"))</f>
        <v/>
      </c>
      <c r="D244" s="10" t="str">
        <f aca="false">IF(B244="","",IFERROR(INDEX(Execuções!$B$2:$B$97,MATCH(B244,Execuções!$A$2:$A$97,0)),"ID?"))</f>
        <v/>
      </c>
      <c r="E244" s="11" t="str">
        <f aca="false">IF(B244="","",Apontamentos!D244)</f>
        <v/>
      </c>
      <c r="F244" s="11" t="str">
        <f aca="false">IF(B244="","",Apontamentos!E244)</f>
        <v/>
      </c>
      <c r="G244" s="10" t="str">
        <f aca="false">IF(B244="","",Apontamentos!G244&amp;"")</f>
        <v/>
      </c>
      <c r="H244" s="14" t="str">
        <f aca="false">IF('Avaliador 1'!F244='Avaliador 2'!F244,'Avaliador 1'!F244&amp;"","")</f>
        <v/>
      </c>
      <c r="I244" s="14" t="str">
        <f aca="false">IF('Avaliador 1'!G244='Avaliador 2'!G244,'Avaliador 1'!G244&amp;"","")</f>
        <v/>
      </c>
      <c r="J244" s="14" t="str">
        <f aca="false">IF('Avaliador 1'!H244='Avaliador 2'!H244,'Avaliador 1'!H244&amp;"","")</f>
        <v/>
      </c>
      <c r="K244" s="14" t="str">
        <f aca="false">IF('Avaliador 1'!I244='Avaliador 2'!I244,'Avaliador 1'!I244&amp;"","")</f>
        <v/>
      </c>
      <c r="L244" s="13"/>
      <c r="M244" s="13" t="str">
        <f aca="false">IF('Avaliador 1'!J244='Avaliador 2'!J244,'Avaliador 1'!J244&amp;"","")</f>
        <v/>
      </c>
      <c r="N244" s="11" t="str">
        <f aca="false">IF(OR('Avaliador 1'!F244="",'Avaliador 2'!F244=""),"",IF(AND('Avaliador 1'!F244='Avaliador 2'!F244,'Avaliador 1'!G244='Avaliador 2'!G244,'Avaliador 1'!H244='Avaliador 2'!H244,'Avaliador 1'!I244='Avaliador 2'!I244),"Não","Sim"))</f>
        <v/>
      </c>
      <c r="O244" s="14"/>
      <c r="P244" s="10" t="str">
        <f aca="false">IF(LEN(H244)=3,"Defeito encontrado",IF(I244="Sim","Falso alarme",IF(H244="—","Nenhum defeito apontado","")))</f>
        <v/>
      </c>
    </row>
    <row r="245" customFormat="false" ht="15" hidden="false" customHeight="false" outlineLevel="0" collapsed="false">
      <c r="A245" s="11" t="str">
        <f aca="false">Apontamentos!C245</f>
        <v/>
      </c>
      <c r="B245" s="11" t="str">
        <f aca="false">IF(Apontamentos!$C245="","",Apontamentos!A245&amp;"")</f>
        <v/>
      </c>
      <c r="C245" s="11" t="str">
        <f aca="false">IF(B245="","",IFERROR(INDEX(Execuções!$C$2:$C$97,MATCH(B245,Execuções!$A$2:$A$97,0)),"ID?"))</f>
        <v/>
      </c>
      <c r="D245" s="10" t="str">
        <f aca="false">IF(B245="","",IFERROR(INDEX(Execuções!$B$2:$B$97,MATCH(B245,Execuções!$A$2:$A$97,0)),"ID?"))</f>
        <v/>
      </c>
      <c r="E245" s="11" t="str">
        <f aca="false">IF(B245="","",Apontamentos!D245)</f>
        <v/>
      </c>
      <c r="F245" s="11" t="str">
        <f aca="false">IF(B245="","",Apontamentos!E245)</f>
        <v/>
      </c>
      <c r="G245" s="10" t="str">
        <f aca="false">IF(B245="","",Apontamentos!G245&amp;"")</f>
        <v/>
      </c>
      <c r="H245" s="14" t="str">
        <f aca="false">IF('Avaliador 1'!F245='Avaliador 2'!F245,'Avaliador 1'!F245&amp;"","")</f>
        <v/>
      </c>
      <c r="I245" s="14" t="str">
        <f aca="false">IF('Avaliador 1'!G245='Avaliador 2'!G245,'Avaliador 1'!G245&amp;"","")</f>
        <v/>
      </c>
      <c r="J245" s="14" t="str">
        <f aca="false">IF('Avaliador 1'!H245='Avaliador 2'!H245,'Avaliador 1'!H245&amp;"","")</f>
        <v/>
      </c>
      <c r="K245" s="14" t="str">
        <f aca="false">IF('Avaliador 1'!I245='Avaliador 2'!I245,'Avaliador 1'!I245&amp;"","")</f>
        <v/>
      </c>
      <c r="L245" s="13"/>
      <c r="M245" s="13" t="str">
        <f aca="false">IF('Avaliador 1'!J245='Avaliador 2'!J245,'Avaliador 1'!J245&amp;"","")</f>
        <v/>
      </c>
      <c r="N245" s="11" t="str">
        <f aca="false">IF(OR('Avaliador 1'!F245="",'Avaliador 2'!F245=""),"",IF(AND('Avaliador 1'!F245='Avaliador 2'!F245,'Avaliador 1'!G245='Avaliador 2'!G245,'Avaliador 1'!H245='Avaliador 2'!H245,'Avaliador 1'!I245='Avaliador 2'!I245),"Não","Sim"))</f>
        <v/>
      </c>
      <c r="O245" s="14"/>
      <c r="P245" s="10" t="str">
        <f aca="false">IF(LEN(H245)=3,"Defeito encontrado",IF(I245="Sim","Falso alarme",IF(H245="—","Nenhum defeito apontado","")))</f>
        <v/>
      </c>
    </row>
    <row r="246" customFormat="false" ht="15" hidden="false" customHeight="false" outlineLevel="0" collapsed="false">
      <c r="A246" s="11" t="str">
        <f aca="false">Apontamentos!C246</f>
        <v/>
      </c>
      <c r="B246" s="11" t="str">
        <f aca="false">IF(Apontamentos!$C246="","",Apontamentos!A246&amp;"")</f>
        <v/>
      </c>
      <c r="C246" s="11" t="str">
        <f aca="false">IF(B246="","",IFERROR(INDEX(Execuções!$C$2:$C$97,MATCH(B246,Execuções!$A$2:$A$97,0)),"ID?"))</f>
        <v/>
      </c>
      <c r="D246" s="10" t="str">
        <f aca="false">IF(B246="","",IFERROR(INDEX(Execuções!$B$2:$B$97,MATCH(B246,Execuções!$A$2:$A$97,0)),"ID?"))</f>
        <v/>
      </c>
      <c r="E246" s="11" t="str">
        <f aca="false">IF(B246="","",Apontamentos!D246)</f>
        <v/>
      </c>
      <c r="F246" s="11" t="str">
        <f aca="false">IF(B246="","",Apontamentos!E246)</f>
        <v/>
      </c>
      <c r="G246" s="10" t="str">
        <f aca="false">IF(B246="","",Apontamentos!G246&amp;"")</f>
        <v/>
      </c>
      <c r="H246" s="14" t="str">
        <f aca="false">IF('Avaliador 1'!F246='Avaliador 2'!F246,'Avaliador 1'!F246&amp;"","")</f>
        <v/>
      </c>
      <c r="I246" s="14" t="str">
        <f aca="false">IF('Avaliador 1'!G246='Avaliador 2'!G246,'Avaliador 1'!G246&amp;"","")</f>
        <v/>
      </c>
      <c r="J246" s="14" t="str">
        <f aca="false">IF('Avaliador 1'!H246='Avaliador 2'!H246,'Avaliador 1'!H246&amp;"","")</f>
        <v/>
      </c>
      <c r="K246" s="14" t="str">
        <f aca="false">IF('Avaliador 1'!I246='Avaliador 2'!I246,'Avaliador 1'!I246&amp;"","")</f>
        <v/>
      </c>
      <c r="L246" s="13"/>
      <c r="M246" s="13" t="str">
        <f aca="false">IF('Avaliador 1'!J246='Avaliador 2'!J246,'Avaliador 1'!J246&amp;"","")</f>
        <v/>
      </c>
      <c r="N246" s="11" t="str">
        <f aca="false">IF(OR('Avaliador 1'!F246="",'Avaliador 2'!F246=""),"",IF(AND('Avaliador 1'!F246='Avaliador 2'!F246,'Avaliador 1'!G246='Avaliador 2'!G246,'Avaliador 1'!H246='Avaliador 2'!H246,'Avaliador 1'!I246='Avaliador 2'!I246),"Não","Sim"))</f>
        <v/>
      </c>
      <c r="O246" s="14"/>
      <c r="P246" s="10" t="str">
        <f aca="false">IF(LEN(H246)=3,"Defeito encontrado",IF(I246="Sim","Falso alarme",IF(H246="—","Nenhum defeito apontado","")))</f>
        <v/>
      </c>
    </row>
    <row r="247" customFormat="false" ht="15" hidden="false" customHeight="false" outlineLevel="0" collapsed="false">
      <c r="A247" s="11" t="str">
        <f aca="false">Apontamentos!C247</f>
        <v/>
      </c>
      <c r="B247" s="11" t="str">
        <f aca="false">IF(Apontamentos!$C247="","",Apontamentos!A247&amp;"")</f>
        <v/>
      </c>
      <c r="C247" s="11" t="str">
        <f aca="false">IF(B247="","",IFERROR(INDEX(Execuções!$C$2:$C$97,MATCH(B247,Execuções!$A$2:$A$97,0)),"ID?"))</f>
        <v/>
      </c>
      <c r="D247" s="10" t="str">
        <f aca="false">IF(B247="","",IFERROR(INDEX(Execuções!$B$2:$B$97,MATCH(B247,Execuções!$A$2:$A$97,0)),"ID?"))</f>
        <v/>
      </c>
      <c r="E247" s="11" t="str">
        <f aca="false">IF(B247="","",Apontamentos!D247)</f>
        <v/>
      </c>
      <c r="F247" s="11" t="str">
        <f aca="false">IF(B247="","",Apontamentos!E247)</f>
        <v/>
      </c>
      <c r="G247" s="10" t="str">
        <f aca="false">IF(B247="","",Apontamentos!G247&amp;"")</f>
        <v/>
      </c>
      <c r="H247" s="14" t="str">
        <f aca="false">IF('Avaliador 1'!F247='Avaliador 2'!F247,'Avaliador 1'!F247&amp;"","")</f>
        <v/>
      </c>
      <c r="I247" s="14" t="str">
        <f aca="false">IF('Avaliador 1'!G247='Avaliador 2'!G247,'Avaliador 1'!G247&amp;"","")</f>
        <v/>
      </c>
      <c r="J247" s="14" t="str">
        <f aca="false">IF('Avaliador 1'!H247='Avaliador 2'!H247,'Avaliador 1'!H247&amp;"","")</f>
        <v/>
      </c>
      <c r="K247" s="14" t="str">
        <f aca="false">IF('Avaliador 1'!I247='Avaliador 2'!I247,'Avaliador 1'!I247&amp;"","")</f>
        <v/>
      </c>
      <c r="L247" s="13"/>
      <c r="M247" s="13" t="str">
        <f aca="false">IF('Avaliador 1'!J247='Avaliador 2'!J247,'Avaliador 1'!J247&amp;"","")</f>
        <v/>
      </c>
      <c r="N247" s="11" t="str">
        <f aca="false">IF(OR('Avaliador 1'!F247="",'Avaliador 2'!F247=""),"",IF(AND('Avaliador 1'!F247='Avaliador 2'!F247,'Avaliador 1'!G247='Avaliador 2'!G247,'Avaliador 1'!H247='Avaliador 2'!H247,'Avaliador 1'!I247='Avaliador 2'!I247),"Não","Sim"))</f>
        <v/>
      </c>
      <c r="O247" s="14"/>
      <c r="P247" s="10" t="str">
        <f aca="false">IF(LEN(H247)=3,"Defeito encontrado",IF(I247="Sim","Falso alarme",IF(H247="—","Nenhum defeito apontado","")))</f>
        <v/>
      </c>
    </row>
    <row r="248" customFormat="false" ht="15" hidden="false" customHeight="false" outlineLevel="0" collapsed="false">
      <c r="A248" s="11" t="str">
        <f aca="false">Apontamentos!C248</f>
        <v/>
      </c>
      <c r="B248" s="11" t="str">
        <f aca="false">IF(Apontamentos!$C248="","",Apontamentos!A248&amp;"")</f>
        <v/>
      </c>
      <c r="C248" s="11" t="str">
        <f aca="false">IF(B248="","",IFERROR(INDEX(Execuções!$C$2:$C$97,MATCH(B248,Execuções!$A$2:$A$97,0)),"ID?"))</f>
        <v/>
      </c>
      <c r="D248" s="10" t="str">
        <f aca="false">IF(B248="","",IFERROR(INDEX(Execuções!$B$2:$B$97,MATCH(B248,Execuções!$A$2:$A$97,0)),"ID?"))</f>
        <v/>
      </c>
      <c r="E248" s="11" t="str">
        <f aca="false">IF(B248="","",Apontamentos!D248)</f>
        <v/>
      </c>
      <c r="F248" s="11" t="str">
        <f aca="false">IF(B248="","",Apontamentos!E248)</f>
        <v/>
      </c>
      <c r="G248" s="10" t="str">
        <f aca="false">IF(B248="","",Apontamentos!G248&amp;"")</f>
        <v/>
      </c>
      <c r="H248" s="14" t="str">
        <f aca="false">IF('Avaliador 1'!F248='Avaliador 2'!F248,'Avaliador 1'!F248&amp;"","")</f>
        <v/>
      </c>
      <c r="I248" s="14" t="str">
        <f aca="false">IF('Avaliador 1'!G248='Avaliador 2'!G248,'Avaliador 1'!G248&amp;"","")</f>
        <v/>
      </c>
      <c r="J248" s="14" t="str">
        <f aca="false">IF('Avaliador 1'!H248='Avaliador 2'!H248,'Avaliador 1'!H248&amp;"","")</f>
        <v/>
      </c>
      <c r="K248" s="14" t="str">
        <f aca="false">IF('Avaliador 1'!I248='Avaliador 2'!I248,'Avaliador 1'!I248&amp;"","")</f>
        <v/>
      </c>
      <c r="L248" s="13"/>
      <c r="M248" s="13" t="str">
        <f aca="false">IF('Avaliador 1'!J248='Avaliador 2'!J248,'Avaliador 1'!J248&amp;"","")</f>
        <v/>
      </c>
      <c r="N248" s="11" t="str">
        <f aca="false">IF(OR('Avaliador 1'!F248="",'Avaliador 2'!F248=""),"",IF(AND('Avaliador 1'!F248='Avaliador 2'!F248,'Avaliador 1'!G248='Avaliador 2'!G248,'Avaliador 1'!H248='Avaliador 2'!H248,'Avaliador 1'!I248='Avaliador 2'!I248),"Não","Sim"))</f>
        <v/>
      </c>
      <c r="O248" s="14"/>
      <c r="P248" s="10" t="str">
        <f aca="false">IF(LEN(H248)=3,"Defeito encontrado",IF(I248="Sim","Falso alarme",IF(H248="—","Nenhum defeito apontado","")))</f>
        <v/>
      </c>
    </row>
    <row r="249" customFormat="false" ht="15" hidden="false" customHeight="false" outlineLevel="0" collapsed="false">
      <c r="A249" s="11" t="str">
        <f aca="false">Apontamentos!C249</f>
        <v/>
      </c>
      <c r="B249" s="11" t="str">
        <f aca="false">IF(Apontamentos!$C249="","",Apontamentos!A249&amp;"")</f>
        <v/>
      </c>
      <c r="C249" s="11" t="str">
        <f aca="false">IF(B249="","",IFERROR(INDEX(Execuções!$C$2:$C$97,MATCH(B249,Execuções!$A$2:$A$97,0)),"ID?"))</f>
        <v/>
      </c>
      <c r="D249" s="10" t="str">
        <f aca="false">IF(B249="","",IFERROR(INDEX(Execuções!$B$2:$B$97,MATCH(B249,Execuções!$A$2:$A$97,0)),"ID?"))</f>
        <v/>
      </c>
      <c r="E249" s="11" t="str">
        <f aca="false">IF(B249="","",Apontamentos!D249)</f>
        <v/>
      </c>
      <c r="F249" s="11" t="str">
        <f aca="false">IF(B249="","",Apontamentos!E249)</f>
        <v/>
      </c>
      <c r="G249" s="10" t="str">
        <f aca="false">IF(B249="","",Apontamentos!G249&amp;"")</f>
        <v/>
      </c>
      <c r="H249" s="14" t="str">
        <f aca="false">IF('Avaliador 1'!F249='Avaliador 2'!F249,'Avaliador 1'!F249&amp;"","")</f>
        <v/>
      </c>
      <c r="I249" s="14" t="str">
        <f aca="false">IF('Avaliador 1'!G249='Avaliador 2'!G249,'Avaliador 1'!G249&amp;"","")</f>
        <v/>
      </c>
      <c r="J249" s="14" t="str">
        <f aca="false">IF('Avaliador 1'!H249='Avaliador 2'!H249,'Avaliador 1'!H249&amp;"","")</f>
        <v/>
      </c>
      <c r="K249" s="14" t="str">
        <f aca="false">IF('Avaliador 1'!I249='Avaliador 2'!I249,'Avaliador 1'!I249&amp;"","")</f>
        <v/>
      </c>
      <c r="L249" s="13"/>
      <c r="M249" s="13" t="str">
        <f aca="false">IF('Avaliador 1'!J249='Avaliador 2'!J249,'Avaliador 1'!J249&amp;"","")</f>
        <v/>
      </c>
      <c r="N249" s="11" t="str">
        <f aca="false">IF(OR('Avaliador 1'!F249="",'Avaliador 2'!F249=""),"",IF(AND('Avaliador 1'!F249='Avaliador 2'!F249,'Avaliador 1'!G249='Avaliador 2'!G249,'Avaliador 1'!H249='Avaliador 2'!H249,'Avaliador 1'!I249='Avaliador 2'!I249),"Não","Sim"))</f>
        <v/>
      </c>
      <c r="O249" s="14"/>
      <c r="P249" s="10" t="str">
        <f aca="false">IF(LEN(H249)=3,"Defeito encontrado",IF(I249="Sim","Falso alarme",IF(H249="—","Nenhum defeito apontado","")))</f>
        <v/>
      </c>
    </row>
    <row r="250" customFormat="false" ht="15" hidden="false" customHeight="false" outlineLevel="0" collapsed="false">
      <c r="A250" s="11" t="str">
        <f aca="false">Apontamentos!C250</f>
        <v/>
      </c>
      <c r="B250" s="11" t="str">
        <f aca="false">IF(Apontamentos!$C250="","",Apontamentos!A250&amp;"")</f>
        <v/>
      </c>
      <c r="C250" s="11" t="str">
        <f aca="false">IF(B250="","",IFERROR(INDEX(Execuções!$C$2:$C$97,MATCH(B250,Execuções!$A$2:$A$97,0)),"ID?"))</f>
        <v/>
      </c>
      <c r="D250" s="10" t="str">
        <f aca="false">IF(B250="","",IFERROR(INDEX(Execuções!$B$2:$B$97,MATCH(B250,Execuções!$A$2:$A$97,0)),"ID?"))</f>
        <v/>
      </c>
      <c r="E250" s="11" t="str">
        <f aca="false">IF(B250="","",Apontamentos!D250)</f>
        <v/>
      </c>
      <c r="F250" s="11" t="str">
        <f aca="false">IF(B250="","",Apontamentos!E250)</f>
        <v/>
      </c>
      <c r="G250" s="10" t="str">
        <f aca="false">IF(B250="","",Apontamentos!G250&amp;"")</f>
        <v/>
      </c>
      <c r="H250" s="14" t="str">
        <f aca="false">IF('Avaliador 1'!F250='Avaliador 2'!F250,'Avaliador 1'!F250&amp;"","")</f>
        <v/>
      </c>
      <c r="I250" s="14" t="str">
        <f aca="false">IF('Avaliador 1'!G250='Avaliador 2'!G250,'Avaliador 1'!G250&amp;"","")</f>
        <v/>
      </c>
      <c r="J250" s="14" t="str">
        <f aca="false">IF('Avaliador 1'!H250='Avaliador 2'!H250,'Avaliador 1'!H250&amp;"","")</f>
        <v/>
      </c>
      <c r="K250" s="14" t="str">
        <f aca="false">IF('Avaliador 1'!I250='Avaliador 2'!I250,'Avaliador 1'!I250&amp;"","")</f>
        <v/>
      </c>
      <c r="L250" s="13"/>
      <c r="M250" s="13" t="str">
        <f aca="false">IF('Avaliador 1'!J250='Avaliador 2'!J250,'Avaliador 1'!J250&amp;"","")</f>
        <v/>
      </c>
      <c r="N250" s="11" t="str">
        <f aca="false">IF(OR('Avaliador 1'!F250="",'Avaliador 2'!F250=""),"",IF(AND('Avaliador 1'!F250='Avaliador 2'!F250,'Avaliador 1'!G250='Avaliador 2'!G250,'Avaliador 1'!H250='Avaliador 2'!H250,'Avaliador 1'!I250='Avaliador 2'!I250),"Não","Sim"))</f>
        <v/>
      </c>
      <c r="O250" s="14"/>
      <c r="P250" s="10" t="str">
        <f aca="false">IF(LEN(H250)=3,"Defeito encontrado",IF(I250="Sim","Falso alarme",IF(H250="—","Nenhum defeito apontado","")))</f>
        <v/>
      </c>
    </row>
    <row r="251" customFormat="false" ht="15" hidden="false" customHeight="false" outlineLevel="0" collapsed="false">
      <c r="A251" s="11" t="str">
        <f aca="false">Apontamentos!C251</f>
        <v/>
      </c>
      <c r="B251" s="11" t="str">
        <f aca="false">IF(Apontamentos!$C251="","",Apontamentos!A251&amp;"")</f>
        <v/>
      </c>
      <c r="C251" s="11" t="str">
        <f aca="false">IF(B251="","",IFERROR(INDEX(Execuções!$C$2:$C$97,MATCH(B251,Execuções!$A$2:$A$97,0)),"ID?"))</f>
        <v/>
      </c>
      <c r="D251" s="10" t="str">
        <f aca="false">IF(B251="","",IFERROR(INDEX(Execuções!$B$2:$B$97,MATCH(B251,Execuções!$A$2:$A$97,0)),"ID?"))</f>
        <v/>
      </c>
      <c r="E251" s="11" t="str">
        <f aca="false">IF(B251="","",Apontamentos!D251)</f>
        <v/>
      </c>
      <c r="F251" s="11" t="str">
        <f aca="false">IF(B251="","",Apontamentos!E251)</f>
        <v/>
      </c>
      <c r="G251" s="10" t="str">
        <f aca="false">IF(B251="","",Apontamentos!G251&amp;"")</f>
        <v/>
      </c>
      <c r="H251" s="14" t="str">
        <f aca="false">IF('Avaliador 1'!F251='Avaliador 2'!F251,'Avaliador 1'!F251&amp;"","")</f>
        <v/>
      </c>
      <c r="I251" s="14" t="str">
        <f aca="false">IF('Avaliador 1'!G251='Avaliador 2'!G251,'Avaliador 1'!G251&amp;"","")</f>
        <v/>
      </c>
      <c r="J251" s="14" t="str">
        <f aca="false">IF('Avaliador 1'!H251='Avaliador 2'!H251,'Avaliador 1'!H251&amp;"","")</f>
        <v/>
      </c>
      <c r="K251" s="14" t="str">
        <f aca="false">IF('Avaliador 1'!I251='Avaliador 2'!I251,'Avaliador 1'!I251&amp;"","")</f>
        <v/>
      </c>
      <c r="L251" s="13"/>
      <c r="M251" s="13" t="str">
        <f aca="false">IF('Avaliador 1'!J251='Avaliador 2'!J251,'Avaliador 1'!J251&amp;"","")</f>
        <v/>
      </c>
      <c r="N251" s="11" t="str">
        <f aca="false">IF(OR('Avaliador 1'!F251="",'Avaliador 2'!F251=""),"",IF(AND('Avaliador 1'!F251='Avaliador 2'!F251,'Avaliador 1'!G251='Avaliador 2'!G251,'Avaliador 1'!H251='Avaliador 2'!H251,'Avaliador 1'!I251='Avaliador 2'!I251),"Não","Sim"))</f>
        <v/>
      </c>
      <c r="O251" s="14"/>
      <c r="P251" s="10" t="str">
        <f aca="false">IF(LEN(H251)=3,"Defeito encontrado",IF(I251="Sim","Falso alarme",IF(H251="—","Nenhum defeito apontado","")))</f>
        <v/>
      </c>
    </row>
    <row r="252" customFormat="false" ht="15" hidden="false" customHeight="false" outlineLevel="0" collapsed="false">
      <c r="A252" s="11" t="str">
        <f aca="false">Apontamentos!C252</f>
        <v/>
      </c>
      <c r="B252" s="11" t="str">
        <f aca="false">IF(Apontamentos!$C252="","",Apontamentos!A252&amp;"")</f>
        <v/>
      </c>
      <c r="C252" s="11" t="str">
        <f aca="false">IF(B252="","",IFERROR(INDEX(Execuções!$C$2:$C$97,MATCH(B252,Execuções!$A$2:$A$97,0)),"ID?"))</f>
        <v/>
      </c>
      <c r="D252" s="10" t="str">
        <f aca="false">IF(B252="","",IFERROR(INDEX(Execuções!$B$2:$B$97,MATCH(B252,Execuções!$A$2:$A$97,0)),"ID?"))</f>
        <v/>
      </c>
      <c r="E252" s="11" t="str">
        <f aca="false">IF(B252="","",Apontamentos!D252)</f>
        <v/>
      </c>
      <c r="F252" s="11" t="str">
        <f aca="false">IF(B252="","",Apontamentos!E252)</f>
        <v/>
      </c>
      <c r="G252" s="10" t="str">
        <f aca="false">IF(B252="","",Apontamentos!G252&amp;"")</f>
        <v/>
      </c>
      <c r="H252" s="14" t="str">
        <f aca="false">IF('Avaliador 1'!F252='Avaliador 2'!F252,'Avaliador 1'!F252&amp;"","")</f>
        <v/>
      </c>
      <c r="I252" s="14" t="str">
        <f aca="false">IF('Avaliador 1'!G252='Avaliador 2'!G252,'Avaliador 1'!G252&amp;"","")</f>
        <v/>
      </c>
      <c r="J252" s="14" t="str">
        <f aca="false">IF('Avaliador 1'!H252='Avaliador 2'!H252,'Avaliador 1'!H252&amp;"","")</f>
        <v/>
      </c>
      <c r="K252" s="14" t="str">
        <f aca="false">IF('Avaliador 1'!I252='Avaliador 2'!I252,'Avaliador 1'!I252&amp;"","")</f>
        <v/>
      </c>
      <c r="L252" s="13"/>
      <c r="M252" s="13" t="str">
        <f aca="false">IF('Avaliador 1'!J252='Avaliador 2'!J252,'Avaliador 1'!J252&amp;"","")</f>
        <v/>
      </c>
      <c r="N252" s="11" t="str">
        <f aca="false">IF(OR('Avaliador 1'!F252="",'Avaliador 2'!F252=""),"",IF(AND('Avaliador 1'!F252='Avaliador 2'!F252,'Avaliador 1'!G252='Avaliador 2'!G252,'Avaliador 1'!H252='Avaliador 2'!H252,'Avaliador 1'!I252='Avaliador 2'!I252),"Não","Sim"))</f>
        <v/>
      </c>
      <c r="O252" s="14"/>
      <c r="P252" s="10" t="str">
        <f aca="false">IF(LEN(H252)=3,"Defeito encontrado",IF(I252="Sim","Falso alarme",IF(H252="—","Nenhum defeito apontado","")))</f>
        <v/>
      </c>
    </row>
    <row r="253" customFormat="false" ht="15" hidden="false" customHeight="false" outlineLevel="0" collapsed="false">
      <c r="A253" s="11" t="str">
        <f aca="false">Apontamentos!C253</f>
        <v/>
      </c>
      <c r="B253" s="11" t="str">
        <f aca="false">IF(Apontamentos!$C253="","",Apontamentos!A253&amp;"")</f>
        <v/>
      </c>
      <c r="C253" s="11" t="str">
        <f aca="false">IF(B253="","",IFERROR(INDEX(Execuções!$C$2:$C$97,MATCH(B253,Execuções!$A$2:$A$97,0)),"ID?"))</f>
        <v/>
      </c>
      <c r="D253" s="10" t="str">
        <f aca="false">IF(B253="","",IFERROR(INDEX(Execuções!$B$2:$B$97,MATCH(B253,Execuções!$A$2:$A$97,0)),"ID?"))</f>
        <v/>
      </c>
      <c r="E253" s="11" t="str">
        <f aca="false">IF(B253="","",Apontamentos!D253)</f>
        <v/>
      </c>
      <c r="F253" s="11" t="str">
        <f aca="false">IF(B253="","",Apontamentos!E253)</f>
        <v/>
      </c>
      <c r="G253" s="10" t="str">
        <f aca="false">IF(B253="","",Apontamentos!G253&amp;"")</f>
        <v/>
      </c>
      <c r="H253" s="14" t="str">
        <f aca="false">IF('Avaliador 1'!F253='Avaliador 2'!F253,'Avaliador 1'!F253&amp;"","")</f>
        <v/>
      </c>
      <c r="I253" s="14" t="str">
        <f aca="false">IF('Avaliador 1'!G253='Avaliador 2'!G253,'Avaliador 1'!G253&amp;"","")</f>
        <v/>
      </c>
      <c r="J253" s="14" t="str">
        <f aca="false">IF('Avaliador 1'!H253='Avaliador 2'!H253,'Avaliador 1'!H253&amp;"","")</f>
        <v/>
      </c>
      <c r="K253" s="14" t="str">
        <f aca="false">IF('Avaliador 1'!I253='Avaliador 2'!I253,'Avaliador 1'!I253&amp;"","")</f>
        <v/>
      </c>
      <c r="L253" s="13"/>
      <c r="M253" s="13" t="str">
        <f aca="false">IF('Avaliador 1'!J253='Avaliador 2'!J253,'Avaliador 1'!J253&amp;"","")</f>
        <v/>
      </c>
      <c r="N253" s="11" t="str">
        <f aca="false">IF(OR('Avaliador 1'!F253="",'Avaliador 2'!F253=""),"",IF(AND('Avaliador 1'!F253='Avaliador 2'!F253,'Avaliador 1'!G253='Avaliador 2'!G253,'Avaliador 1'!H253='Avaliador 2'!H253,'Avaliador 1'!I253='Avaliador 2'!I253),"Não","Sim"))</f>
        <v/>
      </c>
      <c r="O253" s="14"/>
      <c r="P253" s="10" t="str">
        <f aca="false">IF(LEN(H253)=3,"Defeito encontrado",IF(I253="Sim","Falso alarme",IF(H253="—","Nenhum defeito apontado","")))</f>
        <v/>
      </c>
    </row>
    <row r="254" customFormat="false" ht="15" hidden="false" customHeight="false" outlineLevel="0" collapsed="false">
      <c r="A254" s="11" t="str">
        <f aca="false">Apontamentos!C254</f>
        <v/>
      </c>
      <c r="B254" s="11" t="str">
        <f aca="false">IF(Apontamentos!$C254="","",Apontamentos!A254&amp;"")</f>
        <v/>
      </c>
      <c r="C254" s="11" t="str">
        <f aca="false">IF(B254="","",IFERROR(INDEX(Execuções!$C$2:$C$97,MATCH(B254,Execuções!$A$2:$A$97,0)),"ID?"))</f>
        <v/>
      </c>
      <c r="D254" s="10" t="str">
        <f aca="false">IF(B254="","",IFERROR(INDEX(Execuções!$B$2:$B$97,MATCH(B254,Execuções!$A$2:$A$97,0)),"ID?"))</f>
        <v/>
      </c>
      <c r="E254" s="11" t="str">
        <f aca="false">IF(B254="","",Apontamentos!D254)</f>
        <v/>
      </c>
      <c r="F254" s="11" t="str">
        <f aca="false">IF(B254="","",Apontamentos!E254)</f>
        <v/>
      </c>
      <c r="G254" s="10" t="str">
        <f aca="false">IF(B254="","",Apontamentos!G254&amp;"")</f>
        <v/>
      </c>
      <c r="H254" s="14" t="str">
        <f aca="false">IF('Avaliador 1'!F254='Avaliador 2'!F254,'Avaliador 1'!F254&amp;"","")</f>
        <v/>
      </c>
      <c r="I254" s="14" t="str">
        <f aca="false">IF('Avaliador 1'!G254='Avaliador 2'!G254,'Avaliador 1'!G254&amp;"","")</f>
        <v/>
      </c>
      <c r="J254" s="14" t="str">
        <f aca="false">IF('Avaliador 1'!H254='Avaliador 2'!H254,'Avaliador 1'!H254&amp;"","")</f>
        <v/>
      </c>
      <c r="K254" s="14" t="str">
        <f aca="false">IF('Avaliador 1'!I254='Avaliador 2'!I254,'Avaliador 1'!I254&amp;"","")</f>
        <v/>
      </c>
      <c r="L254" s="13"/>
      <c r="M254" s="13" t="str">
        <f aca="false">IF('Avaliador 1'!J254='Avaliador 2'!J254,'Avaliador 1'!J254&amp;"","")</f>
        <v/>
      </c>
      <c r="N254" s="11" t="str">
        <f aca="false">IF(OR('Avaliador 1'!F254="",'Avaliador 2'!F254=""),"",IF(AND('Avaliador 1'!F254='Avaliador 2'!F254,'Avaliador 1'!G254='Avaliador 2'!G254,'Avaliador 1'!H254='Avaliador 2'!H254,'Avaliador 1'!I254='Avaliador 2'!I254),"Não","Sim"))</f>
        <v/>
      </c>
      <c r="O254" s="14"/>
      <c r="P254" s="10" t="str">
        <f aca="false">IF(LEN(H254)=3,"Defeito encontrado",IF(I254="Sim","Falso alarme",IF(H254="—","Nenhum defeito apontado","")))</f>
        <v/>
      </c>
    </row>
    <row r="255" customFormat="false" ht="15" hidden="false" customHeight="false" outlineLevel="0" collapsed="false">
      <c r="A255" s="11" t="str">
        <f aca="false">Apontamentos!C255</f>
        <v/>
      </c>
      <c r="B255" s="11" t="str">
        <f aca="false">IF(Apontamentos!$C255="","",Apontamentos!A255&amp;"")</f>
        <v/>
      </c>
      <c r="C255" s="11" t="str">
        <f aca="false">IF(B255="","",IFERROR(INDEX(Execuções!$C$2:$C$97,MATCH(B255,Execuções!$A$2:$A$97,0)),"ID?"))</f>
        <v/>
      </c>
      <c r="D255" s="10" t="str">
        <f aca="false">IF(B255="","",IFERROR(INDEX(Execuções!$B$2:$B$97,MATCH(B255,Execuções!$A$2:$A$97,0)),"ID?"))</f>
        <v/>
      </c>
      <c r="E255" s="11" t="str">
        <f aca="false">IF(B255="","",Apontamentos!D255)</f>
        <v/>
      </c>
      <c r="F255" s="11" t="str">
        <f aca="false">IF(B255="","",Apontamentos!E255)</f>
        <v/>
      </c>
      <c r="G255" s="10" t="str">
        <f aca="false">IF(B255="","",Apontamentos!G255&amp;"")</f>
        <v/>
      </c>
      <c r="H255" s="14" t="str">
        <f aca="false">IF('Avaliador 1'!F255='Avaliador 2'!F255,'Avaliador 1'!F255&amp;"","")</f>
        <v/>
      </c>
      <c r="I255" s="14" t="str">
        <f aca="false">IF('Avaliador 1'!G255='Avaliador 2'!G255,'Avaliador 1'!G255&amp;"","")</f>
        <v/>
      </c>
      <c r="J255" s="14" t="str">
        <f aca="false">IF('Avaliador 1'!H255='Avaliador 2'!H255,'Avaliador 1'!H255&amp;"","")</f>
        <v/>
      </c>
      <c r="K255" s="14" t="str">
        <f aca="false">IF('Avaliador 1'!I255='Avaliador 2'!I255,'Avaliador 1'!I255&amp;"","")</f>
        <v/>
      </c>
      <c r="L255" s="13"/>
      <c r="M255" s="13" t="str">
        <f aca="false">IF('Avaliador 1'!J255='Avaliador 2'!J255,'Avaliador 1'!J255&amp;"","")</f>
        <v/>
      </c>
      <c r="N255" s="11" t="str">
        <f aca="false">IF(OR('Avaliador 1'!F255="",'Avaliador 2'!F255=""),"",IF(AND('Avaliador 1'!F255='Avaliador 2'!F255,'Avaliador 1'!G255='Avaliador 2'!G255,'Avaliador 1'!H255='Avaliador 2'!H255,'Avaliador 1'!I255='Avaliador 2'!I255),"Não","Sim"))</f>
        <v/>
      </c>
      <c r="O255" s="14"/>
      <c r="P255" s="10" t="str">
        <f aca="false">IF(LEN(H255)=3,"Defeito encontrado",IF(I255="Sim","Falso alarme",IF(H255="—","Nenhum defeito apontado","")))</f>
        <v/>
      </c>
    </row>
    <row r="256" customFormat="false" ht="15" hidden="false" customHeight="false" outlineLevel="0" collapsed="false">
      <c r="A256" s="11" t="str">
        <f aca="false">Apontamentos!C256</f>
        <v/>
      </c>
      <c r="B256" s="11" t="str">
        <f aca="false">IF(Apontamentos!$C256="","",Apontamentos!A256&amp;"")</f>
        <v/>
      </c>
      <c r="C256" s="11" t="str">
        <f aca="false">IF(B256="","",IFERROR(INDEX(Execuções!$C$2:$C$97,MATCH(B256,Execuções!$A$2:$A$97,0)),"ID?"))</f>
        <v/>
      </c>
      <c r="D256" s="10" t="str">
        <f aca="false">IF(B256="","",IFERROR(INDEX(Execuções!$B$2:$B$97,MATCH(B256,Execuções!$A$2:$A$97,0)),"ID?"))</f>
        <v/>
      </c>
      <c r="E256" s="11" t="str">
        <f aca="false">IF(B256="","",Apontamentos!D256)</f>
        <v/>
      </c>
      <c r="F256" s="11" t="str">
        <f aca="false">IF(B256="","",Apontamentos!E256)</f>
        <v/>
      </c>
      <c r="G256" s="10" t="str">
        <f aca="false">IF(B256="","",Apontamentos!G256&amp;"")</f>
        <v/>
      </c>
      <c r="H256" s="14" t="str">
        <f aca="false">IF('Avaliador 1'!F256='Avaliador 2'!F256,'Avaliador 1'!F256&amp;"","")</f>
        <v/>
      </c>
      <c r="I256" s="14" t="str">
        <f aca="false">IF('Avaliador 1'!G256='Avaliador 2'!G256,'Avaliador 1'!G256&amp;"","")</f>
        <v/>
      </c>
      <c r="J256" s="14" t="str">
        <f aca="false">IF('Avaliador 1'!H256='Avaliador 2'!H256,'Avaliador 1'!H256&amp;"","")</f>
        <v/>
      </c>
      <c r="K256" s="14" t="str">
        <f aca="false">IF('Avaliador 1'!I256='Avaliador 2'!I256,'Avaliador 1'!I256&amp;"","")</f>
        <v/>
      </c>
      <c r="L256" s="13"/>
      <c r="M256" s="13" t="str">
        <f aca="false">IF('Avaliador 1'!J256='Avaliador 2'!J256,'Avaliador 1'!J256&amp;"","")</f>
        <v/>
      </c>
      <c r="N256" s="11" t="str">
        <f aca="false">IF(OR('Avaliador 1'!F256="",'Avaliador 2'!F256=""),"",IF(AND('Avaliador 1'!F256='Avaliador 2'!F256,'Avaliador 1'!G256='Avaliador 2'!G256,'Avaliador 1'!H256='Avaliador 2'!H256,'Avaliador 1'!I256='Avaliador 2'!I256),"Não","Sim"))</f>
        <v/>
      </c>
      <c r="O256" s="14"/>
      <c r="P256" s="10" t="str">
        <f aca="false">IF(LEN(H256)=3,"Defeito encontrado",IF(I256="Sim","Falso alarme",IF(H256="—","Nenhum defeito apontado","")))</f>
        <v/>
      </c>
    </row>
    <row r="257" customFormat="false" ht="15" hidden="false" customHeight="false" outlineLevel="0" collapsed="false">
      <c r="A257" s="11" t="str">
        <f aca="false">Apontamentos!C257</f>
        <v/>
      </c>
      <c r="B257" s="11" t="str">
        <f aca="false">IF(Apontamentos!$C257="","",Apontamentos!A257&amp;"")</f>
        <v/>
      </c>
      <c r="C257" s="11" t="str">
        <f aca="false">IF(B257="","",IFERROR(INDEX(Execuções!$C$2:$C$97,MATCH(B257,Execuções!$A$2:$A$97,0)),"ID?"))</f>
        <v/>
      </c>
      <c r="D257" s="10" t="str">
        <f aca="false">IF(B257="","",IFERROR(INDEX(Execuções!$B$2:$B$97,MATCH(B257,Execuções!$A$2:$A$97,0)),"ID?"))</f>
        <v/>
      </c>
      <c r="E257" s="11" t="str">
        <f aca="false">IF(B257="","",Apontamentos!D257)</f>
        <v/>
      </c>
      <c r="F257" s="11" t="str">
        <f aca="false">IF(B257="","",Apontamentos!E257)</f>
        <v/>
      </c>
      <c r="G257" s="10" t="str">
        <f aca="false">IF(B257="","",Apontamentos!G257&amp;"")</f>
        <v/>
      </c>
      <c r="H257" s="14" t="str">
        <f aca="false">IF('Avaliador 1'!F257='Avaliador 2'!F257,'Avaliador 1'!F257&amp;"","")</f>
        <v/>
      </c>
      <c r="I257" s="14" t="str">
        <f aca="false">IF('Avaliador 1'!G257='Avaliador 2'!G257,'Avaliador 1'!G257&amp;"","")</f>
        <v/>
      </c>
      <c r="J257" s="14" t="str">
        <f aca="false">IF('Avaliador 1'!H257='Avaliador 2'!H257,'Avaliador 1'!H257&amp;"","")</f>
        <v/>
      </c>
      <c r="K257" s="14" t="str">
        <f aca="false">IF('Avaliador 1'!I257='Avaliador 2'!I257,'Avaliador 1'!I257&amp;"","")</f>
        <v/>
      </c>
      <c r="L257" s="13"/>
      <c r="M257" s="13" t="str">
        <f aca="false">IF('Avaliador 1'!J257='Avaliador 2'!J257,'Avaliador 1'!J257&amp;"","")</f>
        <v/>
      </c>
      <c r="N257" s="11" t="str">
        <f aca="false">IF(OR('Avaliador 1'!F257="",'Avaliador 2'!F257=""),"",IF(AND('Avaliador 1'!F257='Avaliador 2'!F257,'Avaliador 1'!G257='Avaliador 2'!G257,'Avaliador 1'!H257='Avaliador 2'!H257,'Avaliador 1'!I257='Avaliador 2'!I257),"Não","Sim"))</f>
        <v/>
      </c>
      <c r="O257" s="14"/>
      <c r="P257" s="10" t="str">
        <f aca="false">IF(LEN(H257)=3,"Defeito encontrado",IF(I257="Sim","Falso alarme",IF(H257="—","Nenhum defeito apontado","")))</f>
        <v/>
      </c>
    </row>
    <row r="258" customFormat="false" ht="15" hidden="false" customHeight="false" outlineLevel="0" collapsed="false">
      <c r="A258" s="11" t="str">
        <f aca="false">Apontamentos!C258</f>
        <v/>
      </c>
      <c r="B258" s="11" t="str">
        <f aca="false">IF(Apontamentos!$C258="","",Apontamentos!A258&amp;"")</f>
        <v/>
      </c>
      <c r="C258" s="11" t="str">
        <f aca="false">IF(B258="","",IFERROR(INDEX(Execuções!$C$2:$C$97,MATCH(B258,Execuções!$A$2:$A$97,0)),"ID?"))</f>
        <v/>
      </c>
      <c r="D258" s="10" t="str">
        <f aca="false">IF(B258="","",IFERROR(INDEX(Execuções!$B$2:$B$97,MATCH(B258,Execuções!$A$2:$A$97,0)),"ID?"))</f>
        <v/>
      </c>
      <c r="E258" s="11" t="str">
        <f aca="false">IF(B258="","",Apontamentos!D258)</f>
        <v/>
      </c>
      <c r="F258" s="11" t="str">
        <f aca="false">IF(B258="","",Apontamentos!E258)</f>
        <v/>
      </c>
      <c r="G258" s="10" t="str">
        <f aca="false">IF(B258="","",Apontamentos!G258&amp;"")</f>
        <v/>
      </c>
      <c r="H258" s="14" t="str">
        <f aca="false">IF('Avaliador 1'!F258='Avaliador 2'!F258,'Avaliador 1'!F258&amp;"","")</f>
        <v/>
      </c>
      <c r="I258" s="14" t="str">
        <f aca="false">IF('Avaliador 1'!G258='Avaliador 2'!G258,'Avaliador 1'!G258&amp;"","")</f>
        <v/>
      </c>
      <c r="J258" s="14" t="str">
        <f aca="false">IF('Avaliador 1'!H258='Avaliador 2'!H258,'Avaliador 1'!H258&amp;"","")</f>
        <v/>
      </c>
      <c r="K258" s="14" t="str">
        <f aca="false">IF('Avaliador 1'!I258='Avaliador 2'!I258,'Avaliador 1'!I258&amp;"","")</f>
        <v/>
      </c>
      <c r="L258" s="13"/>
      <c r="M258" s="13" t="str">
        <f aca="false">IF('Avaliador 1'!J258='Avaliador 2'!J258,'Avaliador 1'!J258&amp;"","")</f>
        <v/>
      </c>
      <c r="N258" s="11" t="str">
        <f aca="false">IF(OR('Avaliador 1'!F258="",'Avaliador 2'!F258=""),"",IF(AND('Avaliador 1'!F258='Avaliador 2'!F258,'Avaliador 1'!G258='Avaliador 2'!G258,'Avaliador 1'!H258='Avaliador 2'!H258,'Avaliador 1'!I258='Avaliador 2'!I258),"Não","Sim"))</f>
        <v/>
      </c>
      <c r="O258" s="14"/>
      <c r="P258" s="10" t="str">
        <f aca="false">IF(LEN(H258)=3,"Defeito encontrado",IF(I258="Sim","Falso alarme",IF(H258="—","Nenhum defeito apontado","")))</f>
        <v/>
      </c>
    </row>
    <row r="259" customFormat="false" ht="15" hidden="false" customHeight="false" outlineLevel="0" collapsed="false">
      <c r="A259" s="11" t="str">
        <f aca="false">Apontamentos!C259</f>
        <v/>
      </c>
      <c r="B259" s="11" t="str">
        <f aca="false">IF(Apontamentos!$C259="","",Apontamentos!A259&amp;"")</f>
        <v/>
      </c>
      <c r="C259" s="11" t="str">
        <f aca="false">IF(B259="","",IFERROR(INDEX(Execuções!$C$2:$C$97,MATCH(B259,Execuções!$A$2:$A$97,0)),"ID?"))</f>
        <v/>
      </c>
      <c r="D259" s="10" t="str">
        <f aca="false">IF(B259="","",IFERROR(INDEX(Execuções!$B$2:$B$97,MATCH(B259,Execuções!$A$2:$A$97,0)),"ID?"))</f>
        <v/>
      </c>
      <c r="E259" s="11" t="str">
        <f aca="false">IF(B259="","",Apontamentos!D259)</f>
        <v/>
      </c>
      <c r="F259" s="11" t="str">
        <f aca="false">IF(B259="","",Apontamentos!E259)</f>
        <v/>
      </c>
      <c r="G259" s="10" t="str">
        <f aca="false">IF(B259="","",Apontamentos!G259&amp;"")</f>
        <v/>
      </c>
      <c r="H259" s="14" t="str">
        <f aca="false">IF('Avaliador 1'!F259='Avaliador 2'!F259,'Avaliador 1'!F259&amp;"","")</f>
        <v/>
      </c>
      <c r="I259" s="14" t="str">
        <f aca="false">IF('Avaliador 1'!G259='Avaliador 2'!G259,'Avaliador 1'!G259&amp;"","")</f>
        <v/>
      </c>
      <c r="J259" s="14" t="str">
        <f aca="false">IF('Avaliador 1'!H259='Avaliador 2'!H259,'Avaliador 1'!H259&amp;"","")</f>
        <v/>
      </c>
      <c r="K259" s="14" t="str">
        <f aca="false">IF('Avaliador 1'!I259='Avaliador 2'!I259,'Avaliador 1'!I259&amp;"","")</f>
        <v/>
      </c>
      <c r="L259" s="13"/>
      <c r="M259" s="13" t="str">
        <f aca="false">IF('Avaliador 1'!J259='Avaliador 2'!J259,'Avaliador 1'!J259&amp;"","")</f>
        <v/>
      </c>
      <c r="N259" s="11" t="str">
        <f aca="false">IF(OR('Avaliador 1'!F259="",'Avaliador 2'!F259=""),"",IF(AND('Avaliador 1'!F259='Avaliador 2'!F259,'Avaliador 1'!G259='Avaliador 2'!G259,'Avaliador 1'!H259='Avaliador 2'!H259,'Avaliador 1'!I259='Avaliador 2'!I259),"Não","Sim"))</f>
        <v/>
      </c>
      <c r="O259" s="14"/>
      <c r="P259" s="10" t="str">
        <f aca="false">IF(LEN(H259)=3,"Defeito encontrado",IF(I259="Sim","Falso alarme",IF(H259="—","Nenhum defeito apontado","")))</f>
        <v/>
      </c>
    </row>
    <row r="260" customFormat="false" ht="15" hidden="false" customHeight="false" outlineLevel="0" collapsed="false">
      <c r="A260" s="11" t="str">
        <f aca="false">Apontamentos!C260</f>
        <v/>
      </c>
      <c r="B260" s="11" t="str">
        <f aca="false">IF(Apontamentos!$C260="","",Apontamentos!A260&amp;"")</f>
        <v/>
      </c>
      <c r="C260" s="11" t="str">
        <f aca="false">IF(B260="","",IFERROR(INDEX(Execuções!$C$2:$C$97,MATCH(B260,Execuções!$A$2:$A$97,0)),"ID?"))</f>
        <v/>
      </c>
      <c r="D260" s="10" t="str">
        <f aca="false">IF(B260="","",IFERROR(INDEX(Execuções!$B$2:$B$97,MATCH(B260,Execuções!$A$2:$A$97,0)),"ID?"))</f>
        <v/>
      </c>
      <c r="E260" s="11" t="str">
        <f aca="false">IF(B260="","",Apontamentos!D260)</f>
        <v/>
      </c>
      <c r="F260" s="11" t="str">
        <f aca="false">IF(B260="","",Apontamentos!E260)</f>
        <v/>
      </c>
      <c r="G260" s="10" t="str">
        <f aca="false">IF(B260="","",Apontamentos!G260&amp;"")</f>
        <v/>
      </c>
      <c r="H260" s="14" t="str">
        <f aca="false">IF('Avaliador 1'!F260='Avaliador 2'!F260,'Avaliador 1'!F260&amp;"","")</f>
        <v/>
      </c>
      <c r="I260" s="14" t="str">
        <f aca="false">IF('Avaliador 1'!G260='Avaliador 2'!G260,'Avaliador 1'!G260&amp;"","")</f>
        <v/>
      </c>
      <c r="J260" s="14" t="str">
        <f aca="false">IF('Avaliador 1'!H260='Avaliador 2'!H260,'Avaliador 1'!H260&amp;"","")</f>
        <v/>
      </c>
      <c r="K260" s="14" t="str">
        <f aca="false">IF('Avaliador 1'!I260='Avaliador 2'!I260,'Avaliador 1'!I260&amp;"","")</f>
        <v/>
      </c>
      <c r="L260" s="13"/>
      <c r="M260" s="13" t="str">
        <f aca="false">IF('Avaliador 1'!J260='Avaliador 2'!J260,'Avaliador 1'!J260&amp;"","")</f>
        <v/>
      </c>
      <c r="N260" s="11" t="str">
        <f aca="false">IF(OR('Avaliador 1'!F260="",'Avaliador 2'!F260=""),"",IF(AND('Avaliador 1'!F260='Avaliador 2'!F260,'Avaliador 1'!G260='Avaliador 2'!G260,'Avaliador 1'!H260='Avaliador 2'!H260,'Avaliador 1'!I260='Avaliador 2'!I260),"Não","Sim"))</f>
        <v/>
      </c>
      <c r="O260" s="14"/>
      <c r="P260" s="10" t="str">
        <f aca="false">IF(LEN(H260)=3,"Defeito encontrado",IF(I260="Sim","Falso alarme",IF(H260="—","Nenhum defeito apontado","")))</f>
        <v/>
      </c>
    </row>
    <row r="261" customFormat="false" ht="15" hidden="false" customHeight="false" outlineLevel="0" collapsed="false">
      <c r="A261" s="11" t="str">
        <f aca="false">Apontamentos!C261</f>
        <v/>
      </c>
      <c r="B261" s="11" t="str">
        <f aca="false">IF(Apontamentos!$C261="","",Apontamentos!A261&amp;"")</f>
        <v/>
      </c>
      <c r="C261" s="11" t="str">
        <f aca="false">IF(B261="","",IFERROR(INDEX(Execuções!$C$2:$C$97,MATCH(B261,Execuções!$A$2:$A$97,0)),"ID?"))</f>
        <v/>
      </c>
      <c r="D261" s="10" t="str">
        <f aca="false">IF(B261="","",IFERROR(INDEX(Execuções!$B$2:$B$97,MATCH(B261,Execuções!$A$2:$A$97,0)),"ID?"))</f>
        <v/>
      </c>
      <c r="E261" s="11" t="str">
        <f aca="false">IF(B261="","",Apontamentos!D261)</f>
        <v/>
      </c>
      <c r="F261" s="11" t="str">
        <f aca="false">IF(B261="","",Apontamentos!E261)</f>
        <v/>
      </c>
      <c r="G261" s="10" t="str">
        <f aca="false">IF(B261="","",Apontamentos!G261&amp;"")</f>
        <v/>
      </c>
      <c r="H261" s="14" t="str">
        <f aca="false">IF('Avaliador 1'!F261='Avaliador 2'!F261,'Avaliador 1'!F261&amp;"","")</f>
        <v/>
      </c>
      <c r="I261" s="14" t="str">
        <f aca="false">IF('Avaliador 1'!G261='Avaliador 2'!G261,'Avaliador 1'!G261&amp;"","")</f>
        <v/>
      </c>
      <c r="J261" s="14" t="str">
        <f aca="false">IF('Avaliador 1'!H261='Avaliador 2'!H261,'Avaliador 1'!H261&amp;"","")</f>
        <v/>
      </c>
      <c r="K261" s="14" t="str">
        <f aca="false">IF('Avaliador 1'!I261='Avaliador 2'!I261,'Avaliador 1'!I261&amp;"","")</f>
        <v/>
      </c>
      <c r="L261" s="13"/>
      <c r="M261" s="13" t="str">
        <f aca="false">IF('Avaliador 1'!J261='Avaliador 2'!J261,'Avaliador 1'!J261&amp;"","")</f>
        <v/>
      </c>
      <c r="N261" s="11" t="str">
        <f aca="false">IF(OR('Avaliador 1'!F261="",'Avaliador 2'!F261=""),"",IF(AND('Avaliador 1'!F261='Avaliador 2'!F261,'Avaliador 1'!G261='Avaliador 2'!G261,'Avaliador 1'!H261='Avaliador 2'!H261,'Avaliador 1'!I261='Avaliador 2'!I261),"Não","Sim"))</f>
        <v/>
      </c>
      <c r="O261" s="14"/>
      <c r="P261" s="10" t="str">
        <f aca="false">IF(LEN(H261)=3,"Defeito encontrado",IF(I261="Sim","Falso alarme",IF(H261="—","Nenhum defeito apontado","")))</f>
        <v/>
      </c>
    </row>
    <row r="262" customFormat="false" ht="15" hidden="false" customHeight="false" outlineLevel="0" collapsed="false">
      <c r="A262" s="11" t="str">
        <f aca="false">Apontamentos!C262</f>
        <v/>
      </c>
      <c r="B262" s="11" t="str">
        <f aca="false">IF(Apontamentos!$C262="","",Apontamentos!A262&amp;"")</f>
        <v/>
      </c>
      <c r="C262" s="11" t="str">
        <f aca="false">IF(B262="","",IFERROR(INDEX(Execuções!$C$2:$C$97,MATCH(B262,Execuções!$A$2:$A$97,0)),"ID?"))</f>
        <v/>
      </c>
      <c r="D262" s="10" t="str">
        <f aca="false">IF(B262="","",IFERROR(INDEX(Execuções!$B$2:$B$97,MATCH(B262,Execuções!$A$2:$A$97,0)),"ID?"))</f>
        <v/>
      </c>
      <c r="E262" s="11" t="str">
        <f aca="false">IF(B262="","",Apontamentos!D262)</f>
        <v/>
      </c>
      <c r="F262" s="11" t="str">
        <f aca="false">IF(B262="","",Apontamentos!E262)</f>
        <v/>
      </c>
      <c r="G262" s="10" t="str">
        <f aca="false">IF(B262="","",Apontamentos!G262&amp;"")</f>
        <v/>
      </c>
      <c r="H262" s="14" t="str">
        <f aca="false">IF('Avaliador 1'!F262='Avaliador 2'!F262,'Avaliador 1'!F262&amp;"","")</f>
        <v/>
      </c>
      <c r="I262" s="14" t="str">
        <f aca="false">IF('Avaliador 1'!G262='Avaliador 2'!G262,'Avaliador 1'!G262&amp;"","")</f>
        <v/>
      </c>
      <c r="J262" s="14" t="str">
        <f aca="false">IF('Avaliador 1'!H262='Avaliador 2'!H262,'Avaliador 1'!H262&amp;"","")</f>
        <v/>
      </c>
      <c r="K262" s="14" t="str">
        <f aca="false">IF('Avaliador 1'!I262='Avaliador 2'!I262,'Avaliador 1'!I262&amp;"","")</f>
        <v/>
      </c>
      <c r="L262" s="13"/>
      <c r="M262" s="13" t="str">
        <f aca="false">IF('Avaliador 1'!J262='Avaliador 2'!J262,'Avaliador 1'!J262&amp;"","")</f>
        <v/>
      </c>
      <c r="N262" s="11" t="str">
        <f aca="false">IF(OR('Avaliador 1'!F262="",'Avaliador 2'!F262=""),"",IF(AND('Avaliador 1'!F262='Avaliador 2'!F262,'Avaliador 1'!G262='Avaliador 2'!G262,'Avaliador 1'!H262='Avaliador 2'!H262,'Avaliador 1'!I262='Avaliador 2'!I262),"Não","Sim"))</f>
        <v/>
      </c>
      <c r="O262" s="14"/>
      <c r="P262" s="10" t="str">
        <f aca="false">IF(LEN(H262)=3,"Defeito encontrado",IF(I262="Sim","Falso alarme",IF(H262="—","Nenhum defeito apontado","")))</f>
        <v/>
      </c>
    </row>
    <row r="263" customFormat="false" ht="15" hidden="false" customHeight="false" outlineLevel="0" collapsed="false">
      <c r="A263" s="11" t="str">
        <f aca="false">Apontamentos!C263</f>
        <v/>
      </c>
      <c r="B263" s="11" t="str">
        <f aca="false">IF(Apontamentos!$C263="","",Apontamentos!A263&amp;"")</f>
        <v/>
      </c>
      <c r="C263" s="11" t="str">
        <f aca="false">IF(B263="","",IFERROR(INDEX(Execuções!$C$2:$C$97,MATCH(B263,Execuções!$A$2:$A$97,0)),"ID?"))</f>
        <v/>
      </c>
      <c r="D263" s="10" t="str">
        <f aca="false">IF(B263="","",IFERROR(INDEX(Execuções!$B$2:$B$97,MATCH(B263,Execuções!$A$2:$A$97,0)),"ID?"))</f>
        <v/>
      </c>
      <c r="E263" s="11" t="str">
        <f aca="false">IF(B263="","",Apontamentos!D263)</f>
        <v/>
      </c>
      <c r="F263" s="11" t="str">
        <f aca="false">IF(B263="","",Apontamentos!E263)</f>
        <v/>
      </c>
      <c r="G263" s="10" t="str">
        <f aca="false">IF(B263="","",Apontamentos!G263&amp;"")</f>
        <v/>
      </c>
      <c r="H263" s="14" t="str">
        <f aca="false">IF('Avaliador 1'!F263='Avaliador 2'!F263,'Avaliador 1'!F263&amp;"","")</f>
        <v/>
      </c>
      <c r="I263" s="14" t="str">
        <f aca="false">IF('Avaliador 1'!G263='Avaliador 2'!G263,'Avaliador 1'!G263&amp;"","")</f>
        <v/>
      </c>
      <c r="J263" s="14" t="str">
        <f aca="false">IF('Avaliador 1'!H263='Avaliador 2'!H263,'Avaliador 1'!H263&amp;"","")</f>
        <v/>
      </c>
      <c r="K263" s="14" t="str">
        <f aca="false">IF('Avaliador 1'!I263='Avaliador 2'!I263,'Avaliador 1'!I263&amp;"","")</f>
        <v/>
      </c>
      <c r="L263" s="13"/>
      <c r="M263" s="13" t="str">
        <f aca="false">IF('Avaliador 1'!J263='Avaliador 2'!J263,'Avaliador 1'!J263&amp;"","")</f>
        <v/>
      </c>
      <c r="N263" s="11" t="str">
        <f aca="false">IF(OR('Avaliador 1'!F263="",'Avaliador 2'!F263=""),"",IF(AND('Avaliador 1'!F263='Avaliador 2'!F263,'Avaliador 1'!G263='Avaliador 2'!G263,'Avaliador 1'!H263='Avaliador 2'!H263,'Avaliador 1'!I263='Avaliador 2'!I263),"Não","Sim"))</f>
        <v/>
      </c>
      <c r="O263" s="14"/>
      <c r="P263" s="10" t="str">
        <f aca="false">IF(LEN(H263)=3,"Defeito encontrado",IF(I263="Sim","Falso alarme",IF(H263="—","Nenhum defeito apontado","")))</f>
        <v/>
      </c>
    </row>
    <row r="264" customFormat="false" ht="15" hidden="false" customHeight="false" outlineLevel="0" collapsed="false">
      <c r="A264" s="11" t="str">
        <f aca="false">Apontamentos!C264</f>
        <v/>
      </c>
      <c r="B264" s="11" t="str">
        <f aca="false">IF(Apontamentos!$C264="","",Apontamentos!A264&amp;"")</f>
        <v/>
      </c>
      <c r="C264" s="11" t="str">
        <f aca="false">IF(B264="","",IFERROR(INDEX(Execuções!$C$2:$C$97,MATCH(B264,Execuções!$A$2:$A$97,0)),"ID?"))</f>
        <v/>
      </c>
      <c r="D264" s="10" t="str">
        <f aca="false">IF(B264="","",IFERROR(INDEX(Execuções!$B$2:$B$97,MATCH(B264,Execuções!$A$2:$A$97,0)),"ID?"))</f>
        <v/>
      </c>
      <c r="E264" s="11" t="str">
        <f aca="false">IF(B264="","",Apontamentos!D264)</f>
        <v/>
      </c>
      <c r="F264" s="11" t="str">
        <f aca="false">IF(B264="","",Apontamentos!E264)</f>
        <v/>
      </c>
      <c r="G264" s="10" t="str">
        <f aca="false">IF(B264="","",Apontamentos!G264&amp;"")</f>
        <v/>
      </c>
      <c r="H264" s="14" t="str">
        <f aca="false">IF('Avaliador 1'!F264='Avaliador 2'!F264,'Avaliador 1'!F264&amp;"","")</f>
        <v/>
      </c>
      <c r="I264" s="14" t="str">
        <f aca="false">IF('Avaliador 1'!G264='Avaliador 2'!G264,'Avaliador 1'!G264&amp;"","")</f>
        <v/>
      </c>
      <c r="J264" s="14" t="str">
        <f aca="false">IF('Avaliador 1'!H264='Avaliador 2'!H264,'Avaliador 1'!H264&amp;"","")</f>
        <v/>
      </c>
      <c r="K264" s="14" t="str">
        <f aca="false">IF('Avaliador 1'!I264='Avaliador 2'!I264,'Avaliador 1'!I264&amp;"","")</f>
        <v/>
      </c>
      <c r="L264" s="13"/>
      <c r="M264" s="13" t="str">
        <f aca="false">IF('Avaliador 1'!J264='Avaliador 2'!J264,'Avaliador 1'!J264&amp;"","")</f>
        <v/>
      </c>
      <c r="N264" s="11" t="str">
        <f aca="false">IF(OR('Avaliador 1'!F264="",'Avaliador 2'!F264=""),"",IF(AND('Avaliador 1'!F264='Avaliador 2'!F264,'Avaliador 1'!G264='Avaliador 2'!G264,'Avaliador 1'!H264='Avaliador 2'!H264,'Avaliador 1'!I264='Avaliador 2'!I264),"Não","Sim"))</f>
        <v/>
      </c>
      <c r="O264" s="14"/>
      <c r="P264" s="10" t="str">
        <f aca="false">IF(LEN(H264)=3,"Defeito encontrado",IF(I264="Sim","Falso alarme",IF(H264="—","Nenhum defeito apontado","")))</f>
        <v/>
      </c>
    </row>
    <row r="265" customFormat="false" ht="15" hidden="false" customHeight="false" outlineLevel="0" collapsed="false">
      <c r="A265" s="11" t="str">
        <f aca="false">Apontamentos!C265</f>
        <v/>
      </c>
      <c r="B265" s="11" t="str">
        <f aca="false">IF(Apontamentos!$C265="","",Apontamentos!A265&amp;"")</f>
        <v/>
      </c>
      <c r="C265" s="11" t="str">
        <f aca="false">IF(B265="","",IFERROR(INDEX(Execuções!$C$2:$C$97,MATCH(B265,Execuções!$A$2:$A$97,0)),"ID?"))</f>
        <v/>
      </c>
      <c r="D265" s="10" t="str">
        <f aca="false">IF(B265="","",IFERROR(INDEX(Execuções!$B$2:$B$97,MATCH(B265,Execuções!$A$2:$A$97,0)),"ID?"))</f>
        <v/>
      </c>
      <c r="E265" s="11" t="str">
        <f aca="false">IF(B265="","",Apontamentos!D265)</f>
        <v/>
      </c>
      <c r="F265" s="11" t="str">
        <f aca="false">IF(B265="","",Apontamentos!E265)</f>
        <v/>
      </c>
      <c r="G265" s="10" t="str">
        <f aca="false">IF(B265="","",Apontamentos!G265&amp;"")</f>
        <v/>
      </c>
      <c r="H265" s="14" t="str">
        <f aca="false">IF('Avaliador 1'!F265='Avaliador 2'!F265,'Avaliador 1'!F265&amp;"","")</f>
        <v/>
      </c>
      <c r="I265" s="14" t="str">
        <f aca="false">IF('Avaliador 1'!G265='Avaliador 2'!G265,'Avaliador 1'!G265&amp;"","")</f>
        <v/>
      </c>
      <c r="J265" s="14" t="str">
        <f aca="false">IF('Avaliador 1'!H265='Avaliador 2'!H265,'Avaliador 1'!H265&amp;"","")</f>
        <v/>
      </c>
      <c r="K265" s="14" t="str">
        <f aca="false">IF('Avaliador 1'!I265='Avaliador 2'!I265,'Avaliador 1'!I265&amp;"","")</f>
        <v/>
      </c>
      <c r="L265" s="13"/>
      <c r="M265" s="13" t="str">
        <f aca="false">IF('Avaliador 1'!J265='Avaliador 2'!J265,'Avaliador 1'!J265&amp;"","")</f>
        <v/>
      </c>
      <c r="N265" s="11" t="str">
        <f aca="false">IF(OR('Avaliador 1'!F265="",'Avaliador 2'!F265=""),"",IF(AND('Avaliador 1'!F265='Avaliador 2'!F265,'Avaliador 1'!G265='Avaliador 2'!G265,'Avaliador 1'!H265='Avaliador 2'!H265,'Avaliador 1'!I265='Avaliador 2'!I265),"Não","Sim"))</f>
        <v/>
      </c>
      <c r="O265" s="14"/>
      <c r="P265" s="10" t="str">
        <f aca="false">IF(LEN(H265)=3,"Defeito encontrado",IF(I265="Sim","Falso alarme",IF(H265="—","Nenhum defeito apontado","")))</f>
        <v/>
      </c>
    </row>
    <row r="266" customFormat="false" ht="15" hidden="false" customHeight="false" outlineLevel="0" collapsed="false">
      <c r="A266" s="11" t="str">
        <f aca="false">Apontamentos!C266</f>
        <v/>
      </c>
      <c r="B266" s="11" t="str">
        <f aca="false">IF(Apontamentos!$C266="","",Apontamentos!A266&amp;"")</f>
        <v/>
      </c>
      <c r="C266" s="11" t="str">
        <f aca="false">IF(B266="","",IFERROR(INDEX(Execuções!$C$2:$C$97,MATCH(B266,Execuções!$A$2:$A$97,0)),"ID?"))</f>
        <v/>
      </c>
      <c r="D266" s="10" t="str">
        <f aca="false">IF(B266="","",IFERROR(INDEX(Execuções!$B$2:$B$97,MATCH(B266,Execuções!$A$2:$A$97,0)),"ID?"))</f>
        <v/>
      </c>
      <c r="E266" s="11" t="str">
        <f aca="false">IF(B266="","",Apontamentos!D266)</f>
        <v/>
      </c>
      <c r="F266" s="11" t="str">
        <f aca="false">IF(B266="","",Apontamentos!E266)</f>
        <v/>
      </c>
      <c r="G266" s="10" t="str">
        <f aca="false">IF(B266="","",Apontamentos!G266&amp;"")</f>
        <v/>
      </c>
      <c r="H266" s="14" t="str">
        <f aca="false">IF('Avaliador 1'!F266='Avaliador 2'!F266,'Avaliador 1'!F266&amp;"","")</f>
        <v/>
      </c>
      <c r="I266" s="14" t="str">
        <f aca="false">IF('Avaliador 1'!G266='Avaliador 2'!G266,'Avaliador 1'!G266&amp;"","")</f>
        <v/>
      </c>
      <c r="J266" s="14" t="str">
        <f aca="false">IF('Avaliador 1'!H266='Avaliador 2'!H266,'Avaliador 1'!H266&amp;"","")</f>
        <v/>
      </c>
      <c r="K266" s="14" t="str">
        <f aca="false">IF('Avaliador 1'!I266='Avaliador 2'!I266,'Avaliador 1'!I266&amp;"","")</f>
        <v/>
      </c>
      <c r="L266" s="13"/>
      <c r="M266" s="13" t="str">
        <f aca="false">IF('Avaliador 1'!J266='Avaliador 2'!J266,'Avaliador 1'!J266&amp;"","")</f>
        <v/>
      </c>
      <c r="N266" s="11" t="str">
        <f aca="false">IF(OR('Avaliador 1'!F266="",'Avaliador 2'!F266=""),"",IF(AND('Avaliador 1'!F266='Avaliador 2'!F266,'Avaliador 1'!G266='Avaliador 2'!G266,'Avaliador 1'!H266='Avaliador 2'!H266,'Avaliador 1'!I266='Avaliador 2'!I266),"Não","Sim"))</f>
        <v/>
      </c>
      <c r="O266" s="14"/>
      <c r="P266" s="10" t="str">
        <f aca="false">IF(LEN(H266)=3,"Defeito encontrado",IF(I266="Sim","Falso alarme",IF(H266="—","Nenhum defeito apontado","")))</f>
        <v/>
      </c>
    </row>
    <row r="267" customFormat="false" ht="15" hidden="false" customHeight="false" outlineLevel="0" collapsed="false">
      <c r="A267" s="11" t="str">
        <f aca="false">Apontamentos!C267</f>
        <v/>
      </c>
      <c r="B267" s="11" t="str">
        <f aca="false">IF(Apontamentos!$C267="","",Apontamentos!A267&amp;"")</f>
        <v/>
      </c>
      <c r="C267" s="11" t="str">
        <f aca="false">IF(B267="","",IFERROR(INDEX(Execuções!$C$2:$C$97,MATCH(B267,Execuções!$A$2:$A$97,0)),"ID?"))</f>
        <v/>
      </c>
      <c r="D267" s="10" t="str">
        <f aca="false">IF(B267="","",IFERROR(INDEX(Execuções!$B$2:$B$97,MATCH(B267,Execuções!$A$2:$A$97,0)),"ID?"))</f>
        <v/>
      </c>
      <c r="E267" s="11" t="str">
        <f aca="false">IF(B267="","",Apontamentos!D267)</f>
        <v/>
      </c>
      <c r="F267" s="11" t="str">
        <f aca="false">IF(B267="","",Apontamentos!E267)</f>
        <v/>
      </c>
      <c r="G267" s="10" t="str">
        <f aca="false">IF(B267="","",Apontamentos!G267&amp;"")</f>
        <v/>
      </c>
      <c r="H267" s="14" t="str">
        <f aca="false">IF('Avaliador 1'!F267='Avaliador 2'!F267,'Avaliador 1'!F267&amp;"","")</f>
        <v/>
      </c>
      <c r="I267" s="14" t="str">
        <f aca="false">IF('Avaliador 1'!G267='Avaliador 2'!G267,'Avaliador 1'!G267&amp;"","")</f>
        <v/>
      </c>
      <c r="J267" s="14" t="str">
        <f aca="false">IF('Avaliador 1'!H267='Avaliador 2'!H267,'Avaliador 1'!H267&amp;"","")</f>
        <v/>
      </c>
      <c r="K267" s="14" t="str">
        <f aca="false">IF('Avaliador 1'!I267='Avaliador 2'!I267,'Avaliador 1'!I267&amp;"","")</f>
        <v/>
      </c>
      <c r="L267" s="13"/>
      <c r="M267" s="13" t="str">
        <f aca="false">IF('Avaliador 1'!J267='Avaliador 2'!J267,'Avaliador 1'!J267&amp;"","")</f>
        <v/>
      </c>
      <c r="N267" s="11" t="str">
        <f aca="false">IF(OR('Avaliador 1'!F267="",'Avaliador 2'!F267=""),"",IF(AND('Avaliador 1'!F267='Avaliador 2'!F267,'Avaliador 1'!G267='Avaliador 2'!G267,'Avaliador 1'!H267='Avaliador 2'!H267,'Avaliador 1'!I267='Avaliador 2'!I267),"Não","Sim"))</f>
        <v/>
      </c>
      <c r="O267" s="14"/>
      <c r="P267" s="10" t="str">
        <f aca="false">IF(LEN(H267)=3,"Defeito encontrado",IF(I267="Sim","Falso alarme",IF(H267="—","Nenhum defeito apontado","")))</f>
        <v/>
      </c>
    </row>
    <row r="268" customFormat="false" ht="15" hidden="false" customHeight="false" outlineLevel="0" collapsed="false">
      <c r="A268" s="11" t="str">
        <f aca="false">Apontamentos!C268</f>
        <v/>
      </c>
      <c r="B268" s="11" t="str">
        <f aca="false">IF(Apontamentos!$C268="","",Apontamentos!A268&amp;"")</f>
        <v/>
      </c>
      <c r="C268" s="11" t="str">
        <f aca="false">IF(B268="","",IFERROR(INDEX(Execuções!$C$2:$C$97,MATCH(B268,Execuções!$A$2:$A$97,0)),"ID?"))</f>
        <v/>
      </c>
      <c r="D268" s="10" t="str">
        <f aca="false">IF(B268="","",IFERROR(INDEX(Execuções!$B$2:$B$97,MATCH(B268,Execuções!$A$2:$A$97,0)),"ID?"))</f>
        <v/>
      </c>
      <c r="E268" s="11" t="str">
        <f aca="false">IF(B268="","",Apontamentos!D268)</f>
        <v/>
      </c>
      <c r="F268" s="11" t="str">
        <f aca="false">IF(B268="","",Apontamentos!E268)</f>
        <v/>
      </c>
      <c r="G268" s="10" t="str">
        <f aca="false">IF(B268="","",Apontamentos!G268&amp;"")</f>
        <v/>
      </c>
      <c r="H268" s="14" t="str">
        <f aca="false">IF('Avaliador 1'!F268='Avaliador 2'!F268,'Avaliador 1'!F268&amp;"","")</f>
        <v/>
      </c>
      <c r="I268" s="14" t="str">
        <f aca="false">IF('Avaliador 1'!G268='Avaliador 2'!G268,'Avaliador 1'!G268&amp;"","")</f>
        <v/>
      </c>
      <c r="J268" s="14" t="str">
        <f aca="false">IF('Avaliador 1'!H268='Avaliador 2'!H268,'Avaliador 1'!H268&amp;"","")</f>
        <v/>
      </c>
      <c r="K268" s="14" t="str">
        <f aca="false">IF('Avaliador 1'!I268='Avaliador 2'!I268,'Avaliador 1'!I268&amp;"","")</f>
        <v/>
      </c>
      <c r="L268" s="13"/>
      <c r="M268" s="13" t="str">
        <f aca="false">IF('Avaliador 1'!J268='Avaliador 2'!J268,'Avaliador 1'!J268&amp;"","")</f>
        <v/>
      </c>
      <c r="N268" s="11" t="str">
        <f aca="false">IF(OR('Avaliador 1'!F268="",'Avaliador 2'!F268=""),"",IF(AND('Avaliador 1'!F268='Avaliador 2'!F268,'Avaliador 1'!G268='Avaliador 2'!G268,'Avaliador 1'!H268='Avaliador 2'!H268,'Avaliador 1'!I268='Avaliador 2'!I268),"Não","Sim"))</f>
        <v/>
      </c>
      <c r="O268" s="14"/>
      <c r="P268" s="10" t="str">
        <f aca="false">IF(LEN(H268)=3,"Defeito encontrado",IF(I268="Sim","Falso alarme",IF(H268="—","Nenhum defeito apontado","")))</f>
        <v/>
      </c>
    </row>
    <row r="269" customFormat="false" ht="15" hidden="false" customHeight="false" outlineLevel="0" collapsed="false">
      <c r="A269" s="11" t="str">
        <f aca="false">Apontamentos!C269</f>
        <v/>
      </c>
      <c r="B269" s="11" t="str">
        <f aca="false">IF(Apontamentos!$C269="","",Apontamentos!A269&amp;"")</f>
        <v/>
      </c>
      <c r="C269" s="11" t="str">
        <f aca="false">IF(B269="","",IFERROR(INDEX(Execuções!$C$2:$C$97,MATCH(B269,Execuções!$A$2:$A$97,0)),"ID?"))</f>
        <v/>
      </c>
      <c r="D269" s="10" t="str">
        <f aca="false">IF(B269="","",IFERROR(INDEX(Execuções!$B$2:$B$97,MATCH(B269,Execuções!$A$2:$A$97,0)),"ID?"))</f>
        <v/>
      </c>
      <c r="E269" s="11" t="str">
        <f aca="false">IF(B269="","",Apontamentos!D269)</f>
        <v/>
      </c>
      <c r="F269" s="11" t="str">
        <f aca="false">IF(B269="","",Apontamentos!E269)</f>
        <v/>
      </c>
      <c r="G269" s="10" t="str">
        <f aca="false">IF(B269="","",Apontamentos!G269&amp;"")</f>
        <v/>
      </c>
      <c r="H269" s="14" t="str">
        <f aca="false">IF('Avaliador 1'!F269='Avaliador 2'!F269,'Avaliador 1'!F269&amp;"","")</f>
        <v/>
      </c>
      <c r="I269" s="14" t="str">
        <f aca="false">IF('Avaliador 1'!G269='Avaliador 2'!G269,'Avaliador 1'!G269&amp;"","")</f>
        <v/>
      </c>
      <c r="J269" s="14" t="str">
        <f aca="false">IF('Avaliador 1'!H269='Avaliador 2'!H269,'Avaliador 1'!H269&amp;"","")</f>
        <v/>
      </c>
      <c r="K269" s="14" t="str">
        <f aca="false">IF('Avaliador 1'!I269='Avaliador 2'!I269,'Avaliador 1'!I269&amp;"","")</f>
        <v/>
      </c>
      <c r="L269" s="13"/>
      <c r="M269" s="13" t="str">
        <f aca="false">IF('Avaliador 1'!J269='Avaliador 2'!J269,'Avaliador 1'!J269&amp;"","")</f>
        <v/>
      </c>
      <c r="N269" s="11" t="str">
        <f aca="false">IF(OR('Avaliador 1'!F269="",'Avaliador 2'!F269=""),"",IF(AND('Avaliador 1'!F269='Avaliador 2'!F269,'Avaliador 1'!G269='Avaliador 2'!G269,'Avaliador 1'!H269='Avaliador 2'!H269,'Avaliador 1'!I269='Avaliador 2'!I269),"Não","Sim"))</f>
        <v/>
      </c>
      <c r="O269" s="14"/>
      <c r="P269" s="10" t="str">
        <f aca="false">IF(LEN(H269)=3,"Defeito encontrado",IF(I269="Sim","Falso alarme",IF(H269="—","Nenhum defeito apontado","")))</f>
        <v/>
      </c>
    </row>
    <row r="270" customFormat="false" ht="15" hidden="false" customHeight="false" outlineLevel="0" collapsed="false">
      <c r="A270" s="11" t="str">
        <f aca="false">Apontamentos!C270</f>
        <v/>
      </c>
      <c r="B270" s="11" t="str">
        <f aca="false">IF(Apontamentos!$C270="","",Apontamentos!A270&amp;"")</f>
        <v/>
      </c>
      <c r="C270" s="11" t="str">
        <f aca="false">IF(B270="","",IFERROR(INDEX(Execuções!$C$2:$C$97,MATCH(B270,Execuções!$A$2:$A$97,0)),"ID?"))</f>
        <v/>
      </c>
      <c r="D270" s="10" t="str">
        <f aca="false">IF(B270="","",IFERROR(INDEX(Execuções!$B$2:$B$97,MATCH(B270,Execuções!$A$2:$A$97,0)),"ID?"))</f>
        <v/>
      </c>
      <c r="E270" s="11" t="str">
        <f aca="false">IF(B270="","",Apontamentos!D270)</f>
        <v/>
      </c>
      <c r="F270" s="11" t="str">
        <f aca="false">IF(B270="","",Apontamentos!E270)</f>
        <v/>
      </c>
      <c r="G270" s="10" t="str">
        <f aca="false">IF(B270="","",Apontamentos!G270&amp;"")</f>
        <v/>
      </c>
      <c r="H270" s="14" t="str">
        <f aca="false">IF('Avaliador 1'!F270='Avaliador 2'!F270,'Avaliador 1'!F270&amp;"","")</f>
        <v/>
      </c>
      <c r="I270" s="14" t="str">
        <f aca="false">IF('Avaliador 1'!G270='Avaliador 2'!G270,'Avaliador 1'!G270&amp;"","")</f>
        <v/>
      </c>
      <c r="J270" s="14" t="str">
        <f aca="false">IF('Avaliador 1'!H270='Avaliador 2'!H270,'Avaliador 1'!H270&amp;"","")</f>
        <v/>
      </c>
      <c r="K270" s="14" t="str">
        <f aca="false">IF('Avaliador 1'!I270='Avaliador 2'!I270,'Avaliador 1'!I270&amp;"","")</f>
        <v/>
      </c>
      <c r="L270" s="13"/>
      <c r="M270" s="13" t="str">
        <f aca="false">IF('Avaliador 1'!J270='Avaliador 2'!J270,'Avaliador 1'!J270&amp;"","")</f>
        <v/>
      </c>
      <c r="N270" s="11" t="str">
        <f aca="false">IF(OR('Avaliador 1'!F270="",'Avaliador 2'!F270=""),"",IF(AND('Avaliador 1'!F270='Avaliador 2'!F270,'Avaliador 1'!G270='Avaliador 2'!G270,'Avaliador 1'!H270='Avaliador 2'!H270,'Avaliador 1'!I270='Avaliador 2'!I270),"Não","Sim"))</f>
        <v/>
      </c>
      <c r="O270" s="14"/>
      <c r="P270" s="10" t="str">
        <f aca="false">IF(LEN(H270)=3,"Defeito encontrado",IF(I270="Sim","Falso alarme",IF(H270="—","Nenhum defeito apontado","")))</f>
        <v/>
      </c>
    </row>
    <row r="271" customFormat="false" ht="15" hidden="false" customHeight="false" outlineLevel="0" collapsed="false">
      <c r="A271" s="11" t="str">
        <f aca="false">Apontamentos!C271</f>
        <v/>
      </c>
      <c r="B271" s="11" t="str">
        <f aca="false">IF(Apontamentos!$C271="","",Apontamentos!A271&amp;"")</f>
        <v/>
      </c>
      <c r="C271" s="11" t="str">
        <f aca="false">IF(B271="","",IFERROR(INDEX(Execuções!$C$2:$C$97,MATCH(B271,Execuções!$A$2:$A$97,0)),"ID?"))</f>
        <v/>
      </c>
      <c r="D271" s="10" t="str">
        <f aca="false">IF(B271="","",IFERROR(INDEX(Execuções!$B$2:$B$97,MATCH(B271,Execuções!$A$2:$A$97,0)),"ID?"))</f>
        <v/>
      </c>
      <c r="E271" s="11" t="str">
        <f aca="false">IF(B271="","",Apontamentos!D271)</f>
        <v/>
      </c>
      <c r="F271" s="11" t="str">
        <f aca="false">IF(B271="","",Apontamentos!E271)</f>
        <v/>
      </c>
      <c r="G271" s="10" t="str">
        <f aca="false">IF(B271="","",Apontamentos!G271&amp;"")</f>
        <v/>
      </c>
      <c r="H271" s="14" t="str">
        <f aca="false">IF('Avaliador 1'!F271='Avaliador 2'!F271,'Avaliador 1'!F271&amp;"","")</f>
        <v/>
      </c>
      <c r="I271" s="14" t="str">
        <f aca="false">IF('Avaliador 1'!G271='Avaliador 2'!G271,'Avaliador 1'!G271&amp;"","")</f>
        <v/>
      </c>
      <c r="J271" s="14" t="str">
        <f aca="false">IF('Avaliador 1'!H271='Avaliador 2'!H271,'Avaliador 1'!H271&amp;"","")</f>
        <v/>
      </c>
      <c r="K271" s="14" t="str">
        <f aca="false">IF('Avaliador 1'!I271='Avaliador 2'!I271,'Avaliador 1'!I271&amp;"","")</f>
        <v/>
      </c>
      <c r="L271" s="13"/>
      <c r="M271" s="13" t="str">
        <f aca="false">IF('Avaliador 1'!J271='Avaliador 2'!J271,'Avaliador 1'!J271&amp;"","")</f>
        <v/>
      </c>
      <c r="N271" s="11" t="str">
        <f aca="false">IF(OR('Avaliador 1'!F271="",'Avaliador 2'!F271=""),"",IF(AND('Avaliador 1'!F271='Avaliador 2'!F271,'Avaliador 1'!G271='Avaliador 2'!G271,'Avaliador 1'!H271='Avaliador 2'!H271,'Avaliador 1'!I271='Avaliador 2'!I271),"Não","Sim"))</f>
        <v/>
      </c>
      <c r="O271" s="14"/>
      <c r="P271" s="10" t="str">
        <f aca="false">IF(LEN(H271)=3,"Defeito encontrado",IF(I271="Sim","Falso alarme",IF(H271="—","Nenhum defeito apontado","")))</f>
        <v/>
      </c>
    </row>
    <row r="272" customFormat="false" ht="15" hidden="false" customHeight="false" outlineLevel="0" collapsed="false">
      <c r="A272" s="11" t="str">
        <f aca="false">Apontamentos!C272</f>
        <v/>
      </c>
      <c r="B272" s="11" t="str">
        <f aca="false">IF(Apontamentos!$C272="","",Apontamentos!A272&amp;"")</f>
        <v/>
      </c>
      <c r="C272" s="11" t="str">
        <f aca="false">IF(B272="","",IFERROR(INDEX(Execuções!$C$2:$C$97,MATCH(B272,Execuções!$A$2:$A$97,0)),"ID?"))</f>
        <v/>
      </c>
      <c r="D272" s="10" t="str">
        <f aca="false">IF(B272="","",IFERROR(INDEX(Execuções!$B$2:$B$97,MATCH(B272,Execuções!$A$2:$A$97,0)),"ID?"))</f>
        <v/>
      </c>
      <c r="E272" s="11" t="str">
        <f aca="false">IF(B272="","",Apontamentos!D272)</f>
        <v/>
      </c>
      <c r="F272" s="11" t="str">
        <f aca="false">IF(B272="","",Apontamentos!E272)</f>
        <v/>
      </c>
      <c r="G272" s="10" t="str">
        <f aca="false">IF(B272="","",Apontamentos!G272&amp;"")</f>
        <v/>
      </c>
      <c r="H272" s="14" t="str">
        <f aca="false">IF('Avaliador 1'!F272='Avaliador 2'!F272,'Avaliador 1'!F272&amp;"","")</f>
        <v/>
      </c>
      <c r="I272" s="14" t="str">
        <f aca="false">IF('Avaliador 1'!G272='Avaliador 2'!G272,'Avaliador 1'!G272&amp;"","")</f>
        <v/>
      </c>
      <c r="J272" s="14" t="str">
        <f aca="false">IF('Avaliador 1'!H272='Avaliador 2'!H272,'Avaliador 1'!H272&amp;"","")</f>
        <v/>
      </c>
      <c r="K272" s="14" t="str">
        <f aca="false">IF('Avaliador 1'!I272='Avaliador 2'!I272,'Avaliador 1'!I272&amp;"","")</f>
        <v/>
      </c>
      <c r="L272" s="13"/>
      <c r="M272" s="13" t="str">
        <f aca="false">IF('Avaliador 1'!J272='Avaliador 2'!J272,'Avaliador 1'!J272&amp;"","")</f>
        <v/>
      </c>
      <c r="N272" s="11" t="str">
        <f aca="false">IF(OR('Avaliador 1'!F272="",'Avaliador 2'!F272=""),"",IF(AND('Avaliador 1'!F272='Avaliador 2'!F272,'Avaliador 1'!G272='Avaliador 2'!G272,'Avaliador 1'!H272='Avaliador 2'!H272,'Avaliador 1'!I272='Avaliador 2'!I272),"Não","Sim"))</f>
        <v/>
      </c>
      <c r="O272" s="14"/>
      <c r="P272" s="10" t="str">
        <f aca="false">IF(LEN(H272)=3,"Defeito encontrado",IF(I272="Sim","Falso alarme",IF(H272="—","Nenhum defeito apontado","")))</f>
        <v/>
      </c>
    </row>
    <row r="273" customFormat="false" ht="15" hidden="false" customHeight="false" outlineLevel="0" collapsed="false">
      <c r="A273" s="11" t="str">
        <f aca="false">Apontamentos!C273</f>
        <v/>
      </c>
      <c r="B273" s="11" t="str">
        <f aca="false">IF(Apontamentos!$C273="","",Apontamentos!A273&amp;"")</f>
        <v/>
      </c>
      <c r="C273" s="11" t="str">
        <f aca="false">IF(B273="","",IFERROR(INDEX(Execuções!$C$2:$C$97,MATCH(B273,Execuções!$A$2:$A$97,0)),"ID?"))</f>
        <v/>
      </c>
      <c r="D273" s="10" t="str">
        <f aca="false">IF(B273="","",IFERROR(INDEX(Execuções!$B$2:$B$97,MATCH(B273,Execuções!$A$2:$A$97,0)),"ID?"))</f>
        <v/>
      </c>
      <c r="E273" s="11" t="str">
        <f aca="false">IF(B273="","",Apontamentos!D273)</f>
        <v/>
      </c>
      <c r="F273" s="11" t="str">
        <f aca="false">IF(B273="","",Apontamentos!E273)</f>
        <v/>
      </c>
      <c r="G273" s="10" t="str">
        <f aca="false">IF(B273="","",Apontamentos!G273&amp;"")</f>
        <v/>
      </c>
      <c r="H273" s="14" t="str">
        <f aca="false">IF('Avaliador 1'!F273='Avaliador 2'!F273,'Avaliador 1'!F273&amp;"","")</f>
        <v/>
      </c>
      <c r="I273" s="14" t="str">
        <f aca="false">IF('Avaliador 1'!G273='Avaliador 2'!G273,'Avaliador 1'!G273&amp;"","")</f>
        <v/>
      </c>
      <c r="J273" s="14" t="str">
        <f aca="false">IF('Avaliador 1'!H273='Avaliador 2'!H273,'Avaliador 1'!H273&amp;"","")</f>
        <v/>
      </c>
      <c r="K273" s="14" t="str">
        <f aca="false">IF('Avaliador 1'!I273='Avaliador 2'!I273,'Avaliador 1'!I273&amp;"","")</f>
        <v/>
      </c>
      <c r="L273" s="13"/>
      <c r="M273" s="13" t="str">
        <f aca="false">IF('Avaliador 1'!J273='Avaliador 2'!J273,'Avaliador 1'!J273&amp;"","")</f>
        <v/>
      </c>
      <c r="N273" s="11" t="str">
        <f aca="false">IF(OR('Avaliador 1'!F273="",'Avaliador 2'!F273=""),"",IF(AND('Avaliador 1'!F273='Avaliador 2'!F273,'Avaliador 1'!G273='Avaliador 2'!G273,'Avaliador 1'!H273='Avaliador 2'!H273,'Avaliador 1'!I273='Avaliador 2'!I273),"Não","Sim"))</f>
        <v/>
      </c>
      <c r="O273" s="14"/>
      <c r="P273" s="10" t="str">
        <f aca="false">IF(LEN(H273)=3,"Defeito encontrado",IF(I273="Sim","Falso alarme",IF(H273="—","Nenhum defeito apontado","")))</f>
        <v/>
      </c>
    </row>
    <row r="274" customFormat="false" ht="15" hidden="false" customHeight="false" outlineLevel="0" collapsed="false">
      <c r="A274" s="11" t="str">
        <f aca="false">Apontamentos!C274</f>
        <v/>
      </c>
      <c r="B274" s="11" t="str">
        <f aca="false">IF(Apontamentos!$C274="","",Apontamentos!A274&amp;"")</f>
        <v/>
      </c>
      <c r="C274" s="11" t="str">
        <f aca="false">IF(B274="","",IFERROR(INDEX(Execuções!$C$2:$C$97,MATCH(B274,Execuções!$A$2:$A$97,0)),"ID?"))</f>
        <v/>
      </c>
      <c r="D274" s="10" t="str">
        <f aca="false">IF(B274="","",IFERROR(INDEX(Execuções!$B$2:$B$97,MATCH(B274,Execuções!$A$2:$A$97,0)),"ID?"))</f>
        <v/>
      </c>
      <c r="E274" s="11" t="str">
        <f aca="false">IF(B274="","",Apontamentos!D274)</f>
        <v/>
      </c>
      <c r="F274" s="11" t="str">
        <f aca="false">IF(B274="","",Apontamentos!E274)</f>
        <v/>
      </c>
      <c r="G274" s="10" t="str">
        <f aca="false">IF(B274="","",Apontamentos!G274&amp;"")</f>
        <v/>
      </c>
      <c r="H274" s="14" t="str">
        <f aca="false">IF('Avaliador 1'!F274='Avaliador 2'!F274,'Avaliador 1'!F274&amp;"","")</f>
        <v/>
      </c>
      <c r="I274" s="14" t="str">
        <f aca="false">IF('Avaliador 1'!G274='Avaliador 2'!G274,'Avaliador 1'!G274&amp;"","")</f>
        <v/>
      </c>
      <c r="J274" s="14" t="str">
        <f aca="false">IF('Avaliador 1'!H274='Avaliador 2'!H274,'Avaliador 1'!H274&amp;"","")</f>
        <v/>
      </c>
      <c r="K274" s="14" t="str">
        <f aca="false">IF('Avaliador 1'!I274='Avaliador 2'!I274,'Avaliador 1'!I274&amp;"","")</f>
        <v/>
      </c>
      <c r="L274" s="13"/>
      <c r="M274" s="13" t="str">
        <f aca="false">IF('Avaliador 1'!J274='Avaliador 2'!J274,'Avaliador 1'!J274&amp;"","")</f>
        <v/>
      </c>
      <c r="N274" s="11" t="str">
        <f aca="false">IF(OR('Avaliador 1'!F274="",'Avaliador 2'!F274=""),"",IF(AND('Avaliador 1'!F274='Avaliador 2'!F274,'Avaliador 1'!G274='Avaliador 2'!G274,'Avaliador 1'!H274='Avaliador 2'!H274,'Avaliador 1'!I274='Avaliador 2'!I274),"Não","Sim"))</f>
        <v/>
      </c>
      <c r="O274" s="14"/>
      <c r="P274" s="10" t="str">
        <f aca="false">IF(LEN(H274)=3,"Defeito encontrado",IF(I274="Sim","Falso alarme",IF(H274="—","Nenhum defeito apontado","")))</f>
        <v/>
      </c>
    </row>
    <row r="275" customFormat="false" ht="15" hidden="false" customHeight="false" outlineLevel="0" collapsed="false">
      <c r="A275" s="11" t="str">
        <f aca="false">Apontamentos!C275</f>
        <v/>
      </c>
      <c r="B275" s="11" t="str">
        <f aca="false">IF(Apontamentos!$C275="","",Apontamentos!A275&amp;"")</f>
        <v/>
      </c>
      <c r="C275" s="11" t="str">
        <f aca="false">IF(B275="","",IFERROR(INDEX(Execuções!$C$2:$C$97,MATCH(B275,Execuções!$A$2:$A$97,0)),"ID?"))</f>
        <v/>
      </c>
      <c r="D275" s="10" t="str">
        <f aca="false">IF(B275="","",IFERROR(INDEX(Execuções!$B$2:$B$97,MATCH(B275,Execuções!$A$2:$A$97,0)),"ID?"))</f>
        <v/>
      </c>
      <c r="E275" s="11" t="str">
        <f aca="false">IF(B275="","",Apontamentos!D275)</f>
        <v/>
      </c>
      <c r="F275" s="11" t="str">
        <f aca="false">IF(B275="","",Apontamentos!E275)</f>
        <v/>
      </c>
      <c r="G275" s="10" t="str">
        <f aca="false">IF(B275="","",Apontamentos!G275&amp;"")</f>
        <v/>
      </c>
      <c r="H275" s="14" t="str">
        <f aca="false">IF('Avaliador 1'!F275='Avaliador 2'!F275,'Avaliador 1'!F275&amp;"","")</f>
        <v/>
      </c>
      <c r="I275" s="14" t="str">
        <f aca="false">IF('Avaliador 1'!G275='Avaliador 2'!G275,'Avaliador 1'!G275&amp;"","")</f>
        <v/>
      </c>
      <c r="J275" s="14" t="str">
        <f aca="false">IF('Avaliador 1'!H275='Avaliador 2'!H275,'Avaliador 1'!H275&amp;"","")</f>
        <v/>
      </c>
      <c r="K275" s="14" t="str">
        <f aca="false">IF('Avaliador 1'!I275='Avaliador 2'!I275,'Avaliador 1'!I275&amp;"","")</f>
        <v/>
      </c>
      <c r="L275" s="13"/>
      <c r="M275" s="13" t="str">
        <f aca="false">IF('Avaliador 1'!J275='Avaliador 2'!J275,'Avaliador 1'!J275&amp;"","")</f>
        <v/>
      </c>
      <c r="N275" s="11" t="str">
        <f aca="false">IF(OR('Avaliador 1'!F275="",'Avaliador 2'!F275=""),"",IF(AND('Avaliador 1'!F275='Avaliador 2'!F275,'Avaliador 1'!G275='Avaliador 2'!G275,'Avaliador 1'!H275='Avaliador 2'!H275,'Avaliador 1'!I275='Avaliador 2'!I275),"Não","Sim"))</f>
        <v/>
      </c>
      <c r="O275" s="14"/>
      <c r="P275" s="10" t="str">
        <f aca="false">IF(LEN(H275)=3,"Defeito encontrado",IF(I275="Sim","Falso alarme",IF(H275="—","Nenhum defeito apontado","")))</f>
        <v/>
      </c>
    </row>
    <row r="276" customFormat="false" ht="15" hidden="false" customHeight="false" outlineLevel="0" collapsed="false">
      <c r="A276" s="11" t="str">
        <f aca="false">Apontamentos!C276</f>
        <v/>
      </c>
      <c r="B276" s="11" t="str">
        <f aca="false">IF(Apontamentos!$C276="","",Apontamentos!A276&amp;"")</f>
        <v/>
      </c>
      <c r="C276" s="11" t="str">
        <f aca="false">IF(B276="","",IFERROR(INDEX(Execuções!$C$2:$C$97,MATCH(B276,Execuções!$A$2:$A$97,0)),"ID?"))</f>
        <v/>
      </c>
      <c r="D276" s="10" t="str">
        <f aca="false">IF(B276="","",IFERROR(INDEX(Execuções!$B$2:$B$97,MATCH(B276,Execuções!$A$2:$A$97,0)),"ID?"))</f>
        <v/>
      </c>
      <c r="E276" s="11" t="str">
        <f aca="false">IF(B276="","",Apontamentos!D276)</f>
        <v/>
      </c>
      <c r="F276" s="11" t="str">
        <f aca="false">IF(B276="","",Apontamentos!E276)</f>
        <v/>
      </c>
      <c r="G276" s="10" t="str">
        <f aca="false">IF(B276="","",Apontamentos!G276&amp;"")</f>
        <v/>
      </c>
      <c r="H276" s="14" t="str">
        <f aca="false">IF('Avaliador 1'!F276='Avaliador 2'!F276,'Avaliador 1'!F276&amp;"","")</f>
        <v/>
      </c>
      <c r="I276" s="14" t="str">
        <f aca="false">IF('Avaliador 1'!G276='Avaliador 2'!G276,'Avaliador 1'!G276&amp;"","")</f>
        <v/>
      </c>
      <c r="J276" s="14" t="str">
        <f aca="false">IF('Avaliador 1'!H276='Avaliador 2'!H276,'Avaliador 1'!H276&amp;"","")</f>
        <v/>
      </c>
      <c r="K276" s="14" t="str">
        <f aca="false">IF('Avaliador 1'!I276='Avaliador 2'!I276,'Avaliador 1'!I276&amp;"","")</f>
        <v/>
      </c>
      <c r="L276" s="13"/>
      <c r="M276" s="13" t="str">
        <f aca="false">IF('Avaliador 1'!J276='Avaliador 2'!J276,'Avaliador 1'!J276&amp;"","")</f>
        <v/>
      </c>
      <c r="N276" s="11" t="str">
        <f aca="false">IF(OR('Avaliador 1'!F276="",'Avaliador 2'!F276=""),"",IF(AND('Avaliador 1'!F276='Avaliador 2'!F276,'Avaliador 1'!G276='Avaliador 2'!G276,'Avaliador 1'!H276='Avaliador 2'!H276,'Avaliador 1'!I276='Avaliador 2'!I276),"Não","Sim"))</f>
        <v/>
      </c>
      <c r="O276" s="14"/>
      <c r="P276" s="10" t="str">
        <f aca="false">IF(LEN(H276)=3,"Defeito encontrado",IF(I276="Sim","Falso alarme",IF(H276="—","Nenhum defeito apontado","")))</f>
        <v/>
      </c>
    </row>
    <row r="277" customFormat="false" ht="15" hidden="false" customHeight="false" outlineLevel="0" collapsed="false">
      <c r="A277" s="11" t="str">
        <f aca="false">Apontamentos!C277</f>
        <v/>
      </c>
      <c r="B277" s="11" t="str">
        <f aca="false">IF(Apontamentos!$C277="","",Apontamentos!A277&amp;"")</f>
        <v/>
      </c>
      <c r="C277" s="11" t="str">
        <f aca="false">IF(B277="","",IFERROR(INDEX(Execuções!$C$2:$C$97,MATCH(B277,Execuções!$A$2:$A$97,0)),"ID?"))</f>
        <v/>
      </c>
      <c r="D277" s="10" t="str">
        <f aca="false">IF(B277="","",IFERROR(INDEX(Execuções!$B$2:$B$97,MATCH(B277,Execuções!$A$2:$A$97,0)),"ID?"))</f>
        <v/>
      </c>
      <c r="E277" s="11" t="str">
        <f aca="false">IF(B277="","",Apontamentos!D277)</f>
        <v/>
      </c>
      <c r="F277" s="11" t="str">
        <f aca="false">IF(B277="","",Apontamentos!E277)</f>
        <v/>
      </c>
      <c r="G277" s="10" t="str">
        <f aca="false">IF(B277="","",Apontamentos!G277&amp;"")</f>
        <v/>
      </c>
      <c r="H277" s="14" t="str">
        <f aca="false">IF('Avaliador 1'!F277='Avaliador 2'!F277,'Avaliador 1'!F277&amp;"","")</f>
        <v/>
      </c>
      <c r="I277" s="14" t="str">
        <f aca="false">IF('Avaliador 1'!G277='Avaliador 2'!G277,'Avaliador 1'!G277&amp;"","")</f>
        <v/>
      </c>
      <c r="J277" s="14" t="str">
        <f aca="false">IF('Avaliador 1'!H277='Avaliador 2'!H277,'Avaliador 1'!H277&amp;"","")</f>
        <v/>
      </c>
      <c r="K277" s="14" t="str">
        <f aca="false">IF('Avaliador 1'!I277='Avaliador 2'!I277,'Avaliador 1'!I277&amp;"","")</f>
        <v/>
      </c>
      <c r="L277" s="13"/>
      <c r="M277" s="13" t="str">
        <f aca="false">IF('Avaliador 1'!J277='Avaliador 2'!J277,'Avaliador 1'!J277&amp;"","")</f>
        <v/>
      </c>
      <c r="N277" s="11" t="str">
        <f aca="false">IF(OR('Avaliador 1'!F277="",'Avaliador 2'!F277=""),"",IF(AND('Avaliador 1'!F277='Avaliador 2'!F277,'Avaliador 1'!G277='Avaliador 2'!G277,'Avaliador 1'!H277='Avaliador 2'!H277,'Avaliador 1'!I277='Avaliador 2'!I277),"Não","Sim"))</f>
        <v/>
      </c>
      <c r="O277" s="14"/>
      <c r="P277" s="10" t="str">
        <f aca="false">IF(LEN(H277)=3,"Defeito encontrado",IF(I277="Sim","Falso alarme",IF(H277="—","Nenhum defeito apontado","")))</f>
        <v/>
      </c>
    </row>
    <row r="278" customFormat="false" ht="15" hidden="false" customHeight="false" outlineLevel="0" collapsed="false">
      <c r="A278" s="11" t="str">
        <f aca="false">Apontamentos!C278</f>
        <v/>
      </c>
      <c r="B278" s="11" t="str">
        <f aca="false">IF(Apontamentos!$C278="","",Apontamentos!A278&amp;"")</f>
        <v/>
      </c>
      <c r="C278" s="11" t="str">
        <f aca="false">IF(B278="","",IFERROR(INDEX(Execuções!$C$2:$C$97,MATCH(B278,Execuções!$A$2:$A$97,0)),"ID?"))</f>
        <v/>
      </c>
      <c r="D278" s="10" t="str">
        <f aca="false">IF(B278="","",IFERROR(INDEX(Execuções!$B$2:$B$97,MATCH(B278,Execuções!$A$2:$A$97,0)),"ID?"))</f>
        <v/>
      </c>
      <c r="E278" s="11" t="str">
        <f aca="false">IF(B278="","",Apontamentos!D278)</f>
        <v/>
      </c>
      <c r="F278" s="11" t="str">
        <f aca="false">IF(B278="","",Apontamentos!E278)</f>
        <v/>
      </c>
      <c r="G278" s="10" t="str">
        <f aca="false">IF(B278="","",Apontamentos!G278&amp;"")</f>
        <v/>
      </c>
      <c r="H278" s="14" t="str">
        <f aca="false">IF('Avaliador 1'!F278='Avaliador 2'!F278,'Avaliador 1'!F278&amp;"","")</f>
        <v/>
      </c>
      <c r="I278" s="14" t="str">
        <f aca="false">IF('Avaliador 1'!G278='Avaliador 2'!G278,'Avaliador 1'!G278&amp;"","")</f>
        <v/>
      </c>
      <c r="J278" s="14" t="str">
        <f aca="false">IF('Avaliador 1'!H278='Avaliador 2'!H278,'Avaliador 1'!H278&amp;"","")</f>
        <v/>
      </c>
      <c r="K278" s="14" t="str">
        <f aca="false">IF('Avaliador 1'!I278='Avaliador 2'!I278,'Avaliador 1'!I278&amp;"","")</f>
        <v/>
      </c>
      <c r="L278" s="13"/>
      <c r="M278" s="13" t="str">
        <f aca="false">IF('Avaliador 1'!J278='Avaliador 2'!J278,'Avaliador 1'!J278&amp;"","")</f>
        <v/>
      </c>
      <c r="N278" s="11" t="str">
        <f aca="false">IF(OR('Avaliador 1'!F278="",'Avaliador 2'!F278=""),"",IF(AND('Avaliador 1'!F278='Avaliador 2'!F278,'Avaliador 1'!G278='Avaliador 2'!G278,'Avaliador 1'!H278='Avaliador 2'!H278,'Avaliador 1'!I278='Avaliador 2'!I278),"Não","Sim"))</f>
        <v/>
      </c>
      <c r="O278" s="14"/>
      <c r="P278" s="10" t="str">
        <f aca="false">IF(LEN(H278)=3,"Defeito encontrado",IF(I278="Sim","Falso alarme",IF(H278="—","Nenhum defeito apontado","")))</f>
        <v/>
      </c>
    </row>
    <row r="279" customFormat="false" ht="15" hidden="false" customHeight="false" outlineLevel="0" collapsed="false">
      <c r="A279" s="11" t="str">
        <f aca="false">Apontamentos!C279</f>
        <v/>
      </c>
      <c r="B279" s="11" t="str">
        <f aca="false">IF(Apontamentos!$C279="","",Apontamentos!A279&amp;"")</f>
        <v/>
      </c>
      <c r="C279" s="11" t="str">
        <f aca="false">IF(B279="","",IFERROR(INDEX(Execuções!$C$2:$C$97,MATCH(B279,Execuções!$A$2:$A$97,0)),"ID?"))</f>
        <v/>
      </c>
      <c r="D279" s="10" t="str">
        <f aca="false">IF(B279="","",IFERROR(INDEX(Execuções!$B$2:$B$97,MATCH(B279,Execuções!$A$2:$A$97,0)),"ID?"))</f>
        <v/>
      </c>
      <c r="E279" s="11" t="str">
        <f aca="false">IF(B279="","",Apontamentos!D279)</f>
        <v/>
      </c>
      <c r="F279" s="11" t="str">
        <f aca="false">IF(B279="","",Apontamentos!E279)</f>
        <v/>
      </c>
      <c r="G279" s="10" t="str">
        <f aca="false">IF(B279="","",Apontamentos!G279&amp;"")</f>
        <v/>
      </c>
      <c r="H279" s="14" t="str">
        <f aca="false">IF('Avaliador 1'!F279='Avaliador 2'!F279,'Avaliador 1'!F279&amp;"","")</f>
        <v/>
      </c>
      <c r="I279" s="14" t="str">
        <f aca="false">IF('Avaliador 1'!G279='Avaliador 2'!G279,'Avaliador 1'!G279&amp;"","")</f>
        <v/>
      </c>
      <c r="J279" s="14" t="str">
        <f aca="false">IF('Avaliador 1'!H279='Avaliador 2'!H279,'Avaliador 1'!H279&amp;"","")</f>
        <v/>
      </c>
      <c r="K279" s="14" t="str">
        <f aca="false">IF('Avaliador 1'!I279='Avaliador 2'!I279,'Avaliador 1'!I279&amp;"","")</f>
        <v/>
      </c>
      <c r="L279" s="13"/>
      <c r="M279" s="13" t="str">
        <f aca="false">IF('Avaliador 1'!J279='Avaliador 2'!J279,'Avaliador 1'!J279&amp;"","")</f>
        <v/>
      </c>
      <c r="N279" s="11" t="str">
        <f aca="false">IF(OR('Avaliador 1'!F279="",'Avaliador 2'!F279=""),"",IF(AND('Avaliador 1'!F279='Avaliador 2'!F279,'Avaliador 1'!G279='Avaliador 2'!G279,'Avaliador 1'!H279='Avaliador 2'!H279,'Avaliador 1'!I279='Avaliador 2'!I279),"Não","Sim"))</f>
        <v/>
      </c>
      <c r="O279" s="14"/>
      <c r="P279" s="10" t="str">
        <f aca="false">IF(LEN(H279)=3,"Defeito encontrado",IF(I279="Sim","Falso alarme",IF(H279="—","Nenhum defeito apontado","")))</f>
        <v/>
      </c>
    </row>
    <row r="280" customFormat="false" ht="15" hidden="false" customHeight="false" outlineLevel="0" collapsed="false">
      <c r="A280" s="11" t="str">
        <f aca="false">Apontamentos!C280</f>
        <v/>
      </c>
      <c r="B280" s="11" t="str">
        <f aca="false">IF(Apontamentos!$C280="","",Apontamentos!A280&amp;"")</f>
        <v/>
      </c>
      <c r="C280" s="11" t="str">
        <f aca="false">IF(B280="","",IFERROR(INDEX(Execuções!$C$2:$C$97,MATCH(B280,Execuções!$A$2:$A$97,0)),"ID?"))</f>
        <v/>
      </c>
      <c r="D280" s="10" t="str">
        <f aca="false">IF(B280="","",IFERROR(INDEX(Execuções!$B$2:$B$97,MATCH(B280,Execuções!$A$2:$A$97,0)),"ID?"))</f>
        <v/>
      </c>
      <c r="E280" s="11" t="str">
        <f aca="false">IF(B280="","",Apontamentos!D280)</f>
        <v/>
      </c>
      <c r="F280" s="11" t="str">
        <f aca="false">IF(B280="","",Apontamentos!E280)</f>
        <v/>
      </c>
      <c r="G280" s="10" t="str">
        <f aca="false">IF(B280="","",Apontamentos!G280&amp;"")</f>
        <v/>
      </c>
      <c r="H280" s="14" t="str">
        <f aca="false">IF('Avaliador 1'!F280='Avaliador 2'!F280,'Avaliador 1'!F280&amp;"","")</f>
        <v/>
      </c>
      <c r="I280" s="14" t="str">
        <f aca="false">IF('Avaliador 1'!G280='Avaliador 2'!G280,'Avaliador 1'!G280&amp;"","")</f>
        <v/>
      </c>
      <c r="J280" s="14" t="str">
        <f aca="false">IF('Avaliador 1'!H280='Avaliador 2'!H280,'Avaliador 1'!H280&amp;"","")</f>
        <v/>
      </c>
      <c r="K280" s="14" t="str">
        <f aca="false">IF('Avaliador 1'!I280='Avaliador 2'!I280,'Avaliador 1'!I280&amp;"","")</f>
        <v/>
      </c>
      <c r="L280" s="13"/>
      <c r="M280" s="13" t="str">
        <f aca="false">IF('Avaliador 1'!J280='Avaliador 2'!J280,'Avaliador 1'!J280&amp;"","")</f>
        <v/>
      </c>
      <c r="N280" s="11" t="str">
        <f aca="false">IF(OR('Avaliador 1'!F280="",'Avaliador 2'!F280=""),"",IF(AND('Avaliador 1'!F280='Avaliador 2'!F280,'Avaliador 1'!G280='Avaliador 2'!G280,'Avaliador 1'!H280='Avaliador 2'!H280,'Avaliador 1'!I280='Avaliador 2'!I280),"Não","Sim"))</f>
        <v/>
      </c>
      <c r="O280" s="14"/>
      <c r="P280" s="10" t="str">
        <f aca="false">IF(LEN(H280)=3,"Defeito encontrado",IF(I280="Sim","Falso alarme",IF(H280="—","Nenhum defeito apontado","")))</f>
        <v/>
      </c>
    </row>
    <row r="281" customFormat="false" ht="15" hidden="false" customHeight="false" outlineLevel="0" collapsed="false">
      <c r="A281" s="11" t="str">
        <f aca="false">Apontamentos!C281</f>
        <v/>
      </c>
      <c r="B281" s="11" t="str">
        <f aca="false">IF(Apontamentos!$C281="","",Apontamentos!A281&amp;"")</f>
        <v/>
      </c>
      <c r="C281" s="11" t="str">
        <f aca="false">IF(B281="","",IFERROR(INDEX(Execuções!$C$2:$C$97,MATCH(B281,Execuções!$A$2:$A$97,0)),"ID?"))</f>
        <v/>
      </c>
      <c r="D281" s="10" t="str">
        <f aca="false">IF(B281="","",IFERROR(INDEX(Execuções!$B$2:$B$97,MATCH(B281,Execuções!$A$2:$A$97,0)),"ID?"))</f>
        <v/>
      </c>
      <c r="E281" s="11" t="str">
        <f aca="false">IF(B281="","",Apontamentos!D281)</f>
        <v/>
      </c>
      <c r="F281" s="11" t="str">
        <f aca="false">IF(B281="","",Apontamentos!E281)</f>
        <v/>
      </c>
      <c r="G281" s="10" t="str">
        <f aca="false">IF(B281="","",Apontamentos!G281&amp;"")</f>
        <v/>
      </c>
      <c r="H281" s="14" t="str">
        <f aca="false">IF('Avaliador 1'!F281='Avaliador 2'!F281,'Avaliador 1'!F281&amp;"","")</f>
        <v/>
      </c>
      <c r="I281" s="14" t="str">
        <f aca="false">IF('Avaliador 1'!G281='Avaliador 2'!G281,'Avaliador 1'!G281&amp;"","")</f>
        <v/>
      </c>
      <c r="J281" s="14" t="str">
        <f aca="false">IF('Avaliador 1'!H281='Avaliador 2'!H281,'Avaliador 1'!H281&amp;"","")</f>
        <v/>
      </c>
      <c r="K281" s="14" t="str">
        <f aca="false">IF('Avaliador 1'!I281='Avaliador 2'!I281,'Avaliador 1'!I281&amp;"","")</f>
        <v/>
      </c>
      <c r="L281" s="13"/>
      <c r="M281" s="13" t="str">
        <f aca="false">IF('Avaliador 1'!J281='Avaliador 2'!J281,'Avaliador 1'!J281&amp;"","")</f>
        <v/>
      </c>
      <c r="N281" s="11" t="str">
        <f aca="false">IF(OR('Avaliador 1'!F281="",'Avaliador 2'!F281=""),"",IF(AND('Avaliador 1'!F281='Avaliador 2'!F281,'Avaliador 1'!G281='Avaliador 2'!G281,'Avaliador 1'!H281='Avaliador 2'!H281,'Avaliador 1'!I281='Avaliador 2'!I281),"Não","Sim"))</f>
        <v/>
      </c>
      <c r="O281" s="14"/>
      <c r="P281" s="10" t="str">
        <f aca="false">IF(LEN(H281)=3,"Defeito encontrado",IF(I281="Sim","Falso alarme",IF(H281="—","Nenhum defeito apontado","")))</f>
        <v/>
      </c>
    </row>
    <row r="282" customFormat="false" ht="15" hidden="false" customHeight="false" outlineLevel="0" collapsed="false">
      <c r="A282" s="11" t="str">
        <f aca="false">Apontamentos!C282</f>
        <v/>
      </c>
      <c r="B282" s="11" t="str">
        <f aca="false">IF(Apontamentos!$C282="","",Apontamentos!A282&amp;"")</f>
        <v/>
      </c>
      <c r="C282" s="11" t="str">
        <f aca="false">IF(B282="","",IFERROR(INDEX(Execuções!$C$2:$C$97,MATCH(B282,Execuções!$A$2:$A$97,0)),"ID?"))</f>
        <v/>
      </c>
      <c r="D282" s="10" t="str">
        <f aca="false">IF(B282="","",IFERROR(INDEX(Execuções!$B$2:$B$97,MATCH(B282,Execuções!$A$2:$A$97,0)),"ID?"))</f>
        <v/>
      </c>
      <c r="E282" s="11" t="str">
        <f aca="false">IF(B282="","",Apontamentos!D282)</f>
        <v/>
      </c>
      <c r="F282" s="11" t="str">
        <f aca="false">IF(B282="","",Apontamentos!E282)</f>
        <v/>
      </c>
      <c r="G282" s="10" t="str">
        <f aca="false">IF(B282="","",Apontamentos!G282&amp;"")</f>
        <v/>
      </c>
      <c r="H282" s="14" t="str">
        <f aca="false">IF('Avaliador 1'!F282='Avaliador 2'!F282,'Avaliador 1'!F282&amp;"","")</f>
        <v/>
      </c>
      <c r="I282" s="14" t="str">
        <f aca="false">IF('Avaliador 1'!G282='Avaliador 2'!G282,'Avaliador 1'!G282&amp;"","")</f>
        <v/>
      </c>
      <c r="J282" s="14" t="str">
        <f aca="false">IF('Avaliador 1'!H282='Avaliador 2'!H282,'Avaliador 1'!H282&amp;"","")</f>
        <v/>
      </c>
      <c r="K282" s="14" t="str">
        <f aca="false">IF('Avaliador 1'!I282='Avaliador 2'!I282,'Avaliador 1'!I282&amp;"","")</f>
        <v/>
      </c>
      <c r="L282" s="13"/>
      <c r="M282" s="13" t="str">
        <f aca="false">IF('Avaliador 1'!J282='Avaliador 2'!J282,'Avaliador 1'!J282&amp;"","")</f>
        <v/>
      </c>
      <c r="N282" s="11" t="str">
        <f aca="false">IF(OR('Avaliador 1'!F282="",'Avaliador 2'!F282=""),"",IF(AND('Avaliador 1'!F282='Avaliador 2'!F282,'Avaliador 1'!G282='Avaliador 2'!G282,'Avaliador 1'!H282='Avaliador 2'!H282,'Avaliador 1'!I282='Avaliador 2'!I282),"Não","Sim"))</f>
        <v/>
      </c>
      <c r="O282" s="14"/>
      <c r="P282" s="10" t="str">
        <f aca="false">IF(LEN(H282)=3,"Defeito encontrado",IF(I282="Sim","Falso alarme",IF(H282="—","Nenhum defeito apontado","")))</f>
        <v/>
      </c>
    </row>
    <row r="283" customFormat="false" ht="15" hidden="false" customHeight="false" outlineLevel="0" collapsed="false">
      <c r="A283" s="11" t="str">
        <f aca="false">Apontamentos!C283</f>
        <v/>
      </c>
      <c r="B283" s="11" t="str">
        <f aca="false">IF(Apontamentos!$C283="","",Apontamentos!A283&amp;"")</f>
        <v/>
      </c>
      <c r="C283" s="11" t="str">
        <f aca="false">IF(B283="","",IFERROR(INDEX(Execuções!$C$2:$C$97,MATCH(B283,Execuções!$A$2:$A$97,0)),"ID?"))</f>
        <v/>
      </c>
      <c r="D283" s="10" t="str">
        <f aca="false">IF(B283="","",IFERROR(INDEX(Execuções!$B$2:$B$97,MATCH(B283,Execuções!$A$2:$A$97,0)),"ID?"))</f>
        <v/>
      </c>
      <c r="E283" s="11" t="str">
        <f aca="false">IF(B283="","",Apontamentos!D283)</f>
        <v/>
      </c>
      <c r="F283" s="11" t="str">
        <f aca="false">IF(B283="","",Apontamentos!E283)</f>
        <v/>
      </c>
      <c r="G283" s="10" t="str">
        <f aca="false">IF(B283="","",Apontamentos!G283&amp;"")</f>
        <v/>
      </c>
      <c r="H283" s="14" t="str">
        <f aca="false">IF('Avaliador 1'!F283='Avaliador 2'!F283,'Avaliador 1'!F283&amp;"","")</f>
        <v/>
      </c>
      <c r="I283" s="14" t="str">
        <f aca="false">IF('Avaliador 1'!G283='Avaliador 2'!G283,'Avaliador 1'!G283&amp;"","")</f>
        <v/>
      </c>
      <c r="J283" s="14" t="str">
        <f aca="false">IF('Avaliador 1'!H283='Avaliador 2'!H283,'Avaliador 1'!H283&amp;"","")</f>
        <v/>
      </c>
      <c r="K283" s="14" t="str">
        <f aca="false">IF('Avaliador 1'!I283='Avaliador 2'!I283,'Avaliador 1'!I283&amp;"","")</f>
        <v/>
      </c>
      <c r="L283" s="13"/>
      <c r="M283" s="13" t="str">
        <f aca="false">IF('Avaliador 1'!J283='Avaliador 2'!J283,'Avaliador 1'!J283&amp;"","")</f>
        <v/>
      </c>
      <c r="N283" s="11" t="str">
        <f aca="false">IF(OR('Avaliador 1'!F283="",'Avaliador 2'!F283=""),"",IF(AND('Avaliador 1'!F283='Avaliador 2'!F283,'Avaliador 1'!G283='Avaliador 2'!G283,'Avaliador 1'!H283='Avaliador 2'!H283,'Avaliador 1'!I283='Avaliador 2'!I283),"Não","Sim"))</f>
        <v/>
      </c>
      <c r="O283" s="14"/>
      <c r="P283" s="10" t="str">
        <f aca="false">IF(LEN(H283)=3,"Defeito encontrado",IF(I283="Sim","Falso alarme",IF(H283="—","Nenhum defeito apontado","")))</f>
        <v/>
      </c>
    </row>
    <row r="284" customFormat="false" ht="15" hidden="false" customHeight="false" outlineLevel="0" collapsed="false">
      <c r="A284" s="11" t="str">
        <f aca="false">Apontamentos!C284</f>
        <v/>
      </c>
      <c r="B284" s="11" t="str">
        <f aca="false">IF(Apontamentos!$C284="","",Apontamentos!A284&amp;"")</f>
        <v/>
      </c>
      <c r="C284" s="11" t="str">
        <f aca="false">IF(B284="","",IFERROR(INDEX(Execuções!$C$2:$C$97,MATCH(B284,Execuções!$A$2:$A$97,0)),"ID?"))</f>
        <v/>
      </c>
      <c r="D284" s="10" t="str">
        <f aca="false">IF(B284="","",IFERROR(INDEX(Execuções!$B$2:$B$97,MATCH(B284,Execuções!$A$2:$A$97,0)),"ID?"))</f>
        <v/>
      </c>
      <c r="E284" s="11" t="str">
        <f aca="false">IF(B284="","",Apontamentos!D284)</f>
        <v/>
      </c>
      <c r="F284" s="11" t="str">
        <f aca="false">IF(B284="","",Apontamentos!E284)</f>
        <v/>
      </c>
      <c r="G284" s="10" t="str">
        <f aca="false">IF(B284="","",Apontamentos!G284&amp;"")</f>
        <v/>
      </c>
      <c r="H284" s="14" t="str">
        <f aca="false">IF('Avaliador 1'!F284='Avaliador 2'!F284,'Avaliador 1'!F284&amp;"","")</f>
        <v/>
      </c>
      <c r="I284" s="14" t="str">
        <f aca="false">IF('Avaliador 1'!G284='Avaliador 2'!G284,'Avaliador 1'!G284&amp;"","")</f>
        <v/>
      </c>
      <c r="J284" s="14" t="str">
        <f aca="false">IF('Avaliador 1'!H284='Avaliador 2'!H284,'Avaliador 1'!H284&amp;"","")</f>
        <v/>
      </c>
      <c r="K284" s="14" t="str">
        <f aca="false">IF('Avaliador 1'!I284='Avaliador 2'!I284,'Avaliador 1'!I284&amp;"","")</f>
        <v/>
      </c>
      <c r="L284" s="13"/>
      <c r="M284" s="13" t="str">
        <f aca="false">IF('Avaliador 1'!J284='Avaliador 2'!J284,'Avaliador 1'!J284&amp;"","")</f>
        <v/>
      </c>
      <c r="N284" s="11" t="str">
        <f aca="false">IF(OR('Avaliador 1'!F284="",'Avaliador 2'!F284=""),"",IF(AND('Avaliador 1'!F284='Avaliador 2'!F284,'Avaliador 1'!G284='Avaliador 2'!G284,'Avaliador 1'!H284='Avaliador 2'!H284,'Avaliador 1'!I284='Avaliador 2'!I284),"Não","Sim"))</f>
        <v/>
      </c>
      <c r="O284" s="14"/>
      <c r="P284" s="10" t="str">
        <f aca="false">IF(LEN(H284)=3,"Defeito encontrado",IF(I284="Sim","Falso alarme",IF(H284="—","Nenhum defeito apontado","")))</f>
        <v/>
      </c>
    </row>
    <row r="285" customFormat="false" ht="15" hidden="false" customHeight="false" outlineLevel="0" collapsed="false">
      <c r="A285" s="11" t="str">
        <f aca="false">Apontamentos!C285</f>
        <v/>
      </c>
      <c r="B285" s="11" t="str">
        <f aca="false">IF(Apontamentos!$C285="","",Apontamentos!A285&amp;"")</f>
        <v/>
      </c>
      <c r="C285" s="11" t="str">
        <f aca="false">IF(B285="","",IFERROR(INDEX(Execuções!$C$2:$C$97,MATCH(B285,Execuções!$A$2:$A$97,0)),"ID?"))</f>
        <v/>
      </c>
      <c r="D285" s="10" t="str">
        <f aca="false">IF(B285="","",IFERROR(INDEX(Execuções!$B$2:$B$97,MATCH(B285,Execuções!$A$2:$A$97,0)),"ID?"))</f>
        <v/>
      </c>
      <c r="E285" s="11" t="str">
        <f aca="false">IF(B285="","",Apontamentos!D285)</f>
        <v/>
      </c>
      <c r="F285" s="11" t="str">
        <f aca="false">IF(B285="","",Apontamentos!E285)</f>
        <v/>
      </c>
      <c r="G285" s="10" t="str">
        <f aca="false">IF(B285="","",Apontamentos!G285&amp;"")</f>
        <v/>
      </c>
      <c r="H285" s="14" t="str">
        <f aca="false">IF('Avaliador 1'!F285='Avaliador 2'!F285,'Avaliador 1'!F285&amp;"","")</f>
        <v/>
      </c>
      <c r="I285" s="14" t="str">
        <f aca="false">IF('Avaliador 1'!G285='Avaliador 2'!G285,'Avaliador 1'!G285&amp;"","")</f>
        <v/>
      </c>
      <c r="J285" s="14" t="str">
        <f aca="false">IF('Avaliador 1'!H285='Avaliador 2'!H285,'Avaliador 1'!H285&amp;"","")</f>
        <v/>
      </c>
      <c r="K285" s="14" t="str">
        <f aca="false">IF('Avaliador 1'!I285='Avaliador 2'!I285,'Avaliador 1'!I285&amp;"","")</f>
        <v/>
      </c>
      <c r="L285" s="13"/>
      <c r="M285" s="13" t="str">
        <f aca="false">IF('Avaliador 1'!J285='Avaliador 2'!J285,'Avaliador 1'!J285&amp;"","")</f>
        <v/>
      </c>
      <c r="N285" s="11" t="str">
        <f aca="false">IF(OR('Avaliador 1'!F285="",'Avaliador 2'!F285=""),"",IF(AND('Avaliador 1'!F285='Avaliador 2'!F285,'Avaliador 1'!G285='Avaliador 2'!G285,'Avaliador 1'!H285='Avaliador 2'!H285,'Avaliador 1'!I285='Avaliador 2'!I285),"Não","Sim"))</f>
        <v/>
      </c>
      <c r="O285" s="14"/>
      <c r="P285" s="10" t="str">
        <f aca="false">IF(LEN(H285)=3,"Defeito encontrado",IF(I285="Sim","Falso alarme",IF(H285="—","Nenhum defeito apontado","")))</f>
        <v/>
      </c>
    </row>
    <row r="286" customFormat="false" ht="15" hidden="false" customHeight="false" outlineLevel="0" collapsed="false">
      <c r="A286" s="11" t="str">
        <f aca="false">Apontamentos!C286</f>
        <v/>
      </c>
      <c r="B286" s="11" t="str">
        <f aca="false">IF(Apontamentos!$C286="","",Apontamentos!A286&amp;"")</f>
        <v/>
      </c>
      <c r="C286" s="11" t="str">
        <f aca="false">IF(B286="","",IFERROR(INDEX(Execuções!$C$2:$C$97,MATCH(B286,Execuções!$A$2:$A$97,0)),"ID?"))</f>
        <v/>
      </c>
      <c r="D286" s="10" t="str">
        <f aca="false">IF(B286="","",IFERROR(INDEX(Execuções!$B$2:$B$97,MATCH(B286,Execuções!$A$2:$A$97,0)),"ID?"))</f>
        <v/>
      </c>
      <c r="E286" s="11" t="str">
        <f aca="false">IF(B286="","",Apontamentos!D286)</f>
        <v/>
      </c>
      <c r="F286" s="11" t="str">
        <f aca="false">IF(B286="","",Apontamentos!E286)</f>
        <v/>
      </c>
      <c r="G286" s="10" t="str">
        <f aca="false">IF(B286="","",Apontamentos!G286&amp;"")</f>
        <v/>
      </c>
      <c r="H286" s="14" t="str">
        <f aca="false">IF('Avaliador 1'!F286='Avaliador 2'!F286,'Avaliador 1'!F286&amp;"","")</f>
        <v/>
      </c>
      <c r="I286" s="14" t="str">
        <f aca="false">IF('Avaliador 1'!G286='Avaliador 2'!G286,'Avaliador 1'!G286&amp;"","")</f>
        <v/>
      </c>
      <c r="J286" s="14" t="str">
        <f aca="false">IF('Avaliador 1'!H286='Avaliador 2'!H286,'Avaliador 1'!H286&amp;"","")</f>
        <v/>
      </c>
      <c r="K286" s="14" t="str">
        <f aca="false">IF('Avaliador 1'!I286='Avaliador 2'!I286,'Avaliador 1'!I286&amp;"","")</f>
        <v/>
      </c>
      <c r="L286" s="13"/>
      <c r="M286" s="13" t="str">
        <f aca="false">IF('Avaliador 1'!J286='Avaliador 2'!J286,'Avaliador 1'!J286&amp;"","")</f>
        <v/>
      </c>
      <c r="N286" s="11" t="str">
        <f aca="false">IF(OR('Avaliador 1'!F286="",'Avaliador 2'!F286=""),"",IF(AND('Avaliador 1'!F286='Avaliador 2'!F286,'Avaliador 1'!G286='Avaliador 2'!G286,'Avaliador 1'!H286='Avaliador 2'!H286,'Avaliador 1'!I286='Avaliador 2'!I286),"Não","Sim"))</f>
        <v/>
      </c>
      <c r="O286" s="14"/>
      <c r="P286" s="10" t="str">
        <f aca="false">IF(LEN(H286)=3,"Defeito encontrado",IF(I286="Sim","Falso alarme",IF(H286="—","Nenhum defeito apontado","")))</f>
        <v/>
      </c>
    </row>
    <row r="287" customFormat="false" ht="15" hidden="false" customHeight="false" outlineLevel="0" collapsed="false">
      <c r="A287" s="11" t="str">
        <f aca="false">Apontamentos!C287</f>
        <v/>
      </c>
      <c r="B287" s="11" t="str">
        <f aca="false">IF(Apontamentos!$C287="","",Apontamentos!A287&amp;"")</f>
        <v/>
      </c>
      <c r="C287" s="11" t="str">
        <f aca="false">IF(B287="","",IFERROR(INDEX(Execuções!$C$2:$C$97,MATCH(B287,Execuções!$A$2:$A$97,0)),"ID?"))</f>
        <v/>
      </c>
      <c r="D287" s="10" t="str">
        <f aca="false">IF(B287="","",IFERROR(INDEX(Execuções!$B$2:$B$97,MATCH(B287,Execuções!$A$2:$A$97,0)),"ID?"))</f>
        <v/>
      </c>
      <c r="E287" s="11" t="str">
        <f aca="false">IF(B287="","",Apontamentos!D287)</f>
        <v/>
      </c>
      <c r="F287" s="11" t="str">
        <f aca="false">IF(B287="","",Apontamentos!E287)</f>
        <v/>
      </c>
      <c r="G287" s="10" t="str">
        <f aca="false">IF(B287="","",Apontamentos!G287&amp;"")</f>
        <v/>
      </c>
      <c r="H287" s="14" t="str">
        <f aca="false">IF('Avaliador 1'!F287='Avaliador 2'!F287,'Avaliador 1'!F287&amp;"","")</f>
        <v/>
      </c>
      <c r="I287" s="14" t="str">
        <f aca="false">IF('Avaliador 1'!G287='Avaliador 2'!G287,'Avaliador 1'!G287&amp;"","")</f>
        <v/>
      </c>
      <c r="J287" s="14" t="str">
        <f aca="false">IF('Avaliador 1'!H287='Avaliador 2'!H287,'Avaliador 1'!H287&amp;"","")</f>
        <v/>
      </c>
      <c r="K287" s="14" t="str">
        <f aca="false">IF('Avaliador 1'!I287='Avaliador 2'!I287,'Avaliador 1'!I287&amp;"","")</f>
        <v/>
      </c>
      <c r="L287" s="13"/>
      <c r="M287" s="13" t="str">
        <f aca="false">IF('Avaliador 1'!J287='Avaliador 2'!J287,'Avaliador 1'!J287&amp;"","")</f>
        <v/>
      </c>
      <c r="N287" s="11" t="str">
        <f aca="false">IF(OR('Avaliador 1'!F287="",'Avaliador 2'!F287=""),"",IF(AND('Avaliador 1'!F287='Avaliador 2'!F287,'Avaliador 1'!G287='Avaliador 2'!G287,'Avaliador 1'!H287='Avaliador 2'!H287,'Avaliador 1'!I287='Avaliador 2'!I287),"Não","Sim"))</f>
        <v/>
      </c>
      <c r="O287" s="14"/>
      <c r="P287" s="10" t="str">
        <f aca="false">IF(LEN(H287)=3,"Defeito encontrado",IF(I287="Sim","Falso alarme",IF(H287="—","Nenhum defeito apontado","")))</f>
        <v/>
      </c>
    </row>
    <row r="288" customFormat="false" ht="15" hidden="false" customHeight="false" outlineLevel="0" collapsed="false">
      <c r="A288" s="11" t="str">
        <f aca="false">Apontamentos!C288</f>
        <v/>
      </c>
      <c r="B288" s="11" t="str">
        <f aca="false">IF(Apontamentos!$C288="","",Apontamentos!A288&amp;"")</f>
        <v/>
      </c>
      <c r="C288" s="11" t="str">
        <f aca="false">IF(B288="","",IFERROR(INDEX(Execuções!$C$2:$C$97,MATCH(B288,Execuções!$A$2:$A$97,0)),"ID?"))</f>
        <v/>
      </c>
      <c r="D288" s="10" t="str">
        <f aca="false">IF(B288="","",IFERROR(INDEX(Execuções!$B$2:$B$97,MATCH(B288,Execuções!$A$2:$A$97,0)),"ID?"))</f>
        <v/>
      </c>
      <c r="E288" s="11" t="str">
        <f aca="false">IF(B288="","",Apontamentos!D288)</f>
        <v/>
      </c>
      <c r="F288" s="11" t="str">
        <f aca="false">IF(B288="","",Apontamentos!E288)</f>
        <v/>
      </c>
      <c r="G288" s="10" t="str">
        <f aca="false">IF(B288="","",Apontamentos!G288&amp;"")</f>
        <v/>
      </c>
      <c r="H288" s="14" t="str">
        <f aca="false">IF('Avaliador 1'!F288='Avaliador 2'!F288,'Avaliador 1'!F288&amp;"","")</f>
        <v/>
      </c>
      <c r="I288" s="14" t="str">
        <f aca="false">IF('Avaliador 1'!G288='Avaliador 2'!G288,'Avaliador 1'!G288&amp;"","")</f>
        <v/>
      </c>
      <c r="J288" s="14" t="str">
        <f aca="false">IF('Avaliador 1'!H288='Avaliador 2'!H288,'Avaliador 1'!H288&amp;"","")</f>
        <v/>
      </c>
      <c r="K288" s="14" t="str">
        <f aca="false">IF('Avaliador 1'!I288='Avaliador 2'!I288,'Avaliador 1'!I288&amp;"","")</f>
        <v/>
      </c>
      <c r="L288" s="13"/>
      <c r="M288" s="13" t="str">
        <f aca="false">IF('Avaliador 1'!J288='Avaliador 2'!J288,'Avaliador 1'!J288&amp;"","")</f>
        <v/>
      </c>
      <c r="N288" s="11" t="str">
        <f aca="false">IF(OR('Avaliador 1'!F288="",'Avaliador 2'!F288=""),"",IF(AND('Avaliador 1'!F288='Avaliador 2'!F288,'Avaliador 1'!G288='Avaliador 2'!G288,'Avaliador 1'!H288='Avaliador 2'!H288,'Avaliador 1'!I288='Avaliador 2'!I288),"Não","Sim"))</f>
        <v/>
      </c>
      <c r="O288" s="14"/>
      <c r="P288" s="10" t="str">
        <f aca="false">IF(LEN(H288)=3,"Defeito encontrado",IF(I288="Sim","Falso alarme",IF(H288="—","Nenhum defeito apontado","")))</f>
        <v/>
      </c>
    </row>
    <row r="289" customFormat="false" ht="15" hidden="false" customHeight="false" outlineLevel="0" collapsed="false">
      <c r="A289" s="11" t="str">
        <f aca="false">Apontamentos!C289</f>
        <v/>
      </c>
      <c r="B289" s="11" t="str">
        <f aca="false">IF(Apontamentos!$C289="","",Apontamentos!A289&amp;"")</f>
        <v/>
      </c>
      <c r="C289" s="11" t="str">
        <f aca="false">IF(B289="","",IFERROR(INDEX(Execuções!$C$2:$C$97,MATCH(B289,Execuções!$A$2:$A$97,0)),"ID?"))</f>
        <v/>
      </c>
      <c r="D289" s="10" t="str">
        <f aca="false">IF(B289="","",IFERROR(INDEX(Execuções!$B$2:$B$97,MATCH(B289,Execuções!$A$2:$A$97,0)),"ID?"))</f>
        <v/>
      </c>
      <c r="E289" s="11" t="str">
        <f aca="false">IF(B289="","",Apontamentos!D289)</f>
        <v/>
      </c>
      <c r="F289" s="11" t="str">
        <f aca="false">IF(B289="","",Apontamentos!E289)</f>
        <v/>
      </c>
      <c r="G289" s="10" t="str">
        <f aca="false">IF(B289="","",Apontamentos!G289&amp;"")</f>
        <v/>
      </c>
      <c r="H289" s="14" t="str">
        <f aca="false">IF('Avaliador 1'!F289='Avaliador 2'!F289,'Avaliador 1'!F289&amp;"","")</f>
        <v/>
      </c>
      <c r="I289" s="14" t="str">
        <f aca="false">IF('Avaliador 1'!G289='Avaliador 2'!G289,'Avaliador 1'!G289&amp;"","")</f>
        <v/>
      </c>
      <c r="J289" s="14" t="str">
        <f aca="false">IF('Avaliador 1'!H289='Avaliador 2'!H289,'Avaliador 1'!H289&amp;"","")</f>
        <v/>
      </c>
      <c r="K289" s="14" t="str">
        <f aca="false">IF('Avaliador 1'!I289='Avaliador 2'!I289,'Avaliador 1'!I289&amp;"","")</f>
        <v/>
      </c>
      <c r="L289" s="13"/>
      <c r="M289" s="13" t="str">
        <f aca="false">IF('Avaliador 1'!J289='Avaliador 2'!J289,'Avaliador 1'!J289&amp;"","")</f>
        <v/>
      </c>
      <c r="N289" s="11" t="str">
        <f aca="false">IF(OR('Avaliador 1'!F289="",'Avaliador 2'!F289=""),"",IF(AND('Avaliador 1'!F289='Avaliador 2'!F289,'Avaliador 1'!G289='Avaliador 2'!G289,'Avaliador 1'!H289='Avaliador 2'!H289,'Avaliador 1'!I289='Avaliador 2'!I289),"Não","Sim"))</f>
        <v/>
      </c>
      <c r="O289" s="14"/>
      <c r="P289" s="10" t="str">
        <f aca="false">IF(LEN(H289)=3,"Defeito encontrado",IF(I289="Sim","Falso alarme",IF(H289="—","Nenhum defeito apontado","")))</f>
        <v/>
      </c>
    </row>
    <row r="290" customFormat="false" ht="15" hidden="false" customHeight="false" outlineLevel="0" collapsed="false">
      <c r="A290" s="11" t="str">
        <f aca="false">Apontamentos!C290</f>
        <v/>
      </c>
      <c r="B290" s="11" t="str">
        <f aca="false">IF(Apontamentos!$C290="","",Apontamentos!A290&amp;"")</f>
        <v/>
      </c>
      <c r="C290" s="11" t="str">
        <f aca="false">IF(B290="","",IFERROR(INDEX(Execuções!$C$2:$C$97,MATCH(B290,Execuções!$A$2:$A$97,0)),"ID?"))</f>
        <v/>
      </c>
      <c r="D290" s="10" t="str">
        <f aca="false">IF(B290="","",IFERROR(INDEX(Execuções!$B$2:$B$97,MATCH(B290,Execuções!$A$2:$A$97,0)),"ID?"))</f>
        <v/>
      </c>
      <c r="E290" s="11" t="str">
        <f aca="false">IF(B290="","",Apontamentos!D290)</f>
        <v/>
      </c>
      <c r="F290" s="11" t="str">
        <f aca="false">IF(B290="","",Apontamentos!E290)</f>
        <v/>
      </c>
      <c r="G290" s="10" t="str">
        <f aca="false">IF(B290="","",Apontamentos!G290&amp;"")</f>
        <v/>
      </c>
      <c r="H290" s="14" t="str">
        <f aca="false">IF('Avaliador 1'!F290='Avaliador 2'!F290,'Avaliador 1'!F290&amp;"","")</f>
        <v/>
      </c>
      <c r="I290" s="14" t="str">
        <f aca="false">IF('Avaliador 1'!G290='Avaliador 2'!G290,'Avaliador 1'!G290&amp;"","")</f>
        <v/>
      </c>
      <c r="J290" s="14" t="str">
        <f aca="false">IF('Avaliador 1'!H290='Avaliador 2'!H290,'Avaliador 1'!H290&amp;"","")</f>
        <v/>
      </c>
      <c r="K290" s="14" t="str">
        <f aca="false">IF('Avaliador 1'!I290='Avaliador 2'!I290,'Avaliador 1'!I290&amp;"","")</f>
        <v/>
      </c>
      <c r="L290" s="13"/>
      <c r="M290" s="13" t="str">
        <f aca="false">IF('Avaliador 1'!J290='Avaliador 2'!J290,'Avaliador 1'!J290&amp;"","")</f>
        <v/>
      </c>
      <c r="N290" s="11" t="str">
        <f aca="false">IF(OR('Avaliador 1'!F290="",'Avaliador 2'!F290=""),"",IF(AND('Avaliador 1'!F290='Avaliador 2'!F290,'Avaliador 1'!G290='Avaliador 2'!G290,'Avaliador 1'!H290='Avaliador 2'!H290,'Avaliador 1'!I290='Avaliador 2'!I290),"Não","Sim"))</f>
        <v/>
      </c>
      <c r="O290" s="14"/>
      <c r="P290" s="10" t="str">
        <f aca="false">IF(LEN(H290)=3,"Defeito encontrado",IF(I290="Sim","Falso alarme",IF(H290="—","Nenhum defeito apontado","")))</f>
        <v/>
      </c>
    </row>
    <row r="291" customFormat="false" ht="15" hidden="false" customHeight="false" outlineLevel="0" collapsed="false">
      <c r="A291" s="11" t="str">
        <f aca="false">Apontamentos!C291</f>
        <v/>
      </c>
      <c r="B291" s="11" t="str">
        <f aca="false">IF(Apontamentos!$C291="","",Apontamentos!A291&amp;"")</f>
        <v/>
      </c>
      <c r="C291" s="11" t="str">
        <f aca="false">IF(B291="","",IFERROR(INDEX(Execuções!$C$2:$C$97,MATCH(B291,Execuções!$A$2:$A$97,0)),"ID?"))</f>
        <v/>
      </c>
      <c r="D291" s="10" t="str">
        <f aca="false">IF(B291="","",IFERROR(INDEX(Execuções!$B$2:$B$97,MATCH(B291,Execuções!$A$2:$A$97,0)),"ID?"))</f>
        <v/>
      </c>
      <c r="E291" s="11" t="str">
        <f aca="false">IF(B291="","",Apontamentos!D291)</f>
        <v/>
      </c>
      <c r="F291" s="11" t="str">
        <f aca="false">IF(B291="","",Apontamentos!E291)</f>
        <v/>
      </c>
      <c r="G291" s="10" t="str">
        <f aca="false">IF(B291="","",Apontamentos!G291&amp;"")</f>
        <v/>
      </c>
      <c r="H291" s="14" t="str">
        <f aca="false">IF('Avaliador 1'!F291='Avaliador 2'!F291,'Avaliador 1'!F291&amp;"","")</f>
        <v/>
      </c>
      <c r="I291" s="14" t="str">
        <f aca="false">IF('Avaliador 1'!G291='Avaliador 2'!G291,'Avaliador 1'!G291&amp;"","")</f>
        <v/>
      </c>
      <c r="J291" s="14" t="str">
        <f aca="false">IF('Avaliador 1'!H291='Avaliador 2'!H291,'Avaliador 1'!H291&amp;"","")</f>
        <v/>
      </c>
      <c r="K291" s="14" t="str">
        <f aca="false">IF('Avaliador 1'!I291='Avaliador 2'!I291,'Avaliador 1'!I291&amp;"","")</f>
        <v/>
      </c>
      <c r="L291" s="13"/>
      <c r="M291" s="13" t="str">
        <f aca="false">IF('Avaliador 1'!J291='Avaliador 2'!J291,'Avaliador 1'!J291&amp;"","")</f>
        <v/>
      </c>
      <c r="N291" s="11" t="str">
        <f aca="false">IF(OR('Avaliador 1'!F291="",'Avaliador 2'!F291=""),"",IF(AND('Avaliador 1'!F291='Avaliador 2'!F291,'Avaliador 1'!G291='Avaliador 2'!G291,'Avaliador 1'!H291='Avaliador 2'!H291,'Avaliador 1'!I291='Avaliador 2'!I291),"Não","Sim"))</f>
        <v/>
      </c>
      <c r="O291" s="14"/>
      <c r="P291" s="10" t="str">
        <f aca="false">IF(LEN(H291)=3,"Defeito encontrado",IF(I291="Sim","Falso alarme",IF(H291="—","Nenhum defeito apontado","")))</f>
        <v/>
      </c>
    </row>
    <row r="292" customFormat="false" ht="15" hidden="false" customHeight="false" outlineLevel="0" collapsed="false">
      <c r="A292" s="11" t="str">
        <f aca="false">Apontamentos!C292</f>
        <v/>
      </c>
      <c r="B292" s="11" t="str">
        <f aca="false">IF(Apontamentos!$C292="","",Apontamentos!A292&amp;"")</f>
        <v/>
      </c>
      <c r="C292" s="11" t="str">
        <f aca="false">IF(B292="","",IFERROR(INDEX(Execuções!$C$2:$C$97,MATCH(B292,Execuções!$A$2:$A$97,0)),"ID?"))</f>
        <v/>
      </c>
      <c r="D292" s="10" t="str">
        <f aca="false">IF(B292="","",IFERROR(INDEX(Execuções!$B$2:$B$97,MATCH(B292,Execuções!$A$2:$A$97,0)),"ID?"))</f>
        <v/>
      </c>
      <c r="E292" s="11" t="str">
        <f aca="false">IF(B292="","",Apontamentos!D292)</f>
        <v/>
      </c>
      <c r="F292" s="11" t="str">
        <f aca="false">IF(B292="","",Apontamentos!E292)</f>
        <v/>
      </c>
      <c r="G292" s="10" t="str">
        <f aca="false">IF(B292="","",Apontamentos!G292&amp;"")</f>
        <v/>
      </c>
      <c r="H292" s="14" t="str">
        <f aca="false">IF('Avaliador 1'!F292='Avaliador 2'!F292,'Avaliador 1'!F292&amp;"","")</f>
        <v/>
      </c>
      <c r="I292" s="14" t="str">
        <f aca="false">IF('Avaliador 1'!G292='Avaliador 2'!G292,'Avaliador 1'!G292&amp;"","")</f>
        <v/>
      </c>
      <c r="J292" s="14" t="str">
        <f aca="false">IF('Avaliador 1'!H292='Avaliador 2'!H292,'Avaliador 1'!H292&amp;"","")</f>
        <v/>
      </c>
      <c r="K292" s="14" t="str">
        <f aca="false">IF('Avaliador 1'!I292='Avaliador 2'!I292,'Avaliador 1'!I292&amp;"","")</f>
        <v/>
      </c>
      <c r="L292" s="13"/>
      <c r="M292" s="13" t="str">
        <f aca="false">IF('Avaliador 1'!J292='Avaliador 2'!J292,'Avaliador 1'!J292&amp;"","")</f>
        <v/>
      </c>
      <c r="N292" s="11" t="str">
        <f aca="false">IF(OR('Avaliador 1'!F292="",'Avaliador 2'!F292=""),"",IF(AND('Avaliador 1'!F292='Avaliador 2'!F292,'Avaliador 1'!G292='Avaliador 2'!G292,'Avaliador 1'!H292='Avaliador 2'!H292,'Avaliador 1'!I292='Avaliador 2'!I292),"Não","Sim"))</f>
        <v/>
      </c>
      <c r="O292" s="14"/>
      <c r="P292" s="10" t="str">
        <f aca="false">IF(LEN(H292)=3,"Defeito encontrado",IF(I292="Sim","Falso alarme",IF(H292="—","Nenhum defeito apontado","")))</f>
        <v/>
      </c>
    </row>
    <row r="293" customFormat="false" ht="15" hidden="false" customHeight="false" outlineLevel="0" collapsed="false">
      <c r="A293" s="11" t="str">
        <f aca="false">Apontamentos!C293</f>
        <v/>
      </c>
      <c r="B293" s="11" t="str">
        <f aca="false">IF(Apontamentos!$C293="","",Apontamentos!A293&amp;"")</f>
        <v/>
      </c>
      <c r="C293" s="11" t="str">
        <f aca="false">IF(B293="","",IFERROR(INDEX(Execuções!$C$2:$C$97,MATCH(B293,Execuções!$A$2:$A$97,0)),"ID?"))</f>
        <v/>
      </c>
      <c r="D293" s="10" t="str">
        <f aca="false">IF(B293="","",IFERROR(INDEX(Execuções!$B$2:$B$97,MATCH(B293,Execuções!$A$2:$A$97,0)),"ID?"))</f>
        <v/>
      </c>
      <c r="E293" s="11" t="str">
        <f aca="false">IF(B293="","",Apontamentos!D293)</f>
        <v/>
      </c>
      <c r="F293" s="11" t="str">
        <f aca="false">IF(B293="","",Apontamentos!E293)</f>
        <v/>
      </c>
      <c r="G293" s="10" t="str">
        <f aca="false">IF(B293="","",Apontamentos!G293&amp;"")</f>
        <v/>
      </c>
      <c r="H293" s="14" t="str">
        <f aca="false">IF('Avaliador 1'!F293='Avaliador 2'!F293,'Avaliador 1'!F293&amp;"","")</f>
        <v/>
      </c>
      <c r="I293" s="14" t="str">
        <f aca="false">IF('Avaliador 1'!G293='Avaliador 2'!G293,'Avaliador 1'!G293&amp;"","")</f>
        <v/>
      </c>
      <c r="J293" s="14" t="str">
        <f aca="false">IF('Avaliador 1'!H293='Avaliador 2'!H293,'Avaliador 1'!H293&amp;"","")</f>
        <v/>
      </c>
      <c r="K293" s="14" t="str">
        <f aca="false">IF('Avaliador 1'!I293='Avaliador 2'!I293,'Avaliador 1'!I293&amp;"","")</f>
        <v/>
      </c>
      <c r="L293" s="13"/>
      <c r="M293" s="13" t="str">
        <f aca="false">IF('Avaliador 1'!J293='Avaliador 2'!J293,'Avaliador 1'!J293&amp;"","")</f>
        <v/>
      </c>
      <c r="N293" s="11" t="str">
        <f aca="false">IF(OR('Avaliador 1'!F293="",'Avaliador 2'!F293=""),"",IF(AND('Avaliador 1'!F293='Avaliador 2'!F293,'Avaliador 1'!G293='Avaliador 2'!G293,'Avaliador 1'!H293='Avaliador 2'!H293,'Avaliador 1'!I293='Avaliador 2'!I293),"Não","Sim"))</f>
        <v/>
      </c>
      <c r="O293" s="14"/>
      <c r="P293" s="10" t="str">
        <f aca="false">IF(LEN(H293)=3,"Defeito encontrado",IF(I293="Sim","Falso alarme",IF(H293="—","Nenhum defeito apontado","")))</f>
        <v/>
      </c>
    </row>
    <row r="294" customFormat="false" ht="15" hidden="false" customHeight="false" outlineLevel="0" collapsed="false">
      <c r="A294" s="11" t="str">
        <f aca="false">Apontamentos!C294</f>
        <v/>
      </c>
      <c r="B294" s="11" t="str">
        <f aca="false">IF(Apontamentos!$C294="","",Apontamentos!A294&amp;"")</f>
        <v/>
      </c>
      <c r="C294" s="11" t="str">
        <f aca="false">IF(B294="","",IFERROR(INDEX(Execuções!$C$2:$C$97,MATCH(B294,Execuções!$A$2:$A$97,0)),"ID?"))</f>
        <v/>
      </c>
      <c r="D294" s="10" t="str">
        <f aca="false">IF(B294="","",IFERROR(INDEX(Execuções!$B$2:$B$97,MATCH(B294,Execuções!$A$2:$A$97,0)),"ID?"))</f>
        <v/>
      </c>
      <c r="E294" s="11" t="str">
        <f aca="false">IF(B294="","",Apontamentos!D294)</f>
        <v/>
      </c>
      <c r="F294" s="11" t="str">
        <f aca="false">IF(B294="","",Apontamentos!E294)</f>
        <v/>
      </c>
      <c r="G294" s="10" t="str">
        <f aca="false">IF(B294="","",Apontamentos!G294&amp;"")</f>
        <v/>
      </c>
      <c r="H294" s="14" t="str">
        <f aca="false">IF('Avaliador 1'!F294='Avaliador 2'!F294,'Avaliador 1'!F294&amp;"","")</f>
        <v/>
      </c>
      <c r="I294" s="14" t="str">
        <f aca="false">IF('Avaliador 1'!G294='Avaliador 2'!G294,'Avaliador 1'!G294&amp;"","")</f>
        <v/>
      </c>
      <c r="J294" s="14" t="str">
        <f aca="false">IF('Avaliador 1'!H294='Avaliador 2'!H294,'Avaliador 1'!H294&amp;"","")</f>
        <v/>
      </c>
      <c r="K294" s="14" t="str">
        <f aca="false">IF('Avaliador 1'!I294='Avaliador 2'!I294,'Avaliador 1'!I294&amp;"","")</f>
        <v/>
      </c>
      <c r="L294" s="13"/>
      <c r="M294" s="13" t="str">
        <f aca="false">IF('Avaliador 1'!J294='Avaliador 2'!J294,'Avaliador 1'!J294&amp;"","")</f>
        <v/>
      </c>
      <c r="N294" s="11" t="str">
        <f aca="false">IF(OR('Avaliador 1'!F294="",'Avaliador 2'!F294=""),"",IF(AND('Avaliador 1'!F294='Avaliador 2'!F294,'Avaliador 1'!G294='Avaliador 2'!G294,'Avaliador 1'!H294='Avaliador 2'!H294,'Avaliador 1'!I294='Avaliador 2'!I294),"Não","Sim"))</f>
        <v/>
      </c>
      <c r="O294" s="14"/>
      <c r="P294" s="10" t="str">
        <f aca="false">IF(LEN(H294)=3,"Defeito encontrado",IF(I294="Sim","Falso alarme",IF(H294="—","Nenhum defeito apontado","")))</f>
        <v/>
      </c>
    </row>
    <row r="295" customFormat="false" ht="15" hidden="false" customHeight="false" outlineLevel="0" collapsed="false">
      <c r="A295" s="11" t="str">
        <f aca="false">Apontamentos!C295</f>
        <v/>
      </c>
      <c r="B295" s="11" t="str">
        <f aca="false">IF(Apontamentos!$C295="","",Apontamentos!A295&amp;"")</f>
        <v/>
      </c>
      <c r="C295" s="11" t="str">
        <f aca="false">IF(B295="","",IFERROR(INDEX(Execuções!$C$2:$C$97,MATCH(B295,Execuções!$A$2:$A$97,0)),"ID?"))</f>
        <v/>
      </c>
      <c r="D295" s="10" t="str">
        <f aca="false">IF(B295="","",IFERROR(INDEX(Execuções!$B$2:$B$97,MATCH(B295,Execuções!$A$2:$A$97,0)),"ID?"))</f>
        <v/>
      </c>
      <c r="E295" s="11" t="str">
        <f aca="false">IF(B295="","",Apontamentos!D295)</f>
        <v/>
      </c>
      <c r="F295" s="11" t="str">
        <f aca="false">IF(B295="","",Apontamentos!E295)</f>
        <v/>
      </c>
      <c r="G295" s="10" t="str">
        <f aca="false">IF(B295="","",Apontamentos!G295&amp;"")</f>
        <v/>
      </c>
      <c r="H295" s="14" t="str">
        <f aca="false">IF('Avaliador 1'!F295='Avaliador 2'!F295,'Avaliador 1'!F295&amp;"","")</f>
        <v/>
      </c>
      <c r="I295" s="14" t="str">
        <f aca="false">IF('Avaliador 1'!G295='Avaliador 2'!G295,'Avaliador 1'!G295&amp;"","")</f>
        <v/>
      </c>
      <c r="J295" s="14" t="str">
        <f aca="false">IF('Avaliador 1'!H295='Avaliador 2'!H295,'Avaliador 1'!H295&amp;"","")</f>
        <v/>
      </c>
      <c r="K295" s="14" t="str">
        <f aca="false">IF('Avaliador 1'!I295='Avaliador 2'!I295,'Avaliador 1'!I295&amp;"","")</f>
        <v/>
      </c>
      <c r="L295" s="13"/>
      <c r="M295" s="13" t="str">
        <f aca="false">IF('Avaliador 1'!J295='Avaliador 2'!J295,'Avaliador 1'!J295&amp;"","")</f>
        <v/>
      </c>
      <c r="N295" s="11" t="str">
        <f aca="false">IF(OR('Avaliador 1'!F295="",'Avaliador 2'!F295=""),"",IF(AND('Avaliador 1'!F295='Avaliador 2'!F295,'Avaliador 1'!G295='Avaliador 2'!G295,'Avaliador 1'!H295='Avaliador 2'!H295,'Avaliador 1'!I295='Avaliador 2'!I295),"Não","Sim"))</f>
        <v/>
      </c>
      <c r="O295" s="14"/>
      <c r="P295" s="10" t="str">
        <f aca="false">IF(LEN(H295)=3,"Defeito encontrado",IF(I295="Sim","Falso alarme",IF(H295="—","Nenhum defeito apontado","")))</f>
        <v/>
      </c>
    </row>
    <row r="296" customFormat="false" ht="15" hidden="false" customHeight="false" outlineLevel="0" collapsed="false">
      <c r="A296" s="11" t="str">
        <f aca="false">Apontamentos!C296</f>
        <v/>
      </c>
      <c r="B296" s="11" t="str">
        <f aca="false">IF(Apontamentos!$C296="","",Apontamentos!A296&amp;"")</f>
        <v/>
      </c>
      <c r="C296" s="11" t="str">
        <f aca="false">IF(B296="","",IFERROR(INDEX(Execuções!$C$2:$C$97,MATCH(B296,Execuções!$A$2:$A$97,0)),"ID?"))</f>
        <v/>
      </c>
      <c r="D296" s="10" t="str">
        <f aca="false">IF(B296="","",IFERROR(INDEX(Execuções!$B$2:$B$97,MATCH(B296,Execuções!$A$2:$A$97,0)),"ID?"))</f>
        <v/>
      </c>
      <c r="E296" s="11" t="str">
        <f aca="false">IF(B296="","",Apontamentos!D296)</f>
        <v/>
      </c>
      <c r="F296" s="11" t="str">
        <f aca="false">IF(B296="","",Apontamentos!E296)</f>
        <v/>
      </c>
      <c r="G296" s="10" t="str">
        <f aca="false">IF(B296="","",Apontamentos!G296&amp;"")</f>
        <v/>
      </c>
      <c r="H296" s="14" t="str">
        <f aca="false">IF('Avaliador 1'!F296='Avaliador 2'!F296,'Avaliador 1'!F296&amp;"","")</f>
        <v/>
      </c>
      <c r="I296" s="14" t="str">
        <f aca="false">IF('Avaliador 1'!G296='Avaliador 2'!G296,'Avaliador 1'!G296&amp;"","")</f>
        <v/>
      </c>
      <c r="J296" s="14" t="str">
        <f aca="false">IF('Avaliador 1'!H296='Avaliador 2'!H296,'Avaliador 1'!H296&amp;"","")</f>
        <v/>
      </c>
      <c r="K296" s="14" t="str">
        <f aca="false">IF('Avaliador 1'!I296='Avaliador 2'!I296,'Avaliador 1'!I296&amp;"","")</f>
        <v/>
      </c>
      <c r="L296" s="13"/>
      <c r="M296" s="13" t="str">
        <f aca="false">IF('Avaliador 1'!J296='Avaliador 2'!J296,'Avaliador 1'!J296&amp;"","")</f>
        <v/>
      </c>
      <c r="N296" s="11" t="str">
        <f aca="false">IF(OR('Avaliador 1'!F296="",'Avaliador 2'!F296=""),"",IF(AND('Avaliador 1'!F296='Avaliador 2'!F296,'Avaliador 1'!G296='Avaliador 2'!G296,'Avaliador 1'!H296='Avaliador 2'!H296,'Avaliador 1'!I296='Avaliador 2'!I296),"Não","Sim"))</f>
        <v/>
      </c>
      <c r="O296" s="14"/>
      <c r="P296" s="10" t="str">
        <f aca="false">IF(LEN(H296)=3,"Defeito encontrado",IF(I296="Sim","Falso alarme",IF(H296="—","Nenhum defeito apontado","")))</f>
        <v/>
      </c>
    </row>
    <row r="297" customFormat="false" ht="15" hidden="false" customHeight="false" outlineLevel="0" collapsed="false">
      <c r="A297" s="11" t="str">
        <f aca="false">Apontamentos!C297</f>
        <v/>
      </c>
      <c r="B297" s="11" t="str">
        <f aca="false">IF(Apontamentos!$C297="","",Apontamentos!A297&amp;"")</f>
        <v/>
      </c>
      <c r="C297" s="11" t="str">
        <f aca="false">IF(B297="","",IFERROR(INDEX(Execuções!$C$2:$C$97,MATCH(B297,Execuções!$A$2:$A$97,0)),"ID?"))</f>
        <v/>
      </c>
      <c r="D297" s="10" t="str">
        <f aca="false">IF(B297="","",IFERROR(INDEX(Execuções!$B$2:$B$97,MATCH(B297,Execuções!$A$2:$A$97,0)),"ID?"))</f>
        <v/>
      </c>
      <c r="E297" s="11" t="str">
        <f aca="false">IF(B297="","",Apontamentos!D297)</f>
        <v/>
      </c>
      <c r="F297" s="11" t="str">
        <f aca="false">IF(B297="","",Apontamentos!E297)</f>
        <v/>
      </c>
      <c r="G297" s="10" t="str">
        <f aca="false">IF(B297="","",Apontamentos!G297&amp;"")</f>
        <v/>
      </c>
      <c r="H297" s="14" t="str">
        <f aca="false">IF('Avaliador 1'!F297='Avaliador 2'!F297,'Avaliador 1'!F297&amp;"","")</f>
        <v/>
      </c>
      <c r="I297" s="14" t="str">
        <f aca="false">IF('Avaliador 1'!G297='Avaliador 2'!G297,'Avaliador 1'!G297&amp;"","")</f>
        <v/>
      </c>
      <c r="J297" s="14" t="str">
        <f aca="false">IF('Avaliador 1'!H297='Avaliador 2'!H297,'Avaliador 1'!H297&amp;"","")</f>
        <v/>
      </c>
      <c r="K297" s="14" t="str">
        <f aca="false">IF('Avaliador 1'!I297='Avaliador 2'!I297,'Avaliador 1'!I297&amp;"","")</f>
        <v/>
      </c>
      <c r="L297" s="13"/>
      <c r="M297" s="13" t="str">
        <f aca="false">IF('Avaliador 1'!J297='Avaliador 2'!J297,'Avaliador 1'!J297&amp;"","")</f>
        <v/>
      </c>
      <c r="N297" s="11" t="str">
        <f aca="false">IF(OR('Avaliador 1'!F297="",'Avaliador 2'!F297=""),"",IF(AND('Avaliador 1'!F297='Avaliador 2'!F297,'Avaliador 1'!G297='Avaliador 2'!G297,'Avaliador 1'!H297='Avaliador 2'!H297,'Avaliador 1'!I297='Avaliador 2'!I297),"Não","Sim"))</f>
        <v/>
      </c>
      <c r="O297" s="14"/>
      <c r="P297" s="10" t="str">
        <f aca="false">IF(LEN(H297)=3,"Defeito encontrado",IF(I297="Sim","Falso alarme",IF(H297="—","Nenhum defeito apontado","")))</f>
        <v/>
      </c>
    </row>
    <row r="298" customFormat="false" ht="15" hidden="false" customHeight="false" outlineLevel="0" collapsed="false">
      <c r="A298" s="11" t="str">
        <f aca="false">Apontamentos!C298</f>
        <v/>
      </c>
      <c r="B298" s="11" t="str">
        <f aca="false">IF(Apontamentos!$C298="","",Apontamentos!A298&amp;"")</f>
        <v/>
      </c>
      <c r="C298" s="11" t="str">
        <f aca="false">IF(B298="","",IFERROR(INDEX(Execuções!$C$2:$C$97,MATCH(B298,Execuções!$A$2:$A$97,0)),"ID?"))</f>
        <v/>
      </c>
      <c r="D298" s="10" t="str">
        <f aca="false">IF(B298="","",IFERROR(INDEX(Execuções!$B$2:$B$97,MATCH(B298,Execuções!$A$2:$A$97,0)),"ID?"))</f>
        <v/>
      </c>
      <c r="E298" s="11" t="str">
        <f aca="false">IF(B298="","",Apontamentos!D298)</f>
        <v/>
      </c>
      <c r="F298" s="11" t="str">
        <f aca="false">IF(B298="","",Apontamentos!E298)</f>
        <v/>
      </c>
      <c r="G298" s="10" t="str">
        <f aca="false">IF(B298="","",Apontamentos!G298&amp;"")</f>
        <v/>
      </c>
      <c r="H298" s="14" t="str">
        <f aca="false">IF('Avaliador 1'!F298='Avaliador 2'!F298,'Avaliador 1'!F298&amp;"","")</f>
        <v/>
      </c>
      <c r="I298" s="14" t="str">
        <f aca="false">IF('Avaliador 1'!G298='Avaliador 2'!G298,'Avaliador 1'!G298&amp;"","")</f>
        <v/>
      </c>
      <c r="J298" s="14" t="str">
        <f aca="false">IF('Avaliador 1'!H298='Avaliador 2'!H298,'Avaliador 1'!H298&amp;"","")</f>
        <v/>
      </c>
      <c r="K298" s="14" t="str">
        <f aca="false">IF('Avaliador 1'!I298='Avaliador 2'!I298,'Avaliador 1'!I298&amp;"","")</f>
        <v/>
      </c>
      <c r="L298" s="13"/>
      <c r="M298" s="13" t="str">
        <f aca="false">IF('Avaliador 1'!J298='Avaliador 2'!J298,'Avaliador 1'!J298&amp;"","")</f>
        <v/>
      </c>
      <c r="N298" s="11" t="str">
        <f aca="false">IF(OR('Avaliador 1'!F298="",'Avaliador 2'!F298=""),"",IF(AND('Avaliador 1'!F298='Avaliador 2'!F298,'Avaliador 1'!G298='Avaliador 2'!G298,'Avaliador 1'!H298='Avaliador 2'!H298,'Avaliador 1'!I298='Avaliador 2'!I298),"Não","Sim"))</f>
        <v/>
      </c>
      <c r="O298" s="14"/>
      <c r="P298" s="10" t="str">
        <f aca="false">IF(LEN(H298)=3,"Defeito encontrado",IF(I298="Sim","Falso alarme",IF(H298="—","Nenhum defeito apontado","")))</f>
        <v/>
      </c>
    </row>
    <row r="299" customFormat="false" ht="15" hidden="false" customHeight="false" outlineLevel="0" collapsed="false">
      <c r="A299" s="11" t="str">
        <f aca="false">Apontamentos!C299</f>
        <v/>
      </c>
      <c r="B299" s="11" t="str">
        <f aca="false">IF(Apontamentos!$C299="","",Apontamentos!A299&amp;"")</f>
        <v/>
      </c>
      <c r="C299" s="11" t="str">
        <f aca="false">IF(B299="","",IFERROR(INDEX(Execuções!$C$2:$C$97,MATCH(B299,Execuções!$A$2:$A$97,0)),"ID?"))</f>
        <v/>
      </c>
      <c r="D299" s="10" t="str">
        <f aca="false">IF(B299="","",IFERROR(INDEX(Execuções!$B$2:$B$97,MATCH(B299,Execuções!$A$2:$A$97,0)),"ID?"))</f>
        <v/>
      </c>
      <c r="E299" s="11" t="str">
        <f aca="false">IF(B299="","",Apontamentos!D299)</f>
        <v/>
      </c>
      <c r="F299" s="11" t="str">
        <f aca="false">IF(B299="","",Apontamentos!E299)</f>
        <v/>
      </c>
      <c r="G299" s="10" t="str">
        <f aca="false">IF(B299="","",Apontamentos!G299&amp;"")</f>
        <v/>
      </c>
      <c r="H299" s="14" t="str">
        <f aca="false">IF('Avaliador 1'!F299='Avaliador 2'!F299,'Avaliador 1'!F299&amp;"","")</f>
        <v/>
      </c>
      <c r="I299" s="14" t="str">
        <f aca="false">IF('Avaliador 1'!G299='Avaliador 2'!G299,'Avaliador 1'!G299&amp;"","")</f>
        <v/>
      </c>
      <c r="J299" s="14" t="str">
        <f aca="false">IF('Avaliador 1'!H299='Avaliador 2'!H299,'Avaliador 1'!H299&amp;"","")</f>
        <v/>
      </c>
      <c r="K299" s="14" t="str">
        <f aca="false">IF('Avaliador 1'!I299='Avaliador 2'!I299,'Avaliador 1'!I299&amp;"","")</f>
        <v/>
      </c>
      <c r="L299" s="13"/>
      <c r="M299" s="13" t="str">
        <f aca="false">IF('Avaliador 1'!J299='Avaliador 2'!J299,'Avaliador 1'!J299&amp;"","")</f>
        <v/>
      </c>
      <c r="N299" s="11" t="str">
        <f aca="false">IF(OR('Avaliador 1'!F299="",'Avaliador 2'!F299=""),"",IF(AND('Avaliador 1'!F299='Avaliador 2'!F299,'Avaliador 1'!G299='Avaliador 2'!G299,'Avaliador 1'!H299='Avaliador 2'!H299,'Avaliador 1'!I299='Avaliador 2'!I299),"Não","Sim"))</f>
        <v/>
      </c>
      <c r="O299" s="14"/>
      <c r="P299" s="10" t="str">
        <f aca="false">IF(LEN(H299)=3,"Defeito encontrado",IF(I299="Sim","Falso alarme",IF(H299="—","Nenhum defeito apontado","")))</f>
        <v/>
      </c>
    </row>
    <row r="300" customFormat="false" ht="15" hidden="false" customHeight="false" outlineLevel="0" collapsed="false">
      <c r="A300" s="11" t="str">
        <f aca="false">Apontamentos!C300</f>
        <v/>
      </c>
      <c r="B300" s="11" t="str">
        <f aca="false">IF(Apontamentos!$C300="","",Apontamentos!A300&amp;"")</f>
        <v/>
      </c>
      <c r="C300" s="11" t="str">
        <f aca="false">IF(B300="","",IFERROR(INDEX(Execuções!$C$2:$C$97,MATCH(B300,Execuções!$A$2:$A$97,0)),"ID?"))</f>
        <v/>
      </c>
      <c r="D300" s="10" t="str">
        <f aca="false">IF(B300="","",IFERROR(INDEX(Execuções!$B$2:$B$97,MATCH(B300,Execuções!$A$2:$A$97,0)),"ID?"))</f>
        <v/>
      </c>
      <c r="E300" s="11" t="str">
        <f aca="false">IF(B300="","",Apontamentos!D300)</f>
        <v/>
      </c>
      <c r="F300" s="11" t="str">
        <f aca="false">IF(B300="","",Apontamentos!E300)</f>
        <v/>
      </c>
      <c r="G300" s="10" t="str">
        <f aca="false">IF(B300="","",Apontamentos!G300&amp;"")</f>
        <v/>
      </c>
      <c r="H300" s="14" t="str">
        <f aca="false">IF('Avaliador 1'!F300='Avaliador 2'!F300,'Avaliador 1'!F300&amp;"","")</f>
        <v/>
      </c>
      <c r="I300" s="14" t="str">
        <f aca="false">IF('Avaliador 1'!G300='Avaliador 2'!G300,'Avaliador 1'!G300&amp;"","")</f>
        <v/>
      </c>
      <c r="J300" s="14" t="str">
        <f aca="false">IF('Avaliador 1'!H300='Avaliador 2'!H300,'Avaliador 1'!H300&amp;"","")</f>
        <v/>
      </c>
      <c r="K300" s="14" t="str">
        <f aca="false">IF('Avaliador 1'!I300='Avaliador 2'!I300,'Avaliador 1'!I300&amp;"","")</f>
        <v/>
      </c>
      <c r="L300" s="13"/>
      <c r="M300" s="13" t="str">
        <f aca="false">IF('Avaliador 1'!J300='Avaliador 2'!J300,'Avaliador 1'!J300&amp;"","")</f>
        <v/>
      </c>
      <c r="N300" s="11" t="str">
        <f aca="false">IF(OR('Avaliador 1'!F300="",'Avaliador 2'!F300=""),"",IF(AND('Avaliador 1'!F300='Avaliador 2'!F300,'Avaliador 1'!G300='Avaliador 2'!G300,'Avaliador 1'!H300='Avaliador 2'!H300,'Avaliador 1'!I300='Avaliador 2'!I300),"Não","Sim"))</f>
        <v/>
      </c>
      <c r="O300" s="14"/>
      <c r="P300" s="10" t="str">
        <f aca="false">IF(LEN(H300)=3,"Defeito encontrado",IF(I300="Sim","Falso alarme",IF(H300="—","Nenhum defeito apontado","")))</f>
        <v/>
      </c>
    </row>
    <row r="301" customFormat="false" ht="15" hidden="false" customHeight="false" outlineLevel="0" collapsed="false">
      <c r="A301" s="11" t="str">
        <f aca="false">Apontamentos!C301</f>
        <v/>
      </c>
      <c r="B301" s="11" t="str">
        <f aca="false">IF(Apontamentos!$C301="","",Apontamentos!A301&amp;"")</f>
        <v/>
      </c>
      <c r="C301" s="11" t="str">
        <f aca="false">IF(B301="","",IFERROR(INDEX(Execuções!$C$2:$C$97,MATCH(B301,Execuções!$A$2:$A$97,0)),"ID?"))</f>
        <v/>
      </c>
      <c r="D301" s="10" t="str">
        <f aca="false">IF(B301="","",IFERROR(INDEX(Execuções!$B$2:$B$97,MATCH(B301,Execuções!$A$2:$A$97,0)),"ID?"))</f>
        <v/>
      </c>
      <c r="E301" s="11" t="str">
        <f aca="false">IF(B301="","",Apontamentos!D301)</f>
        <v/>
      </c>
      <c r="F301" s="11" t="str">
        <f aca="false">IF(B301="","",Apontamentos!E301)</f>
        <v/>
      </c>
      <c r="G301" s="10" t="str">
        <f aca="false">IF(B301="","",Apontamentos!G301&amp;"")</f>
        <v/>
      </c>
      <c r="H301" s="14" t="str">
        <f aca="false">IF('Avaliador 1'!F301='Avaliador 2'!F301,'Avaliador 1'!F301&amp;"","")</f>
        <v/>
      </c>
      <c r="I301" s="14" t="str">
        <f aca="false">IF('Avaliador 1'!G301='Avaliador 2'!G301,'Avaliador 1'!G301&amp;"","")</f>
        <v/>
      </c>
      <c r="J301" s="14" t="str">
        <f aca="false">IF('Avaliador 1'!H301='Avaliador 2'!H301,'Avaliador 1'!H301&amp;"","")</f>
        <v/>
      </c>
      <c r="K301" s="14" t="str">
        <f aca="false">IF('Avaliador 1'!I301='Avaliador 2'!I301,'Avaliador 1'!I301&amp;"","")</f>
        <v/>
      </c>
      <c r="L301" s="13"/>
      <c r="M301" s="13" t="str">
        <f aca="false">IF('Avaliador 1'!J301='Avaliador 2'!J301,'Avaliador 1'!J301&amp;"","")</f>
        <v/>
      </c>
      <c r="N301" s="11" t="str">
        <f aca="false">IF(OR('Avaliador 1'!F301="",'Avaliador 2'!F301=""),"",IF(AND('Avaliador 1'!F301='Avaliador 2'!F301,'Avaliador 1'!G301='Avaliador 2'!G301,'Avaliador 1'!H301='Avaliador 2'!H301,'Avaliador 1'!I301='Avaliador 2'!I301),"Não","Sim"))</f>
        <v/>
      </c>
      <c r="O301" s="14"/>
      <c r="P301" s="10" t="str">
        <f aca="false">IF(LEN(H301)=3,"Defeito encontrado",IF(I301="Sim","Falso alarme",IF(H301="—","Nenhum defeito apontado","")))</f>
        <v/>
      </c>
    </row>
    <row r="302" customFormat="false" ht="15" hidden="false" customHeight="false" outlineLevel="0" collapsed="false">
      <c r="A302" s="11" t="str">
        <f aca="false">Apontamentos!C302</f>
        <v/>
      </c>
      <c r="B302" s="11" t="str">
        <f aca="false">IF(Apontamentos!$C302="","",Apontamentos!A302&amp;"")</f>
        <v/>
      </c>
      <c r="C302" s="11" t="str">
        <f aca="false">IF(B302="","",IFERROR(INDEX(Execuções!$C$2:$C$97,MATCH(B302,Execuções!$A$2:$A$97,0)),"ID?"))</f>
        <v/>
      </c>
      <c r="D302" s="10" t="str">
        <f aca="false">IF(B302="","",IFERROR(INDEX(Execuções!$B$2:$B$97,MATCH(B302,Execuções!$A$2:$A$97,0)),"ID?"))</f>
        <v/>
      </c>
      <c r="E302" s="11" t="str">
        <f aca="false">IF(B302="","",Apontamentos!D302)</f>
        <v/>
      </c>
      <c r="F302" s="11" t="str">
        <f aca="false">IF(B302="","",Apontamentos!E302)</f>
        <v/>
      </c>
      <c r="G302" s="10" t="str">
        <f aca="false">IF(B302="","",Apontamentos!G302&amp;"")</f>
        <v/>
      </c>
      <c r="H302" s="14" t="str">
        <f aca="false">IF('Avaliador 1'!F302='Avaliador 2'!F302,'Avaliador 1'!F302&amp;"","")</f>
        <v/>
      </c>
      <c r="I302" s="14" t="str">
        <f aca="false">IF('Avaliador 1'!G302='Avaliador 2'!G302,'Avaliador 1'!G302&amp;"","")</f>
        <v/>
      </c>
      <c r="J302" s="14" t="str">
        <f aca="false">IF('Avaliador 1'!H302='Avaliador 2'!H302,'Avaliador 1'!H302&amp;"","")</f>
        <v/>
      </c>
      <c r="K302" s="14" t="str">
        <f aca="false">IF('Avaliador 1'!I302='Avaliador 2'!I302,'Avaliador 1'!I302&amp;"","")</f>
        <v/>
      </c>
      <c r="L302" s="13"/>
      <c r="M302" s="13" t="str">
        <f aca="false">IF('Avaliador 1'!J302='Avaliador 2'!J302,'Avaliador 1'!J302&amp;"","")</f>
        <v/>
      </c>
      <c r="N302" s="11" t="str">
        <f aca="false">IF(OR('Avaliador 1'!F302="",'Avaliador 2'!F302=""),"",IF(AND('Avaliador 1'!F302='Avaliador 2'!F302,'Avaliador 1'!G302='Avaliador 2'!G302,'Avaliador 1'!H302='Avaliador 2'!H302,'Avaliador 1'!I302='Avaliador 2'!I302),"Não","Sim"))</f>
        <v/>
      </c>
      <c r="O302" s="14"/>
      <c r="P302" s="10" t="str">
        <f aca="false">IF(LEN(H302)=3,"Defeito encontrado",IF(I302="Sim","Falso alarme",IF(H302="—","Nenhum defeito apontado","")))</f>
        <v/>
      </c>
    </row>
    <row r="303" customFormat="false" ht="15" hidden="false" customHeight="false" outlineLevel="0" collapsed="false">
      <c r="A303" s="11" t="str">
        <f aca="false">Apontamentos!C303</f>
        <v/>
      </c>
      <c r="B303" s="11" t="str">
        <f aca="false">IF(Apontamentos!$C303="","",Apontamentos!A303&amp;"")</f>
        <v/>
      </c>
      <c r="C303" s="11" t="str">
        <f aca="false">IF(B303="","",IFERROR(INDEX(Execuções!$C$2:$C$97,MATCH(B303,Execuções!$A$2:$A$97,0)),"ID?"))</f>
        <v/>
      </c>
      <c r="D303" s="10" t="str">
        <f aca="false">IF(B303="","",IFERROR(INDEX(Execuções!$B$2:$B$97,MATCH(B303,Execuções!$A$2:$A$97,0)),"ID?"))</f>
        <v/>
      </c>
      <c r="E303" s="11" t="str">
        <f aca="false">IF(B303="","",Apontamentos!D303)</f>
        <v/>
      </c>
      <c r="F303" s="11" t="str">
        <f aca="false">IF(B303="","",Apontamentos!E303)</f>
        <v/>
      </c>
      <c r="G303" s="10" t="str">
        <f aca="false">IF(B303="","",Apontamentos!G303&amp;"")</f>
        <v/>
      </c>
      <c r="H303" s="14" t="str">
        <f aca="false">IF('Avaliador 1'!F303='Avaliador 2'!F303,'Avaliador 1'!F303&amp;"","")</f>
        <v/>
      </c>
      <c r="I303" s="14" t="str">
        <f aca="false">IF('Avaliador 1'!G303='Avaliador 2'!G303,'Avaliador 1'!G303&amp;"","")</f>
        <v/>
      </c>
      <c r="J303" s="14" t="str">
        <f aca="false">IF('Avaliador 1'!H303='Avaliador 2'!H303,'Avaliador 1'!H303&amp;"","")</f>
        <v/>
      </c>
      <c r="K303" s="14" t="str">
        <f aca="false">IF('Avaliador 1'!I303='Avaliador 2'!I303,'Avaliador 1'!I303&amp;"","")</f>
        <v/>
      </c>
      <c r="L303" s="13"/>
      <c r="M303" s="13" t="str">
        <f aca="false">IF('Avaliador 1'!J303='Avaliador 2'!J303,'Avaliador 1'!J303&amp;"","")</f>
        <v/>
      </c>
      <c r="N303" s="11" t="str">
        <f aca="false">IF(OR('Avaliador 1'!F303="",'Avaliador 2'!F303=""),"",IF(AND('Avaliador 1'!F303='Avaliador 2'!F303,'Avaliador 1'!G303='Avaliador 2'!G303,'Avaliador 1'!H303='Avaliador 2'!H303,'Avaliador 1'!I303='Avaliador 2'!I303),"Não","Sim"))</f>
        <v/>
      </c>
      <c r="O303" s="14"/>
      <c r="P303" s="10" t="str">
        <f aca="false">IF(LEN(H303)=3,"Defeito encontrado",IF(I303="Sim","Falso alarme",IF(H303="—","Nenhum defeito apontado","")))</f>
        <v/>
      </c>
    </row>
    <row r="304" customFormat="false" ht="15" hidden="false" customHeight="false" outlineLevel="0" collapsed="false">
      <c r="A304" s="11" t="str">
        <f aca="false">Apontamentos!C304</f>
        <v/>
      </c>
      <c r="B304" s="11" t="str">
        <f aca="false">IF(Apontamentos!$C304="","",Apontamentos!A304&amp;"")</f>
        <v/>
      </c>
      <c r="C304" s="11" t="str">
        <f aca="false">IF(B304="","",IFERROR(INDEX(Execuções!$C$2:$C$97,MATCH(B304,Execuções!$A$2:$A$97,0)),"ID?"))</f>
        <v/>
      </c>
      <c r="D304" s="10" t="str">
        <f aca="false">IF(B304="","",IFERROR(INDEX(Execuções!$B$2:$B$97,MATCH(B304,Execuções!$A$2:$A$97,0)),"ID?"))</f>
        <v/>
      </c>
      <c r="E304" s="11" t="str">
        <f aca="false">IF(B304="","",Apontamentos!D304)</f>
        <v/>
      </c>
      <c r="F304" s="11" t="str">
        <f aca="false">IF(B304="","",Apontamentos!E304)</f>
        <v/>
      </c>
      <c r="G304" s="10" t="str">
        <f aca="false">IF(B304="","",Apontamentos!G304&amp;"")</f>
        <v/>
      </c>
      <c r="H304" s="14" t="str">
        <f aca="false">IF('Avaliador 1'!F304='Avaliador 2'!F304,'Avaliador 1'!F304&amp;"","")</f>
        <v/>
      </c>
      <c r="I304" s="14" t="str">
        <f aca="false">IF('Avaliador 1'!G304='Avaliador 2'!G304,'Avaliador 1'!G304&amp;"","")</f>
        <v/>
      </c>
      <c r="J304" s="14" t="str">
        <f aca="false">IF('Avaliador 1'!H304='Avaliador 2'!H304,'Avaliador 1'!H304&amp;"","")</f>
        <v/>
      </c>
      <c r="K304" s="14" t="str">
        <f aca="false">IF('Avaliador 1'!I304='Avaliador 2'!I304,'Avaliador 1'!I304&amp;"","")</f>
        <v/>
      </c>
      <c r="L304" s="13"/>
      <c r="M304" s="13" t="str">
        <f aca="false">IF('Avaliador 1'!J304='Avaliador 2'!J304,'Avaliador 1'!J304&amp;"","")</f>
        <v/>
      </c>
      <c r="N304" s="11" t="str">
        <f aca="false">IF(OR('Avaliador 1'!F304="",'Avaliador 2'!F304=""),"",IF(AND('Avaliador 1'!F304='Avaliador 2'!F304,'Avaliador 1'!G304='Avaliador 2'!G304,'Avaliador 1'!H304='Avaliador 2'!H304,'Avaliador 1'!I304='Avaliador 2'!I304),"Não","Sim"))</f>
        <v/>
      </c>
      <c r="O304" s="14"/>
      <c r="P304" s="10" t="str">
        <f aca="false">IF(LEN(H304)=3,"Defeito encontrado",IF(I304="Sim","Falso alarme",IF(H304="—","Nenhum defeito apontado","")))</f>
        <v/>
      </c>
    </row>
    <row r="305" customFormat="false" ht="15" hidden="false" customHeight="false" outlineLevel="0" collapsed="false">
      <c r="A305" s="11" t="str">
        <f aca="false">Apontamentos!C305</f>
        <v/>
      </c>
      <c r="B305" s="11" t="str">
        <f aca="false">IF(Apontamentos!$C305="","",Apontamentos!A305&amp;"")</f>
        <v/>
      </c>
      <c r="C305" s="11" t="str">
        <f aca="false">IF(B305="","",IFERROR(INDEX(Execuções!$C$2:$C$97,MATCH(B305,Execuções!$A$2:$A$97,0)),"ID?"))</f>
        <v/>
      </c>
      <c r="D305" s="10" t="str">
        <f aca="false">IF(B305="","",IFERROR(INDEX(Execuções!$B$2:$B$97,MATCH(B305,Execuções!$A$2:$A$97,0)),"ID?"))</f>
        <v/>
      </c>
      <c r="E305" s="11" t="str">
        <f aca="false">IF(B305="","",Apontamentos!D305)</f>
        <v/>
      </c>
      <c r="F305" s="11" t="str">
        <f aca="false">IF(B305="","",Apontamentos!E305)</f>
        <v/>
      </c>
      <c r="G305" s="10" t="str">
        <f aca="false">IF(B305="","",Apontamentos!G305&amp;"")</f>
        <v/>
      </c>
      <c r="H305" s="14" t="str">
        <f aca="false">IF('Avaliador 1'!F305='Avaliador 2'!F305,'Avaliador 1'!F305&amp;"","")</f>
        <v/>
      </c>
      <c r="I305" s="14" t="str">
        <f aca="false">IF('Avaliador 1'!G305='Avaliador 2'!G305,'Avaliador 1'!G305&amp;"","")</f>
        <v/>
      </c>
      <c r="J305" s="14" t="str">
        <f aca="false">IF('Avaliador 1'!H305='Avaliador 2'!H305,'Avaliador 1'!H305&amp;"","")</f>
        <v/>
      </c>
      <c r="K305" s="14" t="str">
        <f aca="false">IF('Avaliador 1'!I305='Avaliador 2'!I305,'Avaliador 1'!I305&amp;"","")</f>
        <v/>
      </c>
      <c r="L305" s="13"/>
      <c r="M305" s="13" t="str">
        <f aca="false">IF('Avaliador 1'!J305='Avaliador 2'!J305,'Avaliador 1'!J305&amp;"","")</f>
        <v/>
      </c>
      <c r="N305" s="11" t="str">
        <f aca="false">IF(OR('Avaliador 1'!F305="",'Avaliador 2'!F305=""),"",IF(AND('Avaliador 1'!F305='Avaliador 2'!F305,'Avaliador 1'!G305='Avaliador 2'!G305,'Avaliador 1'!H305='Avaliador 2'!H305,'Avaliador 1'!I305='Avaliador 2'!I305),"Não","Sim"))</f>
        <v/>
      </c>
      <c r="O305" s="14"/>
      <c r="P305" s="10" t="str">
        <f aca="false">IF(LEN(H305)=3,"Defeito encontrado",IF(I305="Sim","Falso alarme",IF(H305="—","Nenhum defeito apontado","")))</f>
        <v/>
      </c>
    </row>
    <row r="306" customFormat="false" ht="15" hidden="false" customHeight="false" outlineLevel="0" collapsed="false">
      <c r="A306" s="11" t="str">
        <f aca="false">Apontamentos!C306</f>
        <v/>
      </c>
      <c r="B306" s="11" t="str">
        <f aca="false">IF(Apontamentos!$C306="","",Apontamentos!A306&amp;"")</f>
        <v/>
      </c>
      <c r="C306" s="11" t="str">
        <f aca="false">IF(B306="","",IFERROR(INDEX(Execuções!$C$2:$C$97,MATCH(B306,Execuções!$A$2:$A$97,0)),"ID?"))</f>
        <v/>
      </c>
      <c r="D306" s="10" t="str">
        <f aca="false">IF(B306="","",IFERROR(INDEX(Execuções!$B$2:$B$97,MATCH(B306,Execuções!$A$2:$A$97,0)),"ID?"))</f>
        <v/>
      </c>
      <c r="E306" s="11" t="str">
        <f aca="false">IF(B306="","",Apontamentos!D306)</f>
        <v/>
      </c>
      <c r="F306" s="11" t="str">
        <f aca="false">IF(B306="","",Apontamentos!E306)</f>
        <v/>
      </c>
      <c r="G306" s="10" t="str">
        <f aca="false">IF(B306="","",Apontamentos!G306&amp;"")</f>
        <v/>
      </c>
      <c r="H306" s="14" t="str">
        <f aca="false">IF('Avaliador 1'!F306='Avaliador 2'!F306,'Avaliador 1'!F306&amp;"","")</f>
        <v/>
      </c>
      <c r="I306" s="14" t="str">
        <f aca="false">IF('Avaliador 1'!G306='Avaliador 2'!G306,'Avaliador 1'!G306&amp;"","")</f>
        <v/>
      </c>
      <c r="J306" s="14" t="str">
        <f aca="false">IF('Avaliador 1'!H306='Avaliador 2'!H306,'Avaliador 1'!H306&amp;"","")</f>
        <v/>
      </c>
      <c r="K306" s="14" t="str">
        <f aca="false">IF('Avaliador 1'!I306='Avaliador 2'!I306,'Avaliador 1'!I306&amp;"","")</f>
        <v/>
      </c>
      <c r="L306" s="13"/>
      <c r="M306" s="13" t="str">
        <f aca="false">IF('Avaliador 1'!J306='Avaliador 2'!J306,'Avaliador 1'!J306&amp;"","")</f>
        <v/>
      </c>
      <c r="N306" s="11" t="str">
        <f aca="false">IF(OR('Avaliador 1'!F306="",'Avaliador 2'!F306=""),"",IF(AND('Avaliador 1'!F306='Avaliador 2'!F306,'Avaliador 1'!G306='Avaliador 2'!G306,'Avaliador 1'!H306='Avaliador 2'!H306,'Avaliador 1'!I306='Avaliador 2'!I306),"Não","Sim"))</f>
        <v/>
      </c>
      <c r="O306" s="14"/>
      <c r="P306" s="10" t="str">
        <f aca="false">IF(LEN(H306)=3,"Defeito encontrado",IF(I306="Sim","Falso alarme",IF(H306="—","Nenhum defeito apontado","")))</f>
        <v/>
      </c>
    </row>
    <row r="307" customFormat="false" ht="15" hidden="false" customHeight="false" outlineLevel="0" collapsed="false">
      <c r="A307" s="11" t="str">
        <f aca="false">Apontamentos!C307</f>
        <v/>
      </c>
      <c r="B307" s="11" t="str">
        <f aca="false">IF(Apontamentos!$C307="","",Apontamentos!A307&amp;"")</f>
        <v/>
      </c>
      <c r="C307" s="11" t="str">
        <f aca="false">IF(B307="","",IFERROR(INDEX(Execuções!$C$2:$C$97,MATCH(B307,Execuções!$A$2:$A$97,0)),"ID?"))</f>
        <v/>
      </c>
      <c r="D307" s="10" t="str">
        <f aca="false">IF(B307="","",IFERROR(INDEX(Execuções!$B$2:$B$97,MATCH(B307,Execuções!$A$2:$A$97,0)),"ID?"))</f>
        <v/>
      </c>
      <c r="E307" s="11" t="str">
        <f aca="false">IF(B307="","",Apontamentos!D307)</f>
        <v/>
      </c>
      <c r="F307" s="11" t="str">
        <f aca="false">IF(B307="","",Apontamentos!E307)</f>
        <v/>
      </c>
      <c r="G307" s="10" t="str">
        <f aca="false">IF(B307="","",Apontamentos!G307&amp;"")</f>
        <v/>
      </c>
      <c r="H307" s="14" t="str">
        <f aca="false">IF('Avaliador 1'!F307='Avaliador 2'!F307,'Avaliador 1'!F307&amp;"","")</f>
        <v/>
      </c>
      <c r="I307" s="14" t="str">
        <f aca="false">IF('Avaliador 1'!G307='Avaliador 2'!G307,'Avaliador 1'!G307&amp;"","")</f>
        <v/>
      </c>
      <c r="J307" s="14" t="str">
        <f aca="false">IF('Avaliador 1'!H307='Avaliador 2'!H307,'Avaliador 1'!H307&amp;"","")</f>
        <v/>
      </c>
      <c r="K307" s="14" t="str">
        <f aca="false">IF('Avaliador 1'!I307='Avaliador 2'!I307,'Avaliador 1'!I307&amp;"","")</f>
        <v/>
      </c>
      <c r="L307" s="13"/>
      <c r="M307" s="13" t="str">
        <f aca="false">IF('Avaliador 1'!J307='Avaliador 2'!J307,'Avaliador 1'!J307&amp;"","")</f>
        <v/>
      </c>
      <c r="N307" s="11" t="str">
        <f aca="false">IF(OR('Avaliador 1'!F307="",'Avaliador 2'!F307=""),"",IF(AND('Avaliador 1'!F307='Avaliador 2'!F307,'Avaliador 1'!G307='Avaliador 2'!G307,'Avaliador 1'!H307='Avaliador 2'!H307,'Avaliador 1'!I307='Avaliador 2'!I307),"Não","Sim"))</f>
        <v/>
      </c>
      <c r="O307" s="14"/>
      <c r="P307" s="10" t="str">
        <f aca="false">IF(LEN(H307)=3,"Defeito encontrado",IF(I307="Sim","Falso alarme",IF(H307="—","Nenhum defeito apontado","")))</f>
        <v/>
      </c>
    </row>
    <row r="308" customFormat="false" ht="15" hidden="false" customHeight="false" outlineLevel="0" collapsed="false">
      <c r="A308" s="11" t="str">
        <f aca="false">Apontamentos!C308</f>
        <v/>
      </c>
      <c r="B308" s="11" t="str">
        <f aca="false">IF(Apontamentos!$C308="","",Apontamentos!A308&amp;"")</f>
        <v/>
      </c>
      <c r="C308" s="11" t="str">
        <f aca="false">IF(B308="","",IFERROR(INDEX(Execuções!$C$2:$C$97,MATCH(B308,Execuções!$A$2:$A$97,0)),"ID?"))</f>
        <v/>
      </c>
      <c r="D308" s="10" t="str">
        <f aca="false">IF(B308="","",IFERROR(INDEX(Execuções!$B$2:$B$97,MATCH(B308,Execuções!$A$2:$A$97,0)),"ID?"))</f>
        <v/>
      </c>
      <c r="E308" s="11" t="str">
        <f aca="false">IF(B308="","",Apontamentos!D308)</f>
        <v/>
      </c>
      <c r="F308" s="11" t="str">
        <f aca="false">IF(B308="","",Apontamentos!E308)</f>
        <v/>
      </c>
      <c r="G308" s="10" t="str">
        <f aca="false">IF(B308="","",Apontamentos!G308&amp;"")</f>
        <v/>
      </c>
      <c r="H308" s="14" t="str">
        <f aca="false">IF('Avaliador 1'!F308='Avaliador 2'!F308,'Avaliador 1'!F308&amp;"","")</f>
        <v/>
      </c>
      <c r="I308" s="14" t="str">
        <f aca="false">IF('Avaliador 1'!G308='Avaliador 2'!G308,'Avaliador 1'!G308&amp;"","")</f>
        <v/>
      </c>
      <c r="J308" s="14" t="str">
        <f aca="false">IF('Avaliador 1'!H308='Avaliador 2'!H308,'Avaliador 1'!H308&amp;"","")</f>
        <v/>
      </c>
      <c r="K308" s="14" t="str">
        <f aca="false">IF('Avaliador 1'!I308='Avaliador 2'!I308,'Avaliador 1'!I308&amp;"","")</f>
        <v/>
      </c>
      <c r="L308" s="13"/>
      <c r="M308" s="13" t="str">
        <f aca="false">IF('Avaliador 1'!J308='Avaliador 2'!J308,'Avaliador 1'!J308&amp;"","")</f>
        <v/>
      </c>
      <c r="N308" s="11" t="str">
        <f aca="false">IF(OR('Avaliador 1'!F308="",'Avaliador 2'!F308=""),"",IF(AND('Avaliador 1'!F308='Avaliador 2'!F308,'Avaliador 1'!G308='Avaliador 2'!G308,'Avaliador 1'!H308='Avaliador 2'!H308,'Avaliador 1'!I308='Avaliador 2'!I308),"Não","Sim"))</f>
        <v/>
      </c>
      <c r="O308" s="14"/>
      <c r="P308" s="10" t="str">
        <f aca="false">IF(LEN(H308)=3,"Defeito encontrado",IF(I308="Sim","Falso alarme",IF(H308="—","Nenhum defeito apontado","")))</f>
        <v/>
      </c>
    </row>
    <row r="309" customFormat="false" ht="15" hidden="false" customHeight="false" outlineLevel="0" collapsed="false">
      <c r="A309" s="11" t="str">
        <f aca="false">Apontamentos!C309</f>
        <v/>
      </c>
      <c r="B309" s="11" t="str">
        <f aca="false">IF(Apontamentos!$C309="","",Apontamentos!A309&amp;"")</f>
        <v/>
      </c>
      <c r="C309" s="11" t="str">
        <f aca="false">IF(B309="","",IFERROR(INDEX(Execuções!$C$2:$C$97,MATCH(B309,Execuções!$A$2:$A$97,0)),"ID?"))</f>
        <v/>
      </c>
      <c r="D309" s="10" t="str">
        <f aca="false">IF(B309="","",IFERROR(INDEX(Execuções!$B$2:$B$97,MATCH(B309,Execuções!$A$2:$A$97,0)),"ID?"))</f>
        <v/>
      </c>
      <c r="E309" s="11" t="str">
        <f aca="false">IF(B309="","",Apontamentos!D309)</f>
        <v/>
      </c>
      <c r="F309" s="11" t="str">
        <f aca="false">IF(B309="","",Apontamentos!E309)</f>
        <v/>
      </c>
      <c r="G309" s="10" t="str">
        <f aca="false">IF(B309="","",Apontamentos!G309&amp;"")</f>
        <v/>
      </c>
      <c r="H309" s="14" t="str">
        <f aca="false">IF('Avaliador 1'!F309='Avaliador 2'!F309,'Avaliador 1'!F309&amp;"","")</f>
        <v/>
      </c>
      <c r="I309" s="14" t="str">
        <f aca="false">IF('Avaliador 1'!G309='Avaliador 2'!G309,'Avaliador 1'!G309&amp;"","")</f>
        <v/>
      </c>
      <c r="J309" s="14" t="str">
        <f aca="false">IF('Avaliador 1'!H309='Avaliador 2'!H309,'Avaliador 1'!H309&amp;"","")</f>
        <v/>
      </c>
      <c r="K309" s="14" t="str">
        <f aca="false">IF('Avaliador 1'!I309='Avaliador 2'!I309,'Avaliador 1'!I309&amp;"","")</f>
        <v/>
      </c>
      <c r="L309" s="13"/>
      <c r="M309" s="13" t="str">
        <f aca="false">IF('Avaliador 1'!J309='Avaliador 2'!J309,'Avaliador 1'!J309&amp;"","")</f>
        <v/>
      </c>
      <c r="N309" s="11" t="str">
        <f aca="false">IF(OR('Avaliador 1'!F309="",'Avaliador 2'!F309=""),"",IF(AND('Avaliador 1'!F309='Avaliador 2'!F309,'Avaliador 1'!G309='Avaliador 2'!G309,'Avaliador 1'!H309='Avaliador 2'!H309,'Avaliador 1'!I309='Avaliador 2'!I309),"Não","Sim"))</f>
        <v/>
      </c>
      <c r="O309" s="14"/>
      <c r="P309" s="10" t="str">
        <f aca="false">IF(LEN(H309)=3,"Defeito encontrado",IF(I309="Sim","Falso alarme",IF(H309="—","Nenhum defeito apontado","")))</f>
        <v/>
      </c>
    </row>
    <row r="310" customFormat="false" ht="15" hidden="false" customHeight="false" outlineLevel="0" collapsed="false">
      <c r="A310" s="11" t="str">
        <f aca="false">Apontamentos!C310</f>
        <v/>
      </c>
      <c r="B310" s="11" t="str">
        <f aca="false">IF(Apontamentos!$C310="","",Apontamentos!A310&amp;"")</f>
        <v/>
      </c>
      <c r="C310" s="11" t="str">
        <f aca="false">IF(B310="","",IFERROR(INDEX(Execuções!$C$2:$C$97,MATCH(B310,Execuções!$A$2:$A$97,0)),"ID?"))</f>
        <v/>
      </c>
      <c r="D310" s="10" t="str">
        <f aca="false">IF(B310="","",IFERROR(INDEX(Execuções!$B$2:$B$97,MATCH(B310,Execuções!$A$2:$A$97,0)),"ID?"))</f>
        <v/>
      </c>
      <c r="E310" s="11" t="str">
        <f aca="false">IF(B310="","",Apontamentos!D310)</f>
        <v/>
      </c>
      <c r="F310" s="11" t="str">
        <f aca="false">IF(B310="","",Apontamentos!E310)</f>
        <v/>
      </c>
      <c r="G310" s="10" t="str">
        <f aca="false">IF(B310="","",Apontamentos!G310&amp;"")</f>
        <v/>
      </c>
      <c r="H310" s="14" t="str">
        <f aca="false">IF('Avaliador 1'!F310='Avaliador 2'!F310,'Avaliador 1'!F310&amp;"","")</f>
        <v/>
      </c>
      <c r="I310" s="14" t="str">
        <f aca="false">IF('Avaliador 1'!G310='Avaliador 2'!G310,'Avaliador 1'!G310&amp;"","")</f>
        <v/>
      </c>
      <c r="J310" s="14" t="str">
        <f aca="false">IF('Avaliador 1'!H310='Avaliador 2'!H310,'Avaliador 1'!H310&amp;"","")</f>
        <v/>
      </c>
      <c r="K310" s="14" t="str">
        <f aca="false">IF('Avaliador 1'!I310='Avaliador 2'!I310,'Avaliador 1'!I310&amp;"","")</f>
        <v/>
      </c>
      <c r="L310" s="13"/>
      <c r="M310" s="13" t="str">
        <f aca="false">IF('Avaliador 1'!J310='Avaliador 2'!J310,'Avaliador 1'!J310&amp;"","")</f>
        <v/>
      </c>
      <c r="N310" s="11" t="str">
        <f aca="false">IF(OR('Avaliador 1'!F310="",'Avaliador 2'!F310=""),"",IF(AND('Avaliador 1'!F310='Avaliador 2'!F310,'Avaliador 1'!G310='Avaliador 2'!G310,'Avaliador 1'!H310='Avaliador 2'!H310,'Avaliador 1'!I310='Avaliador 2'!I310),"Não","Sim"))</f>
        <v/>
      </c>
      <c r="O310" s="14"/>
      <c r="P310" s="10" t="str">
        <f aca="false">IF(LEN(H310)=3,"Defeito encontrado",IF(I310="Sim","Falso alarme",IF(H310="—","Nenhum defeito apontado","")))</f>
        <v/>
      </c>
    </row>
    <row r="311" customFormat="false" ht="15" hidden="false" customHeight="false" outlineLevel="0" collapsed="false">
      <c r="A311" s="11" t="str">
        <f aca="false">Apontamentos!C311</f>
        <v/>
      </c>
      <c r="B311" s="11" t="str">
        <f aca="false">IF(Apontamentos!$C311="","",Apontamentos!A311&amp;"")</f>
        <v/>
      </c>
      <c r="C311" s="11" t="str">
        <f aca="false">IF(B311="","",IFERROR(INDEX(Execuções!$C$2:$C$97,MATCH(B311,Execuções!$A$2:$A$97,0)),"ID?"))</f>
        <v/>
      </c>
      <c r="D311" s="10" t="str">
        <f aca="false">IF(B311="","",IFERROR(INDEX(Execuções!$B$2:$B$97,MATCH(B311,Execuções!$A$2:$A$97,0)),"ID?"))</f>
        <v/>
      </c>
      <c r="E311" s="11" t="str">
        <f aca="false">IF(B311="","",Apontamentos!D311)</f>
        <v/>
      </c>
      <c r="F311" s="11" t="str">
        <f aca="false">IF(B311="","",Apontamentos!E311)</f>
        <v/>
      </c>
      <c r="G311" s="10" t="str">
        <f aca="false">IF(B311="","",Apontamentos!G311&amp;"")</f>
        <v/>
      </c>
      <c r="H311" s="14" t="str">
        <f aca="false">IF('Avaliador 1'!F311='Avaliador 2'!F311,'Avaliador 1'!F311&amp;"","")</f>
        <v/>
      </c>
      <c r="I311" s="14" t="str">
        <f aca="false">IF('Avaliador 1'!G311='Avaliador 2'!G311,'Avaliador 1'!G311&amp;"","")</f>
        <v/>
      </c>
      <c r="J311" s="14" t="str">
        <f aca="false">IF('Avaliador 1'!H311='Avaliador 2'!H311,'Avaliador 1'!H311&amp;"","")</f>
        <v/>
      </c>
      <c r="K311" s="14" t="str">
        <f aca="false">IF('Avaliador 1'!I311='Avaliador 2'!I311,'Avaliador 1'!I311&amp;"","")</f>
        <v/>
      </c>
      <c r="L311" s="13"/>
      <c r="M311" s="13" t="str">
        <f aca="false">IF('Avaliador 1'!J311='Avaliador 2'!J311,'Avaliador 1'!J311&amp;"","")</f>
        <v/>
      </c>
      <c r="N311" s="11" t="str">
        <f aca="false">IF(OR('Avaliador 1'!F311="",'Avaliador 2'!F311=""),"",IF(AND('Avaliador 1'!F311='Avaliador 2'!F311,'Avaliador 1'!G311='Avaliador 2'!G311,'Avaliador 1'!H311='Avaliador 2'!H311,'Avaliador 1'!I311='Avaliador 2'!I311),"Não","Sim"))</f>
        <v/>
      </c>
      <c r="O311" s="14"/>
      <c r="P311" s="10" t="str">
        <f aca="false">IF(LEN(H311)=3,"Defeito encontrado",IF(I311="Sim","Falso alarme",IF(H311="—","Nenhum defeito apontado","")))</f>
        <v/>
      </c>
    </row>
    <row r="312" customFormat="false" ht="15" hidden="false" customHeight="false" outlineLevel="0" collapsed="false">
      <c r="A312" s="11" t="str">
        <f aca="false">Apontamentos!C312</f>
        <v/>
      </c>
      <c r="B312" s="11" t="str">
        <f aca="false">IF(Apontamentos!$C312="","",Apontamentos!A312&amp;"")</f>
        <v/>
      </c>
      <c r="C312" s="11" t="str">
        <f aca="false">IF(B312="","",IFERROR(INDEX(Execuções!$C$2:$C$97,MATCH(B312,Execuções!$A$2:$A$97,0)),"ID?"))</f>
        <v/>
      </c>
      <c r="D312" s="10" t="str">
        <f aca="false">IF(B312="","",IFERROR(INDEX(Execuções!$B$2:$B$97,MATCH(B312,Execuções!$A$2:$A$97,0)),"ID?"))</f>
        <v/>
      </c>
      <c r="E312" s="11" t="str">
        <f aca="false">IF(B312="","",Apontamentos!D312)</f>
        <v/>
      </c>
      <c r="F312" s="11" t="str">
        <f aca="false">IF(B312="","",Apontamentos!E312)</f>
        <v/>
      </c>
      <c r="G312" s="10" t="str">
        <f aca="false">IF(B312="","",Apontamentos!G312&amp;"")</f>
        <v/>
      </c>
      <c r="H312" s="14" t="str">
        <f aca="false">IF('Avaliador 1'!F312='Avaliador 2'!F312,'Avaliador 1'!F312&amp;"","")</f>
        <v/>
      </c>
      <c r="I312" s="14" t="str">
        <f aca="false">IF('Avaliador 1'!G312='Avaliador 2'!G312,'Avaliador 1'!G312&amp;"","")</f>
        <v/>
      </c>
      <c r="J312" s="14" t="str">
        <f aca="false">IF('Avaliador 1'!H312='Avaliador 2'!H312,'Avaliador 1'!H312&amp;"","")</f>
        <v/>
      </c>
      <c r="K312" s="14" t="str">
        <f aca="false">IF('Avaliador 1'!I312='Avaliador 2'!I312,'Avaliador 1'!I312&amp;"","")</f>
        <v/>
      </c>
      <c r="L312" s="13"/>
      <c r="M312" s="13" t="str">
        <f aca="false">IF('Avaliador 1'!J312='Avaliador 2'!J312,'Avaliador 1'!J312&amp;"","")</f>
        <v/>
      </c>
      <c r="N312" s="11" t="str">
        <f aca="false">IF(OR('Avaliador 1'!F312="",'Avaliador 2'!F312=""),"",IF(AND('Avaliador 1'!F312='Avaliador 2'!F312,'Avaliador 1'!G312='Avaliador 2'!G312,'Avaliador 1'!H312='Avaliador 2'!H312,'Avaliador 1'!I312='Avaliador 2'!I312),"Não","Sim"))</f>
        <v/>
      </c>
      <c r="O312" s="14"/>
      <c r="P312" s="10" t="str">
        <f aca="false">IF(LEN(H312)=3,"Defeito encontrado",IF(I312="Sim","Falso alarme",IF(H312="—","Nenhum defeito apontado","")))</f>
        <v/>
      </c>
    </row>
    <row r="313" customFormat="false" ht="15" hidden="false" customHeight="false" outlineLevel="0" collapsed="false">
      <c r="A313" s="11" t="str">
        <f aca="false">Apontamentos!C313</f>
        <v/>
      </c>
      <c r="B313" s="11" t="str">
        <f aca="false">IF(Apontamentos!$C313="","",Apontamentos!A313&amp;"")</f>
        <v/>
      </c>
      <c r="C313" s="11" t="str">
        <f aca="false">IF(B313="","",IFERROR(INDEX(Execuções!$C$2:$C$97,MATCH(B313,Execuções!$A$2:$A$97,0)),"ID?"))</f>
        <v/>
      </c>
      <c r="D313" s="10" t="str">
        <f aca="false">IF(B313="","",IFERROR(INDEX(Execuções!$B$2:$B$97,MATCH(B313,Execuções!$A$2:$A$97,0)),"ID?"))</f>
        <v/>
      </c>
      <c r="E313" s="11" t="str">
        <f aca="false">IF(B313="","",Apontamentos!D313)</f>
        <v/>
      </c>
      <c r="F313" s="11" t="str">
        <f aca="false">IF(B313="","",Apontamentos!E313)</f>
        <v/>
      </c>
      <c r="G313" s="10" t="str">
        <f aca="false">IF(B313="","",Apontamentos!G313&amp;"")</f>
        <v/>
      </c>
      <c r="H313" s="14" t="str">
        <f aca="false">IF('Avaliador 1'!F313='Avaliador 2'!F313,'Avaliador 1'!F313&amp;"","")</f>
        <v/>
      </c>
      <c r="I313" s="14" t="str">
        <f aca="false">IF('Avaliador 1'!G313='Avaliador 2'!G313,'Avaliador 1'!G313&amp;"","")</f>
        <v/>
      </c>
      <c r="J313" s="14" t="str">
        <f aca="false">IF('Avaliador 1'!H313='Avaliador 2'!H313,'Avaliador 1'!H313&amp;"","")</f>
        <v/>
      </c>
      <c r="K313" s="14" t="str">
        <f aca="false">IF('Avaliador 1'!I313='Avaliador 2'!I313,'Avaliador 1'!I313&amp;"","")</f>
        <v/>
      </c>
      <c r="L313" s="13"/>
      <c r="M313" s="13" t="str">
        <f aca="false">IF('Avaliador 1'!J313='Avaliador 2'!J313,'Avaliador 1'!J313&amp;"","")</f>
        <v/>
      </c>
      <c r="N313" s="11" t="str">
        <f aca="false">IF(OR('Avaliador 1'!F313="",'Avaliador 2'!F313=""),"",IF(AND('Avaliador 1'!F313='Avaliador 2'!F313,'Avaliador 1'!G313='Avaliador 2'!G313,'Avaliador 1'!H313='Avaliador 2'!H313,'Avaliador 1'!I313='Avaliador 2'!I313),"Não","Sim"))</f>
        <v/>
      </c>
      <c r="O313" s="14"/>
      <c r="P313" s="10" t="str">
        <f aca="false">IF(LEN(H313)=3,"Defeito encontrado",IF(I313="Sim","Falso alarme",IF(H313="—","Nenhum defeito apontado","")))</f>
        <v/>
      </c>
    </row>
    <row r="314" customFormat="false" ht="15" hidden="false" customHeight="false" outlineLevel="0" collapsed="false">
      <c r="A314" s="11" t="str">
        <f aca="false">Apontamentos!C314</f>
        <v/>
      </c>
      <c r="B314" s="11" t="str">
        <f aca="false">IF(Apontamentos!$C314="","",Apontamentos!A314&amp;"")</f>
        <v/>
      </c>
      <c r="C314" s="11" t="str">
        <f aca="false">IF(B314="","",IFERROR(INDEX(Execuções!$C$2:$C$97,MATCH(B314,Execuções!$A$2:$A$97,0)),"ID?"))</f>
        <v/>
      </c>
      <c r="D314" s="10" t="str">
        <f aca="false">IF(B314="","",IFERROR(INDEX(Execuções!$B$2:$B$97,MATCH(B314,Execuções!$A$2:$A$97,0)),"ID?"))</f>
        <v/>
      </c>
      <c r="E314" s="11" t="str">
        <f aca="false">IF(B314="","",Apontamentos!D314)</f>
        <v/>
      </c>
      <c r="F314" s="11" t="str">
        <f aca="false">IF(B314="","",Apontamentos!E314)</f>
        <v/>
      </c>
      <c r="G314" s="10" t="str">
        <f aca="false">IF(B314="","",Apontamentos!G314&amp;"")</f>
        <v/>
      </c>
      <c r="H314" s="14" t="str">
        <f aca="false">IF('Avaliador 1'!F314='Avaliador 2'!F314,'Avaliador 1'!F314&amp;"","")</f>
        <v/>
      </c>
      <c r="I314" s="14" t="str">
        <f aca="false">IF('Avaliador 1'!G314='Avaliador 2'!G314,'Avaliador 1'!G314&amp;"","")</f>
        <v/>
      </c>
      <c r="J314" s="14" t="str">
        <f aca="false">IF('Avaliador 1'!H314='Avaliador 2'!H314,'Avaliador 1'!H314&amp;"","")</f>
        <v/>
      </c>
      <c r="K314" s="14" t="str">
        <f aca="false">IF('Avaliador 1'!I314='Avaliador 2'!I314,'Avaliador 1'!I314&amp;"","")</f>
        <v/>
      </c>
      <c r="L314" s="13"/>
      <c r="M314" s="13" t="str">
        <f aca="false">IF('Avaliador 1'!J314='Avaliador 2'!J314,'Avaliador 1'!J314&amp;"","")</f>
        <v/>
      </c>
      <c r="N314" s="11" t="str">
        <f aca="false">IF(OR('Avaliador 1'!F314="",'Avaliador 2'!F314=""),"",IF(AND('Avaliador 1'!F314='Avaliador 2'!F314,'Avaliador 1'!G314='Avaliador 2'!G314,'Avaliador 1'!H314='Avaliador 2'!H314,'Avaliador 1'!I314='Avaliador 2'!I314),"Não","Sim"))</f>
        <v/>
      </c>
      <c r="O314" s="14"/>
      <c r="P314" s="10" t="str">
        <f aca="false">IF(LEN(H314)=3,"Defeito encontrado",IF(I314="Sim","Falso alarme",IF(H314="—","Nenhum defeito apontado","")))</f>
        <v/>
      </c>
    </row>
    <row r="315" customFormat="false" ht="15" hidden="false" customHeight="false" outlineLevel="0" collapsed="false">
      <c r="A315" s="11" t="str">
        <f aca="false">Apontamentos!C315</f>
        <v/>
      </c>
      <c r="B315" s="11" t="str">
        <f aca="false">IF(Apontamentos!$C315="","",Apontamentos!A315&amp;"")</f>
        <v/>
      </c>
      <c r="C315" s="11" t="str">
        <f aca="false">IF(B315="","",IFERROR(INDEX(Execuções!$C$2:$C$97,MATCH(B315,Execuções!$A$2:$A$97,0)),"ID?"))</f>
        <v/>
      </c>
      <c r="D315" s="10" t="str">
        <f aca="false">IF(B315="","",IFERROR(INDEX(Execuções!$B$2:$B$97,MATCH(B315,Execuções!$A$2:$A$97,0)),"ID?"))</f>
        <v/>
      </c>
      <c r="E315" s="11" t="str">
        <f aca="false">IF(B315="","",Apontamentos!D315)</f>
        <v/>
      </c>
      <c r="F315" s="11" t="str">
        <f aca="false">IF(B315="","",Apontamentos!E315)</f>
        <v/>
      </c>
      <c r="G315" s="10" t="str">
        <f aca="false">IF(B315="","",Apontamentos!G315&amp;"")</f>
        <v/>
      </c>
      <c r="H315" s="14" t="str">
        <f aca="false">IF('Avaliador 1'!F315='Avaliador 2'!F315,'Avaliador 1'!F315&amp;"","")</f>
        <v/>
      </c>
      <c r="I315" s="14" t="str">
        <f aca="false">IF('Avaliador 1'!G315='Avaliador 2'!G315,'Avaliador 1'!G315&amp;"","")</f>
        <v/>
      </c>
      <c r="J315" s="14" t="str">
        <f aca="false">IF('Avaliador 1'!H315='Avaliador 2'!H315,'Avaliador 1'!H315&amp;"","")</f>
        <v/>
      </c>
      <c r="K315" s="14" t="str">
        <f aca="false">IF('Avaliador 1'!I315='Avaliador 2'!I315,'Avaliador 1'!I315&amp;"","")</f>
        <v/>
      </c>
      <c r="L315" s="13"/>
      <c r="M315" s="13" t="str">
        <f aca="false">IF('Avaliador 1'!J315='Avaliador 2'!J315,'Avaliador 1'!J315&amp;"","")</f>
        <v/>
      </c>
      <c r="N315" s="11" t="str">
        <f aca="false">IF(OR('Avaliador 1'!F315="",'Avaliador 2'!F315=""),"",IF(AND('Avaliador 1'!F315='Avaliador 2'!F315,'Avaliador 1'!G315='Avaliador 2'!G315,'Avaliador 1'!H315='Avaliador 2'!H315,'Avaliador 1'!I315='Avaliador 2'!I315),"Não","Sim"))</f>
        <v/>
      </c>
      <c r="O315" s="14"/>
      <c r="P315" s="10" t="str">
        <f aca="false">IF(LEN(H315)=3,"Defeito encontrado",IF(I315="Sim","Falso alarme",IF(H315="—","Nenhum defeito apontado","")))</f>
        <v/>
      </c>
    </row>
    <row r="316" customFormat="false" ht="15" hidden="false" customHeight="false" outlineLevel="0" collapsed="false">
      <c r="A316" s="11" t="str">
        <f aca="false">Apontamentos!C316</f>
        <v/>
      </c>
      <c r="B316" s="11" t="str">
        <f aca="false">IF(Apontamentos!$C316="","",Apontamentos!A316&amp;"")</f>
        <v/>
      </c>
      <c r="C316" s="11" t="str">
        <f aca="false">IF(B316="","",IFERROR(INDEX(Execuções!$C$2:$C$97,MATCH(B316,Execuções!$A$2:$A$97,0)),"ID?"))</f>
        <v/>
      </c>
      <c r="D316" s="10" t="str">
        <f aca="false">IF(B316="","",IFERROR(INDEX(Execuções!$B$2:$B$97,MATCH(B316,Execuções!$A$2:$A$97,0)),"ID?"))</f>
        <v/>
      </c>
      <c r="E316" s="11" t="str">
        <f aca="false">IF(B316="","",Apontamentos!D316)</f>
        <v/>
      </c>
      <c r="F316" s="11" t="str">
        <f aca="false">IF(B316="","",Apontamentos!E316)</f>
        <v/>
      </c>
      <c r="G316" s="10" t="str">
        <f aca="false">IF(B316="","",Apontamentos!G316&amp;"")</f>
        <v/>
      </c>
      <c r="H316" s="14" t="str">
        <f aca="false">IF('Avaliador 1'!F316='Avaliador 2'!F316,'Avaliador 1'!F316&amp;"","")</f>
        <v/>
      </c>
      <c r="I316" s="14" t="str">
        <f aca="false">IF('Avaliador 1'!G316='Avaliador 2'!G316,'Avaliador 1'!G316&amp;"","")</f>
        <v/>
      </c>
      <c r="J316" s="14" t="str">
        <f aca="false">IF('Avaliador 1'!H316='Avaliador 2'!H316,'Avaliador 1'!H316&amp;"","")</f>
        <v/>
      </c>
      <c r="K316" s="14" t="str">
        <f aca="false">IF('Avaliador 1'!I316='Avaliador 2'!I316,'Avaliador 1'!I316&amp;"","")</f>
        <v/>
      </c>
      <c r="L316" s="13"/>
      <c r="M316" s="13" t="str">
        <f aca="false">IF('Avaliador 1'!J316='Avaliador 2'!J316,'Avaliador 1'!J316&amp;"","")</f>
        <v/>
      </c>
      <c r="N316" s="11" t="str">
        <f aca="false">IF(OR('Avaliador 1'!F316="",'Avaliador 2'!F316=""),"",IF(AND('Avaliador 1'!F316='Avaliador 2'!F316,'Avaliador 1'!G316='Avaliador 2'!G316,'Avaliador 1'!H316='Avaliador 2'!H316,'Avaliador 1'!I316='Avaliador 2'!I316),"Não","Sim"))</f>
        <v/>
      </c>
      <c r="O316" s="14"/>
      <c r="P316" s="10" t="str">
        <f aca="false">IF(LEN(H316)=3,"Defeito encontrado",IF(I316="Sim","Falso alarme",IF(H316="—","Nenhum defeito apontado","")))</f>
        <v/>
      </c>
    </row>
    <row r="317" customFormat="false" ht="15" hidden="false" customHeight="false" outlineLevel="0" collapsed="false">
      <c r="A317" s="11" t="str">
        <f aca="false">Apontamentos!C317</f>
        <v/>
      </c>
      <c r="B317" s="11" t="str">
        <f aca="false">IF(Apontamentos!$C317="","",Apontamentos!A317&amp;"")</f>
        <v/>
      </c>
      <c r="C317" s="11" t="str">
        <f aca="false">IF(B317="","",IFERROR(INDEX(Execuções!$C$2:$C$97,MATCH(B317,Execuções!$A$2:$A$97,0)),"ID?"))</f>
        <v/>
      </c>
      <c r="D317" s="10" t="str">
        <f aca="false">IF(B317="","",IFERROR(INDEX(Execuções!$B$2:$B$97,MATCH(B317,Execuções!$A$2:$A$97,0)),"ID?"))</f>
        <v/>
      </c>
      <c r="E317" s="11" t="str">
        <f aca="false">IF(B317="","",Apontamentos!D317)</f>
        <v/>
      </c>
      <c r="F317" s="11" t="str">
        <f aca="false">IF(B317="","",Apontamentos!E317)</f>
        <v/>
      </c>
      <c r="G317" s="10" t="str">
        <f aca="false">IF(B317="","",Apontamentos!G317&amp;"")</f>
        <v/>
      </c>
      <c r="H317" s="14" t="str">
        <f aca="false">IF('Avaliador 1'!F317='Avaliador 2'!F317,'Avaliador 1'!F317&amp;"","")</f>
        <v/>
      </c>
      <c r="I317" s="14" t="str">
        <f aca="false">IF('Avaliador 1'!G317='Avaliador 2'!G317,'Avaliador 1'!G317&amp;"","")</f>
        <v/>
      </c>
      <c r="J317" s="14" t="str">
        <f aca="false">IF('Avaliador 1'!H317='Avaliador 2'!H317,'Avaliador 1'!H317&amp;"","")</f>
        <v/>
      </c>
      <c r="K317" s="14" t="str">
        <f aca="false">IF('Avaliador 1'!I317='Avaliador 2'!I317,'Avaliador 1'!I317&amp;"","")</f>
        <v/>
      </c>
      <c r="L317" s="13"/>
      <c r="M317" s="13" t="str">
        <f aca="false">IF('Avaliador 1'!J317='Avaliador 2'!J317,'Avaliador 1'!J317&amp;"","")</f>
        <v/>
      </c>
      <c r="N317" s="11" t="str">
        <f aca="false">IF(OR('Avaliador 1'!F317="",'Avaliador 2'!F317=""),"",IF(AND('Avaliador 1'!F317='Avaliador 2'!F317,'Avaliador 1'!G317='Avaliador 2'!G317,'Avaliador 1'!H317='Avaliador 2'!H317,'Avaliador 1'!I317='Avaliador 2'!I317),"Não","Sim"))</f>
        <v/>
      </c>
      <c r="O317" s="14"/>
      <c r="P317" s="10" t="str">
        <f aca="false">IF(LEN(H317)=3,"Defeito encontrado",IF(I317="Sim","Falso alarme",IF(H317="—","Nenhum defeito apontado","")))</f>
        <v/>
      </c>
    </row>
    <row r="318" customFormat="false" ht="15" hidden="false" customHeight="false" outlineLevel="0" collapsed="false">
      <c r="A318" s="11" t="str">
        <f aca="false">Apontamentos!C318</f>
        <v/>
      </c>
      <c r="B318" s="11" t="str">
        <f aca="false">IF(Apontamentos!$C318="","",Apontamentos!A318&amp;"")</f>
        <v/>
      </c>
      <c r="C318" s="11" t="str">
        <f aca="false">IF(B318="","",IFERROR(INDEX(Execuções!$C$2:$C$97,MATCH(B318,Execuções!$A$2:$A$97,0)),"ID?"))</f>
        <v/>
      </c>
      <c r="D318" s="10" t="str">
        <f aca="false">IF(B318="","",IFERROR(INDEX(Execuções!$B$2:$B$97,MATCH(B318,Execuções!$A$2:$A$97,0)),"ID?"))</f>
        <v/>
      </c>
      <c r="E318" s="11" t="str">
        <f aca="false">IF(B318="","",Apontamentos!D318)</f>
        <v/>
      </c>
      <c r="F318" s="11" t="str">
        <f aca="false">IF(B318="","",Apontamentos!E318)</f>
        <v/>
      </c>
      <c r="G318" s="10" t="str">
        <f aca="false">IF(B318="","",Apontamentos!G318&amp;"")</f>
        <v/>
      </c>
      <c r="H318" s="14" t="str">
        <f aca="false">IF('Avaliador 1'!F318='Avaliador 2'!F318,'Avaliador 1'!F318&amp;"","")</f>
        <v/>
      </c>
      <c r="I318" s="14" t="str">
        <f aca="false">IF('Avaliador 1'!G318='Avaliador 2'!G318,'Avaliador 1'!G318&amp;"","")</f>
        <v/>
      </c>
      <c r="J318" s="14" t="str">
        <f aca="false">IF('Avaliador 1'!H318='Avaliador 2'!H318,'Avaliador 1'!H318&amp;"","")</f>
        <v/>
      </c>
      <c r="K318" s="14" t="str">
        <f aca="false">IF('Avaliador 1'!I318='Avaliador 2'!I318,'Avaliador 1'!I318&amp;"","")</f>
        <v/>
      </c>
      <c r="L318" s="13"/>
      <c r="M318" s="13" t="str">
        <f aca="false">IF('Avaliador 1'!J318='Avaliador 2'!J318,'Avaliador 1'!J318&amp;"","")</f>
        <v/>
      </c>
      <c r="N318" s="11" t="str">
        <f aca="false">IF(OR('Avaliador 1'!F318="",'Avaliador 2'!F318=""),"",IF(AND('Avaliador 1'!F318='Avaliador 2'!F318,'Avaliador 1'!G318='Avaliador 2'!G318,'Avaliador 1'!H318='Avaliador 2'!H318,'Avaliador 1'!I318='Avaliador 2'!I318),"Não","Sim"))</f>
        <v/>
      </c>
      <c r="O318" s="14"/>
      <c r="P318" s="10" t="str">
        <f aca="false">IF(LEN(H318)=3,"Defeito encontrado",IF(I318="Sim","Falso alarme",IF(H318="—","Nenhum defeito apontado","")))</f>
        <v/>
      </c>
    </row>
    <row r="319" customFormat="false" ht="15" hidden="false" customHeight="false" outlineLevel="0" collapsed="false">
      <c r="A319" s="11" t="str">
        <f aca="false">Apontamentos!C319</f>
        <v/>
      </c>
      <c r="B319" s="11" t="str">
        <f aca="false">IF(Apontamentos!$C319="","",Apontamentos!A319&amp;"")</f>
        <v/>
      </c>
      <c r="C319" s="11" t="str">
        <f aca="false">IF(B319="","",IFERROR(INDEX(Execuções!$C$2:$C$97,MATCH(B319,Execuções!$A$2:$A$97,0)),"ID?"))</f>
        <v/>
      </c>
      <c r="D319" s="10" t="str">
        <f aca="false">IF(B319="","",IFERROR(INDEX(Execuções!$B$2:$B$97,MATCH(B319,Execuções!$A$2:$A$97,0)),"ID?"))</f>
        <v/>
      </c>
      <c r="E319" s="11" t="str">
        <f aca="false">IF(B319="","",Apontamentos!D319)</f>
        <v/>
      </c>
      <c r="F319" s="11" t="str">
        <f aca="false">IF(B319="","",Apontamentos!E319)</f>
        <v/>
      </c>
      <c r="G319" s="10" t="str">
        <f aca="false">IF(B319="","",Apontamentos!G319&amp;"")</f>
        <v/>
      </c>
      <c r="H319" s="14" t="str">
        <f aca="false">IF('Avaliador 1'!F319='Avaliador 2'!F319,'Avaliador 1'!F319&amp;"","")</f>
        <v/>
      </c>
      <c r="I319" s="14" t="str">
        <f aca="false">IF('Avaliador 1'!G319='Avaliador 2'!G319,'Avaliador 1'!G319&amp;"","")</f>
        <v/>
      </c>
      <c r="J319" s="14" t="str">
        <f aca="false">IF('Avaliador 1'!H319='Avaliador 2'!H319,'Avaliador 1'!H319&amp;"","")</f>
        <v/>
      </c>
      <c r="K319" s="14" t="str">
        <f aca="false">IF('Avaliador 1'!I319='Avaliador 2'!I319,'Avaliador 1'!I319&amp;"","")</f>
        <v/>
      </c>
      <c r="L319" s="13"/>
      <c r="M319" s="13" t="str">
        <f aca="false">IF('Avaliador 1'!J319='Avaliador 2'!J319,'Avaliador 1'!J319&amp;"","")</f>
        <v/>
      </c>
      <c r="N319" s="11" t="str">
        <f aca="false">IF(OR('Avaliador 1'!F319="",'Avaliador 2'!F319=""),"",IF(AND('Avaliador 1'!F319='Avaliador 2'!F319,'Avaliador 1'!G319='Avaliador 2'!G319,'Avaliador 1'!H319='Avaliador 2'!H319,'Avaliador 1'!I319='Avaliador 2'!I319),"Não","Sim"))</f>
        <v/>
      </c>
      <c r="O319" s="14"/>
      <c r="P319" s="10" t="str">
        <f aca="false">IF(LEN(H319)=3,"Defeito encontrado",IF(I319="Sim","Falso alarme",IF(H319="—","Nenhum defeito apontado","")))</f>
        <v/>
      </c>
    </row>
    <row r="320" customFormat="false" ht="15" hidden="false" customHeight="false" outlineLevel="0" collapsed="false">
      <c r="A320" s="11" t="str">
        <f aca="false">Apontamentos!C320</f>
        <v/>
      </c>
      <c r="B320" s="11" t="str">
        <f aca="false">IF(Apontamentos!$C320="","",Apontamentos!A320&amp;"")</f>
        <v/>
      </c>
      <c r="C320" s="11" t="str">
        <f aca="false">IF(B320="","",IFERROR(INDEX(Execuções!$C$2:$C$97,MATCH(B320,Execuções!$A$2:$A$97,0)),"ID?"))</f>
        <v/>
      </c>
      <c r="D320" s="10" t="str">
        <f aca="false">IF(B320="","",IFERROR(INDEX(Execuções!$B$2:$B$97,MATCH(B320,Execuções!$A$2:$A$97,0)),"ID?"))</f>
        <v/>
      </c>
      <c r="E320" s="11" t="str">
        <f aca="false">IF(B320="","",Apontamentos!D320)</f>
        <v/>
      </c>
      <c r="F320" s="11" t="str">
        <f aca="false">IF(B320="","",Apontamentos!E320)</f>
        <v/>
      </c>
      <c r="G320" s="10" t="str">
        <f aca="false">IF(B320="","",Apontamentos!G320&amp;"")</f>
        <v/>
      </c>
      <c r="H320" s="14" t="str">
        <f aca="false">IF('Avaliador 1'!F320='Avaliador 2'!F320,'Avaliador 1'!F320&amp;"","")</f>
        <v/>
      </c>
      <c r="I320" s="14" t="str">
        <f aca="false">IF('Avaliador 1'!G320='Avaliador 2'!G320,'Avaliador 1'!G320&amp;"","")</f>
        <v/>
      </c>
      <c r="J320" s="14" t="str">
        <f aca="false">IF('Avaliador 1'!H320='Avaliador 2'!H320,'Avaliador 1'!H320&amp;"","")</f>
        <v/>
      </c>
      <c r="K320" s="14" t="str">
        <f aca="false">IF('Avaliador 1'!I320='Avaliador 2'!I320,'Avaliador 1'!I320&amp;"","")</f>
        <v/>
      </c>
      <c r="L320" s="13"/>
      <c r="M320" s="13" t="str">
        <f aca="false">IF('Avaliador 1'!J320='Avaliador 2'!J320,'Avaliador 1'!J320&amp;"","")</f>
        <v/>
      </c>
      <c r="N320" s="11" t="str">
        <f aca="false">IF(OR('Avaliador 1'!F320="",'Avaliador 2'!F320=""),"",IF(AND('Avaliador 1'!F320='Avaliador 2'!F320,'Avaliador 1'!G320='Avaliador 2'!G320,'Avaliador 1'!H320='Avaliador 2'!H320,'Avaliador 1'!I320='Avaliador 2'!I320),"Não","Sim"))</f>
        <v/>
      </c>
      <c r="O320" s="14"/>
      <c r="P320" s="10" t="str">
        <f aca="false">IF(LEN(H320)=3,"Defeito encontrado",IF(I320="Sim","Falso alarme",IF(H320="—","Nenhum defeito apontado","")))</f>
        <v/>
      </c>
    </row>
    <row r="321" customFormat="false" ht="15" hidden="false" customHeight="false" outlineLevel="0" collapsed="false">
      <c r="A321" s="11" t="str">
        <f aca="false">Apontamentos!C321</f>
        <v/>
      </c>
      <c r="B321" s="11" t="str">
        <f aca="false">IF(Apontamentos!$C321="","",Apontamentos!A321&amp;"")</f>
        <v/>
      </c>
      <c r="C321" s="11" t="str">
        <f aca="false">IF(B321="","",IFERROR(INDEX(Execuções!$C$2:$C$97,MATCH(B321,Execuções!$A$2:$A$97,0)),"ID?"))</f>
        <v/>
      </c>
      <c r="D321" s="10" t="str">
        <f aca="false">IF(B321="","",IFERROR(INDEX(Execuções!$B$2:$B$97,MATCH(B321,Execuções!$A$2:$A$97,0)),"ID?"))</f>
        <v/>
      </c>
      <c r="E321" s="11" t="str">
        <f aca="false">IF(B321="","",Apontamentos!D321)</f>
        <v/>
      </c>
      <c r="F321" s="11" t="str">
        <f aca="false">IF(B321="","",Apontamentos!E321)</f>
        <v/>
      </c>
      <c r="G321" s="10" t="str">
        <f aca="false">IF(B321="","",Apontamentos!G321&amp;"")</f>
        <v/>
      </c>
      <c r="H321" s="14" t="str">
        <f aca="false">IF('Avaliador 1'!F321='Avaliador 2'!F321,'Avaliador 1'!F321&amp;"","")</f>
        <v/>
      </c>
      <c r="I321" s="14" t="str">
        <f aca="false">IF('Avaliador 1'!G321='Avaliador 2'!G321,'Avaliador 1'!G321&amp;"","")</f>
        <v/>
      </c>
      <c r="J321" s="14" t="str">
        <f aca="false">IF('Avaliador 1'!H321='Avaliador 2'!H321,'Avaliador 1'!H321&amp;"","")</f>
        <v/>
      </c>
      <c r="K321" s="14" t="str">
        <f aca="false">IF('Avaliador 1'!I321='Avaliador 2'!I321,'Avaliador 1'!I321&amp;"","")</f>
        <v/>
      </c>
      <c r="L321" s="13"/>
      <c r="M321" s="13" t="str">
        <f aca="false">IF('Avaliador 1'!J321='Avaliador 2'!J321,'Avaliador 1'!J321&amp;"","")</f>
        <v/>
      </c>
      <c r="N321" s="11" t="str">
        <f aca="false">IF(OR('Avaliador 1'!F321="",'Avaliador 2'!F321=""),"",IF(AND('Avaliador 1'!F321='Avaliador 2'!F321,'Avaliador 1'!G321='Avaliador 2'!G321,'Avaliador 1'!H321='Avaliador 2'!H321,'Avaliador 1'!I321='Avaliador 2'!I321),"Não","Sim"))</f>
        <v/>
      </c>
      <c r="O321" s="14"/>
      <c r="P321" s="10" t="str">
        <f aca="false">IF(LEN(H321)=3,"Defeito encontrado",IF(I321="Sim","Falso alarme",IF(H321="—","Nenhum defeito apontado","")))</f>
        <v/>
      </c>
    </row>
    <row r="322" customFormat="false" ht="15" hidden="false" customHeight="false" outlineLevel="0" collapsed="false">
      <c r="A322" s="11" t="str">
        <f aca="false">Apontamentos!C322</f>
        <v/>
      </c>
      <c r="B322" s="11" t="str">
        <f aca="false">IF(Apontamentos!$C322="","",Apontamentos!A322&amp;"")</f>
        <v/>
      </c>
      <c r="C322" s="11" t="str">
        <f aca="false">IF(B322="","",IFERROR(INDEX(Execuções!$C$2:$C$97,MATCH(B322,Execuções!$A$2:$A$97,0)),"ID?"))</f>
        <v/>
      </c>
      <c r="D322" s="10" t="str">
        <f aca="false">IF(B322="","",IFERROR(INDEX(Execuções!$B$2:$B$97,MATCH(B322,Execuções!$A$2:$A$97,0)),"ID?"))</f>
        <v/>
      </c>
      <c r="E322" s="11" t="str">
        <f aca="false">IF(B322="","",Apontamentos!D322)</f>
        <v/>
      </c>
      <c r="F322" s="11" t="str">
        <f aca="false">IF(B322="","",Apontamentos!E322)</f>
        <v/>
      </c>
      <c r="G322" s="10" t="str">
        <f aca="false">IF(B322="","",Apontamentos!G322&amp;"")</f>
        <v/>
      </c>
      <c r="H322" s="14" t="str">
        <f aca="false">IF('Avaliador 1'!F322='Avaliador 2'!F322,'Avaliador 1'!F322&amp;"","")</f>
        <v/>
      </c>
      <c r="I322" s="14" t="str">
        <f aca="false">IF('Avaliador 1'!G322='Avaliador 2'!G322,'Avaliador 1'!G322&amp;"","")</f>
        <v/>
      </c>
      <c r="J322" s="14" t="str">
        <f aca="false">IF('Avaliador 1'!H322='Avaliador 2'!H322,'Avaliador 1'!H322&amp;"","")</f>
        <v/>
      </c>
      <c r="K322" s="14" t="str">
        <f aca="false">IF('Avaliador 1'!I322='Avaliador 2'!I322,'Avaliador 1'!I322&amp;"","")</f>
        <v/>
      </c>
      <c r="L322" s="13"/>
      <c r="M322" s="13" t="str">
        <f aca="false">IF('Avaliador 1'!J322='Avaliador 2'!J322,'Avaliador 1'!J322&amp;"","")</f>
        <v/>
      </c>
      <c r="N322" s="11" t="str">
        <f aca="false">IF(OR('Avaliador 1'!F322="",'Avaliador 2'!F322=""),"",IF(AND('Avaliador 1'!F322='Avaliador 2'!F322,'Avaliador 1'!G322='Avaliador 2'!G322,'Avaliador 1'!H322='Avaliador 2'!H322,'Avaliador 1'!I322='Avaliador 2'!I322),"Não","Sim"))</f>
        <v/>
      </c>
      <c r="O322" s="14"/>
      <c r="P322" s="10" t="str">
        <f aca="false">IF(LEN(H322)=3,"Defeito encontrado",IF(I322="Sim","Falso alarme",IF(H322="—","Nenhum defeito apontado","")))</f>
        <v/>
      </c>
    </row>
    <row r="323" customFormat="false" ht="15" hidden="false" customHeight="false" outlineLevel="0" collapsed="false">
      <c r="A323" s="11" t="str">
        <f aca="false">Apontamentos!C323</f>
        <v/>
      </c>
      <c r="B323" s="11" t="str">
        <f aca="false">IF(Apontamentos!$C323="","",Apontamentos!A323&amp;"")</f>
        <v/>
      </c>
      <c r="C323" s="11" t="str">
        <f aca="false">IF(B323="","",IFERROR(INDEX(Execuções!$C$2:$C$97,MATCH(B323,Execuções!$A$2:$A$97,0)),"ID?"))</f>
        <v/>
      </c>
      <c r="D323" s="10" t="str">
        <f aca="false">IF(B323="","",IFERROR(INDEX(Execuções!$B$2:$B$97,MATCH(B323,Execuções!$A$2:$A$97,0)),"ID?"))</f>
        <v/>
      </c>
      <c r="E323" s="11" t="str">
        <f aca="false">IF(B323="","",Apontamentos!D323)</f>
        <v/>
      </c>
      <c r="F323" s="11" t="str">
        <f aca="false">IF(B323="","",Apontamentos!E323)</f>
        <v/>
      </c>
      <c r="G323" s="10" t="str">
        <f aca="false">IF(B323="","",Apontamentos!G323&amp;"")</f>
        <v/>
      </c>
      <c r="H323" s="14" t="str">
        <f aca="false">IF('Avaliador 1'!F323='Avaliador 2'!F323,'Avaliador 1'!F323&amp;"","")</f>
        <v/>
      </c>
      <c r="I323" s="14" t="str">
        <f aca="false">IF('Avaliador 1'!G323='Avaliador 2'!G323,'Avaliador 1'!G323&amp;"","")</f>
        <v/>
      </c>
      <c r="J323" s="14" t="str">
        <f aca="false">IF('Avaliador 1'!H323='Avaliador 2'!H323,'Avaliador 1'!H323&amp;"","")</f>
        <v/>
      </c>
      <c r="K323" s="14" t="str">
        <f aca="false">IF('Avaliador 1'!I323='Avaliador 2'!I323,'Avaliador 1'!I323&amp;"","")</f>
        <v/>
      </c>
      <c r="L323" s="13"/>
      <c r="M323" s="13" t="str">
        <f aca="false">IF('Avaliador 1'!J323='Avaliador 2'!J323,'Avaliador 1'!J323&amp;"","")</f>
        <v/>
      </c>
      <c r="N323" s="11" t="str">
        <f aca="false">IF(OR('Avaliador 1'!F323="",'Avaliador 2'!F323=""),"",IF(AND('Avaliador 1'!F323='Avaliador 2'!F323,'Avaliador 1'!G323='Avaliador 2'!G323,'Avaliador 1'!H323='Avaliador 2'!H323,'Avaliador 1'!I323='Avaliador 2'!I323),"Não","Sim"))</f>
        <v/>
      </c>
      <c r="O323" s="14"/>
      <c r="P323" s="10" t="str">
        <f aca="false">IF(LEN(H323)=3,"Defeito encontrado",IF(I323="Sim","Falso alarme",IF(H323="—","Nenhum defeito apontado","")))</f>
        <v/>
      </c>
    </row>
    <row r="324" customFormat="false" ht="15" hidden="false" customHeight="false" outlineLevel="0" collapsed="false">
      <c r="A324" s="11" t="str">
        <f aca="false">Apontamentos!C324</f>
        <v/>
      </c>
      <c r="B324" s="11" t="str">
        <f aca="false">IF(Apontamentos!$C324="","",Apontamentos!A324&amp;"")</f>
        <v/>
      </c>
      <c r="C324" s="11" t="str">
        <f aca="false">IF(B324="","",IFERROR(INDEX(Execuções!$C$2:$C$97,MATCH(B324,Execuções!$A$2:$A$97,0)),"ID?"))</f>
        <v/>
      </c>
      <c r="D324" s="10" t="str">
        <f aca="false">IF(B324="","",IFERROR(INDEX(Execuções!$B$2:$B$97,MATCH(B324,Execuções!$A$2:$A$97,0)),"ID?"))</f>
        <v/>
      </c>
      <c r="E324" s="11" t="str">
        <f aca="false">IF(B324="","",Apontamentos!D324)</f>
        <v/>
      </c>
      <c r="F324" s="11" t="str">
        <f aca="false">IF(B324="","",Apontamentos!E324)</f>
        <v/>
      </c>
      <c r="G324" s="10" t="str">
        <f aca="false">IF(B324="","",Apontamentos!G324&amp;"")</f>
        <v/>
      </c>
      <c r="H324" s="14" t="str">
        <f aca="false">IF('Avaliador 1'!F324='Avaliador 2'!F324,'Avaliador 1'!F324&amp;"","")</f>
        <v/>
      </c>
      <c r="I324" s="14" t="str">
        <f aca="false">IF('Avaliador 1'!G324='Avaliador 2'!G324,'Avaliador 1'!G324&amp;"","")</f>
        <v/>
      </c>
      <c r="J324" s="14" t="str">
        <f aca="false">IF('Avaliador 1'!H324='Avaliador 2'!H324,'Avaliador 1'!H324&amp;"","")</f>
        <v/>
      </c>
      <c r="K324" s="14" t="str">
        <f aca="false">IF('Avaliador 1'!I324='Avaliador 2'!I324,'Avaliador 1'!I324&amp;"","")</f>
        <v/>
      </c>
      <c r="L324" s="13"/>
      <c r="M324" s="13" t="str">
        <f aca="false">IF('Avaliador 1'!J324='Avaliador 2'!J324,'Avaliador 1'!J324&amp;"","")</f>
        <v/>
      </c>
      <c r="N324" s="11" t="str">
        <f aca="false">IF(OR('Avaliador 1'!F324="",'Avaliador 2'!F324=""),"",IF(AND('Avaliador 1'!F324='Avaliador 2'!F324,'Avaliador 1'!G324='Avaliador 2'!G324,'Avaliador 1'!H324='Avaliador 2'!H324,'Avaliador 1'!I324='Avaliador 2'!I324),"Não","Sim"))</f>
        <v/>
      </c>
      <c r="O324" s="14"/>
      <c r="P324" s="10" t="str">
        <f aca="false">IF(LEN(H324)=3,"Defeito encontrado",IF(I324="Sim","Falso alarme",IF(H324="—","Nenhum defeito apontado","")))</f>
        <v/>
      </c>
    </row>
    <row r="325" customFormat="false" ht="15" hidden="false" customHeight="false" outlineLevel="0" collapsed="false">
      <c r="A325" s="11" t="str">
        <f aca="false">Apontamentos!C325</f>
        <v/>
      </c>
      <c r="B325" s="11" t="str">
        <f aca="false">IF(Apontamentos!$C325="","",Apontamentos!A325&amp;"")</f>
        <v/>
      </c>
      <c r="C325" s="11" t="str">
        <f aca="false">IF(B325="","",IFERROR(INDEX(Execuções!$C$2:$C$97,MATCH(B325,Execuções!$A$2:$A$97,0)),"ID?"))</f>
        <v/>
      </c>
      <c r="D325" s="10" t="str">
        <f aca="false">IF(B325="","",IFERROR(INDEX(Execuções!$B$2:$B$97,MATCH(B325,Execuções!$A$2:$A$97,0)),"ID?"))</f>
        <v/>
      </c>
      <c r="E325" s="11" t="str">
        <f aca="false">IF(B325="","",Apontamentos!D325)</f>
        <v/>
      </c>
      <c r="F325" s="11" t="str">
        <f aca="false">IF(B325="","",Apontamentos!E325)</f>
        <v/>
      </c>
      <c r="G325" s="10" t="str">
        <f aca="false">IF(B325="","",Apontamentos!G325&amp;"")</f>
        <v/>
      </c>
      <c r="H325" s="14" t="str">
        <f aca="false">IF('Avaliador 1'!F325='Avaliador 2'!F325,'Avaliador 1'!F325&amp;"","")</f>
        <v/>
      </c>
      <c r="I325" s="14" t="str">
        <f aca="false">IF('Avaliador 1'!G325='Avaliador 2'!G325,'Avaliador 1'!G325&amp;"","")</f>
        <v/>
      </c>
      <c r="J325" s="14" t="str">
        <f aca="false">IF('Avaliador 1'!H325='Avaliador 2'!H325,'Avaliador 1'!H325&amp;"","")</f>
        <v/>
      </c>
      <c r="K325" s="14" t="str">
        <f aca="false">IF('Avaliador 1'!I325='Avaliador 2'!I325,'Avaliador 1'!I325&amp;"","")</f>
        <v/>
      </c>
      <c r="L325" s="13"/>
      <c r="M325" s="13" t="str">
        <f aca="false">IF('Avaliador 1'!J325='Avaliador 2'!J325,'Avaliador 1'!J325&amp;"","")</f>
        <v/>
      </c>
      <c r="N325" s="11" t="str">
        <f aca="false">IF(OR('Avaliador 1'!F325="",'Avaliador 2'!F325=""),"",IF(AND('Avaliador 1'!F325='Avaliador 2'!F325,'Avaliador 1'!G325='Avaliador 2'!G325,'Avaliador 1'!H325='Avaliador 2'!H325,'Avaliador 1'!I325='Avaliador 2'!I325),"Não","Sim"))</f>
        <v/>
      </c>
      <c r="O325" s="14"/>
      <c r="P325" s="10" t="str">
        <f aca="false">IF(LEN(H325)=3,"Defeito encontrado",IF(I325="Sim","Falso alarme",IF(H325="—","Nenhum defeito apontado","")))</f>
        <v/>
      </c>
    </row>
    <row r="326" customFormat="false" ht="15" hidden="false" customHeight="false" outlineLevel="0" collapsed="false">
      <c r="A326" s="11" t="str">
        <f aca="false">Apontamentos!C326</f>
        <v/>
      </c>
      <c r="B326" s="11" t="str">
        <f aca="false">IF(Apontamentos!$C326="","",Apontamentos!A326&amp;"")</f>
        <v/>
      </c>
      <c r="C326" s="11" t="str">
        <f aca="false">IF(B326="","",IFERROR(INDEX(Execuções!$C$2:$C$97,MATCH(B326,Execuções!$A$2:$A$97,0)),"ID?"))</f>
        <v/>
      </c>
      <c r="D326" s="10" t="str">
        <f aca="false">IF(B326="","",IFERROR(INDEX(Execuções!$B$2:$B$97,MATCH(B326,Execuções!$A$2:$A$97,0)),"ID?"))</f>
        <v/>
      </c>
      <c r="E326" s="11" t="str">
        <f aca="false">IF(B326="","",Apontamentos!D326)</f>
        <v/>
      </c>
      <c r="F326" s="11" t="str">
        <f aca="false">IF(B326="","",Apontamentos!E326)</f>
        <v/>
      </c>
      <c r="G326" s="10" t="str">
        <f aca="false">IF(B326="","",Apontamentos!G326&amp;"")</f>
        <v/>
      </c>
      <c r="H326" s="14" t="str">
        <f aca="false">IF('Avaliador 1'!F326='Avaliador 2'!F326,'Avaliador 1'!F326&amp;"","")</f>
        <v/>
      </c>
      <c r="I326" s="14" t="str">
        <f aca="false">IF('Avaliador 1'!G326='Avaliador 2'!G326,'Avaliador 1'!G326&amp;"","")</f>
        <v/>
      </c>
      <c r="J326" s="14" t="str">
        <f aca="false">IF('Avaliador 1'!H326='Avaliador 2'!H326,'Avaliador 1'!H326&amp;"","")</f>
        <v/>
      </c>
      <c r="K326" s="14" t="str">
        <f aca="false">IF('Avaliador 1'!I326='Avaliador 2'!I326,'Avaliador 1'!I326&amp;"","")</f>
        <v/>
      </c>
      <c r="L326" s="13"/>
      <c r="M326" s="13" t="str">
        <f aca="false">IF('Avaliador 1'!J326='Avaliador 2'!J326,'Avaliador 1'!J326&amp;"","")</f>
        <v/>
      </c>
      <c r="N326" s="11" t="str">
        <f aca="false">IF(OR('Avaliador 1'!F326="",'Avaliador 2'!F326=""),"",IF(AND('Avaliador 1'!F326='Avaliador 2'!F326,'Avaliador 1'!G326='Avaliador 2'!G326,'Avaliador 1'!H326='Avaliador 2'!H326,'Avaliador 1'!I326='Avaliador 2'!I326),"Não","Sim"))</f>
        <v/>
      </c>
      <c r="O326" s="14"/>
      <c r="P326" s="10" t="str">
        <f aca="false">IF(LEN(H326)=3,"Defeito encontrado",IF(I326="Sim","Falso alarme",IF(H326="—","Nenhum defeito apontado","")))</f>
        <v/>
      </c>
    </row>
    <row r="327" customFormat="false" ht="15" hidden="false" customHeight="false" outlineLevel="0" collapsed="false">
      <c r="A327" s="11" t="str">
        <f aca="false">Apontamentos!C327</f>
        <v/>
      </c>
      <c r="B327" s="11" t="str">
        <f aca="false">IF(Apontamentos!$C327="","",Apontamentos!A327&amp;"")</f>
        <v/>
      </c>
      <c r="C327" s="11" t="str">
        <f aca="false">IF(B327="","",IFERROR(INDEX(Execuções!$C$2:$C$97,MATCH(B327,Execuções!$A$2:$A$97,0)),"ID?"))</f>
        <v/>
      </c>
      <c r="D327" s="10" t="str">
        <f aca="false">IF(B327="","",IFERROR(INDEX(Execuções!$B$2:$B$97,MATCH(B327,Execuções!$A$2:$A$97,0)),"ID?"))</f>
        <v/>
      </c>
      <c r="E327" s="11" t="str">
        <f aca="false">IF(B327="","",Apontamentos!D327)</f>
        <v/>
      </c>
      <c r="F327" s="11" t="str">
        <f aca="false">IF(B327="","",Apontamentos!E327)</f>
        <v/>
      </c>
      <c r="G327" s="10" t="str">
        <f aca="false">IF(B327="","",Apontamentos!G327&amp;"")</f>
        <v/>
      </c>
      <c r="H327" s="14" t="str">
        <f aca="false">IF('Avaliador 1'!F327='Avaliador 2'!F327,'Avaliador 1'!F327&amp;"","")</f>
        <v/>
      </c>
      <c r="I327" s="14" t="str">
        <f aca="false">IF('Avaliador 1'!G327='Avaliador 2'!G327,'Avaliador 1'!G327&amp;"","")</f>
        <v/>
      </c>
      <c r="J327" s="14" t="str">
        <f aca="false">IF('Avaliador 1'!H327='Avaliador 2'!H327,'Avaliador 1'!H327&amp;"","")</f>
        <v/>
      </c>
      <c r="K327" s="14" t="str">
        <f aca="false">IF('Avaliador 1'!I327='Avaliador 2'!I327,'Avaliador 1'!I327&amp;"","")</f>
        <v/>
      </c>
      <c r="L327" s="13"/>
      <c r="M327" s="13" t="str">
        <f aca="false">IF('Avaliador 1'!J327='Avaliador 2'!J327,'Avaliador 1'!J327&amp;"","")</f>
        <v/>
      </c>
      <c r="N327" s="11" t="str">
        <f aca="false">IF(OR('Avaliador 1'!F327="",'Avaliador 2'!F327=""),"",IF(AND('Avaliador 1'!F327='Avaliador 2'!F327,'Avaliador 1'!G327='Avaliador 2'!G327,'Avaliador 1'!H327='Avaliador 2'!H327,'Avaliador 1'!I327='Avaliador 2'!I327),"Não","Sim"))</f>
        <v/>
      </c>
      <c r="O327" s="14"/>
      <c r="P327" s="10" t="str">
        <f aca="false">IF(LEN(H327)=3,"Defeito encontrado",IF(I327="Sim","Falso alarme",IF(H327="—","Nenhum defeito apontado","")))</f>
        <v/>
      </c>
    </row>
    <row r="328" customFormat="false" ht="15" hidden="false" customHeight="false" outlineLevel="0" collapsed="false">
      <c r="A328" s="11" t="str">
        <f aca="false">Apontamentos!C328</f>
        <v/>
      </c>
      <c r="B328" s="11" t="str">
        <f aca="false">IF(Apontamentos!$C328="","",Apontamentos!A328&amp;"")</f>
        <v/>
      </c>
      <c r="C328" s="11" t="str">
        <f aca="false">IF(B328="","",IFERROR(INDEX(Execuções!$C$2:$C$97,MATCH(B328,Execuções!$A$2:$A$97,0)),"ID?"))</f>
        <v/>
      </c>
      <c r="D328" s="10" t="str">
        <f aca="false">IF(B328="","",IFERROR(INDEX(Execuções!$B$2:$B$97,MATCH(B328,Execuções!$A$2:$A$97,0)),"ID?"))</f>
        <v/>
      </c>
      <c r="E328" s="11" t="str">
        <f aca="false">IF(B328="","",Apontamentos!D328)</f>
        <v/>
      </c>
      <c r="F328" s="11" t="str">
        <f aca="false">IF(B328="","",Apontamentos!E328)</f>
        <v/>
      </c>
      <c r="G328" s="10" t="str">
        <f aca="false">IF(B328="","",Apontamentos!G328&amp;"")</f>
        <v/>
      </c>
      <c r="H328" s="14" t="str">
        <f aca="false">IF('Avaliador 1'!F328='Avaliador 2'!F328,'Avaliador 1'!F328&amp;"","")</f>
        <v/>
      </c>
      <c r="I328" s="14" t="str">
        <f aca="false">IF('Avaliador 1'!G328='Avaliador 2'!G328,'Avaliador 1'!G328&amp;"","")</f>
        <v/>
      </c>
      <c r="J328" s="14" t="str">
        <f aca="false">IF('Avaliador 1'!H328='Avaliador 2'!H328,'Avaliador 1'!H328&amp;"","")</f>
        <v/>
      </c>
      <c r="K328" s="14" t="str">
        <f aca="false">IF('Avaliador 1'!I328='Avaliador 2'!I328,'Avaliador 1'!I328&amp;"","")</f>
        <v/>
      </c>
      <c r="L328" s="13"/>
      <c r="M328" s="13" t="str">
        <f aca="false">IF('Avaliador 1'!J328='Avaliador 2'!J328,'Avaliador 1'!J328&amp;"","")</f>
        <v/>
      </c>
      <c r="N328" s="11" t="str">
        <f aca="false">IF(OR('Avaliador 1'!F328="",'Avaliador 2'!F328=""),"",IF(AND('Avaliador 1'!F328='Avaliador 2'!F328,'Avaliador 1'!G328='Avaliador 2'!G328,'Avaliador 1'!H328='Avaliador 2'!H328,'Avaliador 1'!I328='Avaliador 2'!I328),"Não","Sim"))</f>
        <v/>
      </c>
      <c r="O328" s="14"/>
      <c r="P328" s="10" t="str">
        <f aca="false">IF(LEN(H328)=3,"Defeito encontrado",IF(I328="Sim","Falso alarme",IF(H328="—","Nenhum defeito apontado","")))</f>
        <v/>
      </c>
    </row>
    <row r="329" customFormat="false" ht="15" hidden="false" customHeight="false" outlineLevel="0" collapsed="false">
      <c r="A329" s="11" t="str">
        <f aca="false">Apontamentos!C329</f>
        <v/>
      </c>
      <c r="B329" s="11" t="str">
        <f aca="false">IF(Apontamentos!$C329="","",Apontamentos!A329&amp;"")</f>
        <v/>
      </c>
      <c r="C329" s="11" t="str">
        <f aca="false">IF(B329="","",IFERROR(INDEX(Execuções!$C$2:$C$97,MATCH(B329,Execuções!$A$2:$A$97,0)),"ID?"))</f>
        <v/>
      </c>
      <c r="D329" s="10" t="str">
        <f aca="false">IF(B329="","",IFERROR(INDEX(Execuções!$B$2:$B$97,MATCH(B329,Execuções!$A$2:$A$97,0)),"ID?"))</f>
        <v/>
      </c>
      <c r="E329" s="11" t="str">
        <f aca="false">IF(B329="","",Apontamentos!D329)</f>
        <v/>
      </c>
      <c r="F329" s="11" t="str">
        <f aca="false">IF(B329="","",Apontamentos!E329)</f>
        <v/>
      </c>
      <c r="G329" s="10" t="str">
        <f aca="false">IF(B329="","",Apontamentos!G329&amp;"")</f>
        <v/>
      </c>
      <c r="H329" s="14" t="str">
        <f aca="false">IF('Avaliador 1'!F329='Avaliador 2'!F329,'Avaliador 1'!F329&amp;"","")</f>
        <v/>
      </c>
      <c r="I329" s="14" t="str">
        <f aca="false">IF('Avaliador 1'!G329='Avaliador 2'!G329,'Avaliador 1'!G329&amp;"","")</f>
        <v/>
      </c>
      <c r="J329" s="14" t="str">
        <f aca="false">IF('Avaliador 1'!H329='Avaliador 2'!H329,'Avaliador 1'!H329&amp;"","")</f>
        <v/>
      </c>
      <c r="K329" s="14" t="str">
        <f aca="false">IF('Avaliador 1'!I329='Avaliador 2'!I329,'Avaliador 1'!I329&amp;"","")</f>
        <v/>
      </c>
      <c r="L329" s="13"/>
      <c r="M329" s="13" t="str">
        <f aca="false">IF('Avaliador 1'!J329='Avaliador 2'!J329,'Avaliador 1'!J329&amp;"","")</f>
        <v/>
      </c>
      <c r="N329" s="11" t="str">
        <f aca="false">IF(OR('Avaliador 1'!F329="",'Avaliador 2'!F329=""),"",IF(AND('Avaliador 1'!F329='Avaliador 2'!F329,'Avaliador 1'!G329='Avaliador 2'!G329,'Avaliador 1'!H329='Avaliador 2'!H329,'Avaliador 1'!I329='Avaliador 2'!I329),"Não","Sim"))</f>
        <v/>
      </c>
      <c r="O329" s="14"/>
      <c r="P329" s="10" t="str">
        <f aca="false">IF(LEN(H329)=3,"Defeito encontrado",IF(I329="Sim","Falso alarme",IF(H329="—","Nenhum defeito apontado","")))</f>
        <v/>
      </c>
    </row>
    <row r="330" customFormat="false" ht="15" hidden="false" customHeight="false" outlineLevel="0" collapsed="false">
      <c r="A330" s="11" t="str">
        <f aca="false">Apontamentos!C330</f>
        <v/>
      </c>
      <c r="B330" s="11" t="str">
        <f aca="false">IF(Apontamentos!$C330="","",Apontamentos!A330&amp;"")</f>
        <v/>
      </c>
      <c r="C330" s="11" t="str">
        <f aca="false">IF(B330="","",IFERROR(INDEX(Execuções!$C$2:$C$97,MATCH(B330,Execuções!$A$2:$A$97,0)),"ID?"))</f>
        <v/>
      </c>
      <c r="D330" s="10" t="str">
        <f aca="false">IF(B330="","",IFERROR(INDEX(Execuções!$B$2:$B$97,MATCH(B330,Execuções!$A$2:$A$97,0)),"ID?"))</f>
        <v/>
      </c>
      <c r="E330" s="11" t="str">
        <f aca="false">IF(B330="","",Apontamentos!D330)</f>
        <v/>
      </c>
      <c r="F330" s="11" t="str">
        <f aca="false">IF(B330="","",Apontamentos!E330)</f>
        <v/>
      </c>
      <c r="G330" s="10" t="str">
        <f aca="false">IF(B330="","",Apontamentos!G330&amp;"")</f>
        <v/>
      </c>
      <c r="H330" s="14" t="str">
        <f aca="false">IF('Avaliador 1'!F330='Avaliador 2'!F330,'Avaliador 1'!F330&amp;"","")</f>
        <v/>
      </c>
      <c r="I330" s="14" t="str">
        <f aca="false">IF('Avaliador 1'!G330='Avaliador 2'!G330,'Avaliador 1'!G330&amp;"","")</f>
        <v/>
      </c>
      <c r="J330" s="14" t="str">
        <f aca="false">IF('Avaliador 1'!H330='Avaliador 2'!H330,'Avaliador 1'!H330&amp;"","")</f>
        <v/>
      </c>
      <c r="K330" s="14" t="str">
        <f aca="false">IF('Avaliador 1'!I330='Avaliador 2'!I330,'Avaliador 1'!I330&amp;"","")</f>
        <v/>
      </c>
      <c r="L330" s="13"/>
      <c r="M330" s="13" t="str">
        <f aca="false">IF('Avaliador 1'!J330='Avaliador 2'!J330,'Avaliador 1'!J330&amp;"","")</f>
        <v/>
      </c>
      <c r="N330" s="11" t="str">
        <f aca="false">IF(OR('Avaliador 1'!F330="",'Avaliador 2'!F330=""),"",IF(AND('Avaliador 1'!F330='Avaliador 2'!F330,'Avaliador 1'!G330='Avaliador 2'!G330,'Avaliador 1'!H330='Avaliador 2'!H330,'Avaliador 1'!I330='Avaliador 2'!I330),"Não","Sim"))</f>
        <v/>
      </c>
      <c r="O330" s="14"/>
      <c r="P330" s="10" t="str">
        <f aca="false">IF(LEN(H330)=3,"Defeito encontrado",IF(I330="Sim","Falso alarme",IF(H330="—","Nenhum defeito apontado","")))</f>
        <v/>
      </c>
    </row>
    <row r="331" customFormat="false" ht="15" hidden="false" customHeight="false" outlineLevel="0" collapsed="false">
      <c r="A331" s="11" t="str">
        <f aca="false">Apontamentos!C331</f>
        <v/>
      </c>
      <c r="B331" s="11" t="str">
        <f aca="false">IF(Apontamentos!$C331="","",Apontamentos!A331&amp;"")</f>
        <v/>
      </c>
      <c r="C331" s="11" t="str">
        <f aca="false">IF(B331="","",IFERROR(INDEX(Execuções!$C$2:$C$97,MATCH(B331,Execuções!$A$2:$A$97,0)),"ID?"))</f>
        <v/>
      </c>
      <c r="D331" s="10" t="str">
        <f aca="false">IF(B331="","",IFERROR(INDEX(Execuções!$B$2:$B$97,MATCH(B331,Execuções!$A$2:$A$97,0)),"ID?"))</f>
        <v/>
      </c>
      <c r="E331" s="11" t="str">
        <f aca="false">IF(B331="","",Apontamentos!D331)</f>
        <v/>
      </c>
      <c r="F331" s="11" t="str">
        <f aca="false">IF(B331="","",Apontamentos!E331)</f>
        <v/>
      </c>
      <c r="G331" s="10" t="str">
        <f aca="false">IF(B331="","",Apontamentos!G331&amp;"")</f>
        <v/>
      </c>
      <c r="H331" s="14" t="str">
        <f aca="false">IF('Avaliador 1'!F331='Avaliador 2'!F331,'Avaliador 1'!F331&amp;"","")</f>
        <v/>
      </c>
      <c r="I331" s="14" t="str">
        <f aca="false">IF('Avaliador 1'!G331='Avaliador 2'!G331,'Avaliador 1'!G331&amp;"","")</f>
        <v/>
      </c>
      <c r="J331" s="14" t="str">
        <f aca="false">IF('Avaliador 1'!H331='Avaliador 2'!H331,'Avaliador 1'!H331&amp;"","")</f>
        <v/>
      </c>
      <c r="K331" s="14" t="str">
        <f aca="false">IF('Avaliador 1'!I331='Avaliador 2'!I331,'Avaliador 1'!I331&amp;"","")</f>
        <v/>
      </c>
      <c r="L331" s="13"/>
      <c r="M331" s="13" t="str">
        <f aca="false">IF('Avaliador 1'!J331='Avaliador 2'!J331,'Avaliador 1'!J331&amp;"","")</f>
        <v/>
      </c>
      <c r="N331" s="11" t="str">
        <f aca="false">IF(OR('Avaliador 1'!F331="",'Avaliador 2'!F331=""),"",IF(AND('Avaliador 1'!F331='Avaliador 2'!F331,'Avaliador 1'!G331='Avaliador 2'!G331,'Avaliador 1'!H331='Avaliador 2'!H331,'Avaliador 1'!I331='Avaliador 2'!I331),"Não","Sim"))</f>
        <v/>
      </c>
      <c r="O331" s="14"/>
      <c r="P331" s="10" t="str">
        <f aca="false">IF(LEN(H331)=3,"Defeito encontrado",IF(I331="Sim","Falso alarme",IF(H331="—","Nenhum defeito apontado","")))</f>
        <v/>
      </c>
    </row>
    <row r="332" customFormat="false" ht="15" hidden="false" customHeight="false" outlineLevel="0" collapsed="false">
      <c r="A332" s="11" t="str">
        <f aca="false">Apontamentos!C332</f>
        <v/>
      </c>
      <c r="B332" s="11" t="str">
        <f aca="false">IF(Apontamentos!$C332="","",Apontamentos!A332&amp;"")</f>
        <v/>
      </c>
      <c r="C332" s="11" t="str">
        <f aca="false">IF(B332="","",IFERROR(INDEX(Execuções!$C$2:$C$97,MATCH(B332,Execuções!$A$2:$A$97,0)),"ID?"))</f>
        <v/>
      </c>
      <c r="D332" s="10" t="str">
        <f aca="false">IF(B332="","",IFERROR(INDEX(Execuções!$B$2:$B$97,MATCH(B332,Execuções!$A$2:$A$97,0)),"ID?"))</f>
        <v/>
      </c>
      <c r="E332" s="11" t="str">
        <f aca="false">IF(B332="","",Apontamentos!D332)</f>
        <v/>
      </c>
      <c r="F332" s="11" t="str">
        <f aca="false">IF(B332="","",Apontamentos!E332)</f>
        <v/>
      </c>
      <c r="G332" s="10" t="str">
        <f aca="false">IF(B332="","",Apontamentos!G332&amp;"")</f>
        <v/>
      </c>
      <c r="H332" s="14" t="str">
        <f aca="false">IF('Avaliador 1'!F332='Avaliador 2'!F332,'Avaliador 1'!F332&amp;"","")</f>
        <v/>
      </c>
      <c r="I332" s="14" t="str">
        <f aca="false">IF('Avaliador 1'!G332='Avaliador 2'!G332,'Avaliador 1'!G332&amp;"","")</f>
        <v/>
      </c>
      <c r="J332" s="14" t="str">
        <f aca="false">IF('Avaliador 1'!H332='Avaliador 2'!H332,'Avaliador 1'!H332&amp;"","")</f>
        <v/>
      </c>
      <c r="K332" s="14" t="str">
        <f aca="false">IF('Avaliador 1'!I332='Avaliador 2'!I332,'Avaliador 1'!I332&amp;"","")</f>
        <v/>
      </c>
      <c r="L332" s="13"/>
      <c r="M332" s="13" t="str">
        <f aca="false">IF('Avaliador 1'!J332='Avaliador 2'!J332,'Avaliador 1'!J332&amp;"","")</f>
        <v/>
      </c>
      <c r="N332" s="11" t="str">
        <f aca="false">IF(OR('Avaliador 1'!F332="",'Avaliador 2'!F332=""),"",IF(AND('Avaliador 1'!F332='Avaliador 2'!F332,'Avaliador 1'!G332='Avaliador 2'!G332,'Avaliador 1'!H332='Avaliador 2'!H332,'Avaliador 1'!I332='Avaliador 2'!I332),"Não","Sim"))</f>
        <v/>
      </c>
      <c r="O332" s="14"/>
      <c r="P332" s="10" t="str">
        <f aca="false">IF(LEN(H332)=3,"Defeito encontrado",IF(I332="Sim","Falso alarme",IF(H332="—","Nenhum defeito apontado","")))</f>
        <v/>
      </c>
    </row>
    <row r="333" customFormat="false" ht="15" hidden="false" customHeight="false" outlineLevel="0" collapsed="false">
      <c r="A333" s="11" t="str">
        <f aca="false">Apontamentos!C333</f>
        <v/>
      </c>
      <c r="B333" s="11" t="str">
        <f aca="false">IF(Apontamentos!$C333="","",Apontamentos!A333&amp;"")</f>
        <v/>
      </c>
      <c r="C333" s="11" t="str">
        <f aca="false">IF(B333="","",IFERROR(INDEX(Execuções!$C$2:$C$97,MATCH(B333,Execuções!$A$2:$A$97,0)),"ID?"))</f>
        <v/>
      </c>
      <c r="D333" s="10" t="str">
        <f aca="false">IF(B333="","",IFERROR(INDEX(Execuções!$B$2:$B$97,MATCH(B333,Execuções!$A$2:$A$97,0)),"ID?"))</f>
        <v/>
      </c>
      <c r="E333" s="11" t="str">
        <f aca="false">IF(B333="","",Apontamentos!D333)</f>
        <v/>
      </c>
      <c r="F333" s="11" t="str">
        <f aca="false">IF(B333="","",Apontamentos!E333)</f>
        <v/>
      </c>
      <c r="G333" s="10" t="str">
        <f aca="false">IF(B333="","",Apontamentos!G333&amp;"")</f>
        <v/>
      </c>
      <c r="H333" s="14" t="str">
        <f aca="false">IF('Avaliador 1'!F333='Avaliador 2'!F333,'Avaliador 1'!F333&amp;"","")</f>
        <v/>
      </c>
      <c r="I333" s="14" t="str">
        <f aca="false">IF('Avaliador 1'!G333='Avaliador 2'!G333,'Avaliador 1'!G333&amp;"","")</f>
        <v/>
      </c>
      <c r="J333" s="14" t="str">
        <f aca="false">IF('Avaliador 1'!H333='Avaliador 2'!H333,'Avaliador 1'!H333&amp;"","")</f>
        <v/>
      </c>
      <c r="K333" s="14" t="str">
        <f aca="false">IF('Avaliador 1'!I333='Avaliador 2'!I333,'Avaliador 1'!I333&amp;"","")</f>
        <v/>
      </c>
      <c r="L333" s="13"/>
      <c r="M333" s="13" t="str">
        <f aca="false">IF('Avaliador 1'!J333='Avaliador 2'!J333,'Avaliador 1'!J333&amp;"","")</f>
        <v/>
      </c>
      <c r="N333" s="11" t="str">
        <f aca="false">IF(OR('Avaliador 1'!F333="",'Avaliador 2'!F333=""),"",IF(AND('Avaliador 1'!F333='Avaliador 2'!F333,'Avaliador 1'!G333='Avaliador 2'!G333,'Avaliador 1'!H333='Avaliador 2'!H333,'Avaliador 1'!I333='Avaliador 2'!I333),"Não","Sim"))</f>
        <v/>
      </c>
      <c r="O333" s="14"/>
      <c r="P333" s="10" t="str">
        <f aca="false">IF(LEN(H333)=3,"Defeito encontrado",IF(I333="Sim","Falso alarme",IF(H333="—","Nenhum defeito apontado","")))</f>
        <v/>
      </c>
    </row>
    <row r="334" customFormat="false" ht="15" hidden="false" customHeight="false" outlineLevel="0" collapsed="false">
      <c r="A334" s="11" t="str">
        <f aca="false">Apontamentos!C334</f>
        <v/>
      </c>
      <c r="B334" s="11" t="str">
        <f aca="false">IF(Apontamentos!$C334="","",Apontamentos!A334&amp;"")</f>
        <v/>
      </c>
      <c r="C334" s="11" t="str">
        <f aca="false">IF(B334="","",IFERROR(INDEX(Execuções!$C$2:$C$97,MATCH(B334,Execuções!$A$2:$A$97,0)),"ID?"))</f>
        <v/>
      </c>
      <c r="D334" s="10" t="str">
        <f aca="false">IF(B334="","",IFERROR(INDEX(Execuções!$B$2:$B$97,MATCH(B334,Execuções!$A$2:$A$97,0)),"ID?"))</f>
        <v/>
      </c>
      <c r="E334" s="11" t="str">
        <f aca="false">IF(B334="","",Apontamentos!D334)</f>
        <v/>
      </c>
      <c r="F334" s="11" t="str">
        <f aca="false">IF(B334="","",Apontamentos!E334)</f>
        <v/>
      </c>
      <c r="G334" s="10" t="str">
        <f aca="false">IF(B334="","",Apontamentos!G334&amp;"")</f>
        <v/>
      </c>
      <c r="H334" s="14" t="str">
        <f aca="false">IF('Avaliador 1'!F334='Avaliador 2'!F334,'Avaliador 1'!F334&amp;"","")</f>
        <v/>
      </c>
      <c r="I334" s="14" t="str">
        <f aca="false">IF('Avaliador 1'!G334='Avaliador 2'!G334,'Avaliador 1'!G334&amp;"","")</f>
        <v/>
      </c>
      <c r="J334" s="14" t="str">
        <f aca="false">IF('Avaliador 1'!H334='Avaliador 2'!H334,'Avaliador 1'!H334&amp;"","")</f>
        <v/>
      </c>
      <c r="K334" s="14" t="str">
        <f aca="false">IF('Avaliador 1'!I334='Avaliador 2'!I334,'Avaliador 1'!I334&amp;"","")</f>
        <v/>
      </c>
      <c r="L334" s="13"/>
      <c r="M334" s="13" t="str">
        <f aca="false">IF('Avaliador 1'!J334='Avaliador 2'!J334,'Avaliador 1'!J334&amp;"","")</f>
        <v/>
      </c>
      <c r="N334" s="11" t="str">
        <f aca="false">IF(OR('Avaliador 1'!F334="",'Avaliador 2'!F334=""),"",IF(AND('Avaliador 1'!F334='Avaliador 2'!F334,'Avaliador 1'!G334='Avaliador 2'!G334,'Avaliador 1'!H334='Avaliador 2'!H334,'Avaliador 1'!I334='Avaliador 2'!I334),"Não","Sim"))</f>
        <v/>
      </c>
      <c r="O334" s="14"/>
      <c r="P334" s="10" t="str">
        <f aca="false">IF(LEN(H334)=3,"Defeito encontrado",IF(I334="Sim","Falso alarme",IF(H334="—","Nenhum defeito apontado","")))</f>
        <v/>
      </c>
    </row>
    <row r="335" customFormat="false" ht="15" hidden="false" customHeight="false" outlineLevel="0" collapsed="false">
      <c r="A335" s="11" t="str">
        <f aca="false">Apontamentos!C335</f>
        <v/>
      </c>
      <c r="B335" s="11" t="str">
        <f aca="false">IF(Apontamentos!$C335="","",Apontamentos!A335&amp;"")</f>
        <v/>
      </c>
      <c r="C335" s="11" t="str">
        <f aca="false">IF(B335="","",IFERROR(INDEX(Execuções!$C$2:$C$97,MATCH(B335,Execuções!$A$2:$A$97,0)),"ID?"))</f>
        <v/>
      </c>
      <c r="D335" s="10" t="str">
        <f aca="false">IF(B335="","",IFERROR(INDEX(Execuções!$B$2:$B$97,MATCH(B335,Execuções!$A$2:$A$97,0)),"ID?"))</f>
        <v/>
      </c>
      <c r="E335" s="11" t="str">
        <f aca="false">IF(B335="","",Apontamentos!D335)</f>
        <v/>
      </c>
      <c r="F335" s="11" t="str">
        <f aca="false">IF(B335="","",Apontamentos!E335)</f>
        <v/>
      </c>
      <c r="G335" s="10" t="str">
        <f aca="false">IF(B335="","",Apontamentos!G335&amp;"")</f>
        <v/>
      </c>
      <c r="H335" s="14" t="str">
        <f aca="false">IF('Avaliador 1'!F335='Avaliador 2'!F335,'Avaliador 1'!F335&amp;"","")</f>
        <v/>
      </c>
      <c r="I335" s="14" t="str">
        <f aca="false">IF('Avaliador 1'!G335='Avaliador 2'!G335,'Avaliador 1'!G335&amp;"","")</f>
        <v/>
      </c>
      <c r="J335" s="14" t="str">
        <f aca="false">IF('Avaliador 1'!H335='Avaliador 2'!H335,'Avaliador 1'!H335&amp;"","")</f>
        <v/>
      </c>
      <c r="K335" s="14" t="str">
        <f aca="false">IF('Avaliador 1'!I335='Avaliador 2'!I335,'Avaliador 1'!I335&amp;"","")</f>
        <v/>
      </c>
      <c r="L335" s="13"/>
      <c r="M335" s="13" t="str">
        <f aca="false">IF('Avaliador 1'!J335='Avaliador 2'!J335,'Avaliador 1'!J335&amp;"","")</f>
        <v/>
      </c>
      <c r="N335" s="11" t="str">
        <f aca="false">IF(OR('Avaliador 1'!F335="",'Avaliador 2'!F335=""),"",IF(AND('Avaliador 1'!F335='Avaliador 2'!F335,'Avaliador 1'!G335='Avaliador 2'!G335,'Avaliador 1'!H335='Avaliador 2'!H335,'Avaliador 1'!I335='Avaliador 2'!I335),"Não","Sim"))</f>
        <v/>
      </c>
      <c r="O335" s="14"/>
      <c r="P335" s="10" t="str">
        <f aca="false">IF(LEN(H335)=3,"Defeito encontrado",IF(I335="Sim","Falso alarme",IF(H335="—","Nenhum defeito apontado","")))</f>
        <v/>
      </c>
    </row>
    <row r="336" customFormat="false" ht="15" hidden="false" customHeight="false" outlineLevel="0" collapsed="false">
      <c r="A336" s="11" t="str">
        <f aca="false">Apontamentos!C336</f>
        <v/>
      </c>
      <c r="B336" s="11" t="str">
        <f aca="false">IF(Apontamentos!$C336="","",Apontamentos!A336&amp;"")</f>
        <v/>
      </c>
      <c r="C336" s="11" t="str">
        <f aca="false">IF(B336="","",IFERROR(INDEX(Execuções!$C$2:$C$97,MATCH(B336,Execuções!$A$2:$A$97,0)),"ID?"))</f>
        <v/>
      </c>
      <c r="D336" s="10" t="str">
        <f aca="false">IF(B336="","",IFERROR(INDEX(Execuções!$B$2:$B$97,MATCH(B336,Execuções!$A$2:$A$97,0)),"ID?"))</f>
        <v/>
      </c>
      <c r="E336" s="11" t="str">
        <f aca="false">IF(B336="","",Apontamentos!D336)</f>
        <v/>
      </c>
      <c r="F336" s="11" t="str">
        <f aca="false">IF(B336="","",Apontamentos!E336)</f>
        <v/>
      </c>
      <c r="G336" s="10" t="str">
        <f aca="false">IF(B336="","",Apontamentos!G336&amp;"")</f>
        <v/>
      </c>
      <c r="H336" s="14" t="str">
        <f aca="false">IF('Avaliador 1'!F336='Avaliador 2'!F336,'Avaliador 1'!F336&amp;"","")</f>
        <v/>
      </c>
      <c r="I336" s="14" t="str">
        <f aca="false">IF('Avaliador 1'!G336='Avaliador 2'!G336,'Avaliador 1'!G336&amp;"","")</f>
        <v/>
      </c>
      <c r="J336" s="14" t="str">
        <f aca="false">IF('Avaliador 1'!H336='Avaliador 2'!H336,'Avaliador 1'!H336&amp;"","")</f>
        <v/>
      </c>
      <c r="K336" s="14" t="str">
        <f aca="false">IF('Avaliador 1'!I336='Avaliador 2'!I336,'Avaliador 1'!I336&amp;"","")</f>
        <v/>
      </c>
      <c r="L336" s="13"/>
      <c r="M336" s="13" t="str">
        <f aca="false">IF('Avaliador 1'!J336='Avaliador 2'!J336,'Avaliador 1'!J336&amp;"","")</f>
        <v/>
      </c>
      <c r="N336" s="11" t="str">
        <f aca="false">IF(OR('Avaliador 1'!F336="",'Avaliador 2'!F336=""),"",IF(AND('Avaliador 1'!F336='Avaliador 2'!F336,'Avaliador 1'!G336='Avaliador 2'!G336,'Avaliador 1'!H336='Avaliador 2'!H336,'Avaliador 1'!I336='Avaliador 2'!I336),"Não","Sim"))</f>
        <v/>
      </c>
      <c r="O336" s="14"/>
      <c r="P336" s="10" t="str">
        <f aca="false">IF(LEN(H336)=3,"Defeito encontrado",IF(I336="Sim","Falso alarme",IF(H336="—","Nenhum defeito apontado","")))</f>
        <v/>
      </c>
    </row>
    <row r="337" customFormat="false" ht="15" hidden="false" customHeight="false" outlineLevel="0" collapsed="false">
      <c r="A337" s="11" t="str">
        <f aca="false">Apontamentos!C337</f>
        <v/>
      </c>
      <c r="B337" s="11" t="str">
        <f aca="false">IF(Apontamentos!$C337="","",Apontamentos!A337&amp;"")</f>
        <v/>
      </c>
      <c r="C337" s="11" t="str">
        <f aca="false">IF(B337="","",IFERROR(INDEX(Execuções!$C$2:$C$97,MATCH(B337,Execuções!$A$2:$A$97,0)),"ID?"))</f>
        <v/>
      </c>
      <c r="D337" s="10" t="str">
        <f aca="false">IF(B337="","",IFERROR(INDEX(Execuções!$B$2:$B$97,MATCH(B337,Execuções!$A$2:$A$97,0)),"ID?"))</f>
        <v/>
      </c>
      <c r="E337" s="11" t="str">
        <f aca="false">IF(B337="","",Apontamentos!D337)</f>
        <v/>
      </c>
      <c r="F337" s="11" t="str">
        <f aca="false">IF(B337="","",Apontamentos!E337)</f>
        <v/>
      </c>
      <c r="G337" s="10" t="str">
        <f aca="false">IF(B337="","",Apontamentos!G337&amp;"")</f>
        <v/>
      </c>
      <c r="H337" s="14" t="str">
        <f aca="false">IF('Avaliador 1'!F337='Avaliador 2'!F337,'Avaliador 1'!F337&amp;"","")</f>
        <v/>
      </c>
      <c r="I337" s="14" t="str">
        <f aca="false">IF('Avaliador 1'!G337='Avaliador 2'!G337,'Avaliador 1'!G337&amp;"","")</f>
        <v/>
      </c>
      <c r="J337" s="14" t="str">
        <f aca="false">IF('Avaliador 1'!H337='Avaliador 2'!H337,'Avaliador 1'!H337&amp;"","")</f>
        <v/>
      </c>
      <c r="K337" s="14" t="str">
        <f aca="false">IF('Avaliador 1'!I337='Avaliador 2'!I337,'Avaliador 1'!I337&amp;"","")</f>
        <v/>
      </c>
      <c r="L337" s="13"/>
      <c r="M337" s="13" t="str">
        <f aca="false">IF('Avaliador 1'!J337='Avaliador 2'!J337,'Avaliador 1'!J337&amp;"","")</f>
        <v/>
      </c>
      <c r="N337" s="11" t="str">
        <f aca="false">IF(OR('Avaliador 1'!F337="",'Avaliador 2'!F337=""),"",IF(AND('Avaliador 1'!F337='Avaliador 2'!F337,'Avaliador 1'!G337='Avaliador 2'!G337,'Avaliador 1'!H337='Avaliador 2'!H337,'Avaliador 1'!I337='Avaliador 2'!I337),"Não","Sim"))</f>
        <v/>
      </c>
      <c r="O337" s="14"/>
      <c r="P337" s="10" t="str">
        <f aca="false">IF(LEN(H337)=3,"Defeito encontrado",IF(I337="Sim","Falso alarme",IF(H337="—","Nenhum defeito apontado","")))</f>
        <v/>
      </c>
    </row>
    <row r="338" customFormat="false" ht="15" hidden="false" customHeight="false" outlineLevel="0" collapsed="false">
      <c r="A338" s="11" t="str">
        <f aca="false">Apontamentos!C338</f>
        <v/>
      </c>
      <c r="B338" s="11" t="str">
        <f aca="false">IF(Apontamentos!$C338="","",Apontamentos!A338&amp;"")</f>
        <v/>
      </c>
      <c r="C338" s="11" t="str">
        <f aca="false">IF(B338="","",IFERROR(INDEX(Execuções!$C$2:$C$97,MATCH(B338,Execuções!$A$2:$A$97,0)),"ID?"))</f>
        <v/>
      </c>
      <c r="D338" s="10" t="str">
        <f aca="false">IF(B338="","",IFERROR(INDEX(Execuções!$B$2:$B$97,MATCH(B338,Execuções!$A$2:$A$97,0)),"ID?"))</f>
        <v/>
      </c>
      <c r="E338" s="11" t="str">
        <f aca="false">IF(B338="","",Apontamentos!D338)</f>
        <v/>
      </c>
      <c r="F338" s="11" t="str">
        <f aca="false">IF(B338="","",Apontamentos!E338)</f>
        <v/>
      </c>
      <c r="G338" s="10" t="str">
        <f aca="false">IF(B338="","",Apontamentos!G338&amp;"")</f>
        <v/>
      </c>
      <c r="H338" s="14" t="str">
        <f aca="false">IF('Avaliador 1'!F338='Avaliador 2'!F338,'Avaliador 1'!F338&amp;"","")</f>
        <v/>
      </c>
      <c r="I338" s="14" t="str">
        <f aca="false">IF('Avaliador 1'!G338='Avaliador 2'!G338,'Avaliador 1'!G338&amp;"","")</f>
        <v/>
      </c>
      <c r="J338" s="14" t="str">
        <f aca="false">IF('Avaliador 1'!H338='Avaliador 2'!H338,'Avaliador 1'!H338&amp;"","")</f>
        <v/>
      </c>
      <c r="K338" s="14" t="str">
        <f aca="false">IF('Avaliador 1'!I338='Avaliador 2'!I338,'Avaliador 1'!I338&amp;"","")</f>
        <v/>
      </c>
      <c r="L338" s="13"/>
      <c r="M338" s="13" t="str">
        <f aca="false">IF('Avaliador 1'!J338='Avaliador 2'!J338,'Avaliador 1'!J338&amp;"","")</f>
        <v/>
      </c>
      <c r="N338" s="11" t="str">
        <f aca="false">IF(OR('Avaliador 1'!F338="",'Avaliador 2'!F338=""),"",IF(AND('Avaliador 1'!F338='Avaliador 2'!F338,'Avaliador 1'!G338='Avaliador 2'!G338,'Avaliador 1'!H338='Avaliador 2'!H338,'Avaliador 1'!I338='Avaliador 2'!I338),"Não","Sim"))</f>
        <v/>
      </c>
      <c r="O338" s="14"/>
      <c r="P338" s="10" t="str">
        <f aca="false">IF(LEN(H338)=3,"Defeito encontrado",IF(I338="Sim","Falso alarme",IF(H338="—","Nenhum defeito apontado","")))</f>
        <v/>
      </c>
    </row>
    <row r="339" customFormat="false" ht="15" hidden="false" customHeight="false" outlineLevel="0" collapsed="false">
      <c r="A339" s="11" t="str">
        <f aca="false">Apontamentos!C339</f>
        <v/>
      </c>
      <c r="B339" s="11" t="str">
        <f aca="false">IF(Apontamentos!$C339="","",Apontamentos!A339&amp;"")</f>
        <v/>
      </c>
      <c r="C339" s="11" t="str">
        <f aca="false">IF(B339="","",IFERROR(INDEX(Execuções!$C$2:$C$97,MATCH(B339,Execuções!$A$2:$A$97,0)),"ID?"))</f>
        <v/>
      </c>
      <c r="D339" s="10" t="str">
        <f aca="false">IF(B339="","",IFERROR(INDEX(Execuções!$B$2:$B$97,MATCH(B339,Execuções!$A$2:$A$97,0)),"ID?"))</f>
        <v/>
      </c>
      <c r="E339" s="11" t="str">
        <f aca="false">IF(B339="","",Apontamentos!D339)</f>
        <v/>
      </c>
      <c r="F339" s="11" t="str">
        <f aca="false">IF(B339="","",Apontamentos!E339)</f>
        <v/>
      </c>
      <c r="G339" s="10" t="str">
        <f aca="false">IF(B339="","",Apontamentos!G339&amp;"")</f>
        <v/>
      </c>
      <c r="H339" s="14" t="str">
        <f aca="false">IF('Avaliador 1'!F339='Avaliador 2'!F339,'Avaliador 1'!F339&amp;"","")</f>
        <v/>
      </c>
      <c r="I339" s="14" t="str">
        <f aca="false">IF('Avaliador 1'!G339='Avaliador 2'!G339,'Avaliador 1'!G339&amp;"","")</f>
        <v/>
      </c>
      <c r="J339" s="14" t="str">
        <f aca="false">IF('Avaliador 1'!H339='Avaliador 2'!H339,'Avaliador 1'!H339&amp;"","")</f>
        <v/>
      </c>
      <c r="K339" s="14" t="str">
        <f aca="false">IF('Avaliador 1'!I339='Avaliador 2'!I339,'Avaliador 1'!I339&amp;"","")</f>
        <v/>
      </c>
      <c r="L339" s="13"/>
      <c r="M339" s="13" t="str">
        <f aca="false">IF('Avaliador 1'!J339='Avaliador 2'!J339,'Avaliador 1'!J339&amp;"","")</f>
        <v/>
      </c>
      <c r="N339" s="11" t="str">
        <f aca="false">IF(OR('Avaliador 1'!F339="",'Avaliador 2'!F339=""),"",IF(AND('Avaliador 1'!F339='Avaliador 2'!F339,'Avaliador 1'!G339='Avaliador 2'!G339,'Avaliador 1'!H339='Avaliador 2'!H339,'Avaliador 1'!I339='Avaliador 2'!I339),"Não","Sim"))</f>
        <v/>
      </c>
      <c r="O339" s="14"/>
      <c r="P339" s="10" t="str">
        <f aca="false">IF(LEN(H339)=3,"Defeito encontrado",IF(I339="Sim","Falso alarme",IF(H339="—","Nenhum defeito apontado","")))</f>
        <v/>
      </c>
    </row>
    <row r="340" customFormat="false" ht="15" hidden="false" customHeight="false" outlineLevel="0" collapsed="false">
      <c r="A340" s="11" t="str">
        <f aca="false">Apontamentos!C340</f>
        <v/>
      </c>
      <c r="B340" s="11" t="str">
        <f aca="false">IF(Apontamentos!$C340="","",Apontamentos!A340&amp;"")</f>
        <v/>
      </c>
      <c r="C340" s="11" t="str">
        <f aca="false">IF(B340="","",IFERROR(INDEX(Execuções!$C$2:$C$97,MATCH(B340,Execuções!$A$2:$A$97,0)),"ID?"))</f>
        <v/>
      </c>
      <c r="D340" s="10" t="str">
        <f aca="false">IF(B340="","",IFERROR(INDEX(Execuções!$B$2:$B$97,MATCH(B340,Execuções!$A$2:$A$97,0)),"ID?"))</f>
        <v/>
      </c>
      <c r="E340" s="11" t="str">
        <f aca="false">IF(B340="","",Apontamentos!D340)</f>
        <v/>
      </c>
      <c r="F340" s="11" t="str">
        <f aca="false">IF(B340="","",Apontamentos!E340)</f>
        <v/>
      </c>
      <c r="G340" s="10" t="str">
        <f aca="false">IF(B340="","",Apontamentos!G340&amp;"")</f>
        <v/>
      </c>
      <c r="H340" s="14" t="str">
        <f aca="false">IF('Avaliador 1'!F340='Avaliador 2'!F340,'Avaliador 1'!F340&amp;"","")</f>
        <v/>
      </c>
      <c r="I340" s="14" t="str">
        <f aca="false">IF('Avaliador 1'!G340='Avaliador 2'!G340,'Avaliador 1'!G340&amp;"","")</f>
        <v/>
      </c>
      <c r="J340" s="14" t="str">
        <f aca="false">IF('Avaliador 1'!H340='Avaliador 2'!H340,'Avaliador 1'!H340&amp;"","")</f>
        <v/>
      </c>
      <c r="K340" s="14" t="str">
        <f aca="false">IF('Avaliador 1'!I340='Avaliador 2'!I340,'Avaliador 1'!I340&amp;"","")</f>
        <v/>
      </c>
      <c r="L340" s="13"/>
      <c r="M340" s="13" t="str">
        <f aca="false">IF('Avaliador 1'!J340='Avaliador 2'!J340,'Avaliador 1'!J340&amp;"","")</f>
        <v/>
      </c>
      <c r="N340" s="11" t="str">
        <f aca="false">IF(OR('Avaliador 1'!F340="",'Avaliador 2'!F340=""),"",IF(AND('Avaliador 1'!F340='Avaliador 2'!F340,'Avaliador 1'!G340='Avaliador 2'!G340,'Avaliador 1'!H340='Avaliador 2'!H340,'Avaliador 1'!I340='Avaliador 2'!I340),"Não","Sim"))</f>
        <v/>
      </c>
      <c r="O340" s="14"/>
      <c r="P340" s="10" t="str">
        <f aca="false">IF(LEN(H340)=3,"Defeito encontrado",IF(I340="Sim","Falso alarme",IF(H340="—","Nenhum defeito apontado","")))</f>
        <v/>
      </c>
    </row>
    <row r="341" customFormat="false" ht="15" hidden="false" customHeight="false" outlineLevel="0" collapsed="false">
      <c r="A341" s="11" t="str">
        <f aca="false">Apontamentos!C341</f>
        <v/>
      </c>
      <c r="B341" s="11" t="str">
        <f aca="false">IF(Apontamentos!$C341="","",Apontamentos!A341&amp;"")</f>
        <v/>
      </c>
      <c r="C341" s="11" t="str">
        <f aca="false">IF(B341="","",IFERROR(INDEX(Execuções!$C$2:$C$97,MATCH(B341,Execuções!$A$2:$A$97,0)),"ID?"))</f>
        <v/>
      </c>
      <c r="D341" s="10" t="str">
        <f aca="false">IF(B341="","",IFERROR(INDEX(Execuções!$B$2:$B$97,MATCH(B341,Execuções!$A$2:$A$97,0)),"ID?"))</f>
        <v/>
      </c>
      <c r="E341" s="11" t="str">
        <f aca="false">IF(B341="","",Apontamentos!D341)</f>
        <v/>
      </c>
      <c r="F341" s="11" t="str">
        <f aca="false">IF(B341="","",Apontamentos!E341)</f>
        <v/>
      </c>
      <c r="G341" s="10" t="str">
        <f aca="false">IF(B341="","",Apontamentos!G341&amp;"")</f>
        <v/>
      </c>
      <c r="H341" s="14" t="str">
        <f aca="false">IF('Avaliador 1'!F341='Avaliador 2'!F341,'Avaliador 1'!F341&amp;"","")</f>
        <v/>
      </c>
      <c r="I341" s="14" t="str">
        <f aca="false">IF('Avaliador 1'!G341='Avaliador 2'!G341,'Avaliador 1'!G341&amp;"","")</f>
        <v/>
      </c>
      <c r="J341" s="14" t="str">
        <f aca="false">IF('Avaliador 1'!H341='Avaliador 2'!H341,'Avaliador 1'!H341&amp;"","")</f>
        <v/>
      </c>
      <c r="K341" s="14" t="str">
        <f aca="false">IF('Avaliador 1'!I341='Avaliador 2'!I341,'Avaliador 1'!I341&amp;"","")</f>
        <v/>
      </c>
      <c r="L341" s="13"/>
      <c r="M341" s="13" t="str">
        <f aca="false">IF('Avaliador 1'!J341='Avaliador 2'!J341,'Avaliador 1'!J341&amp;"","")</f>
        <v/>
      </c>
      <c r="N341" s="11" t="str">
        <f aca="false">IF(OR('Avaliador 1'!F341="",'Avaliador 2'!F341=""),"",IF(AND('Avaliador 1'!F341='Avaliador 2'!F341,'Avaliador 1'!G341='Avaliador 2'!G341,'Avaliador 1'!H341='Avaliador 2'!H341,'Avaliador 1'!I341='Avaliador 2'!I341),"Não","Sim"))</f>
        <v/>
      </c>
      <c r="O341" s="14"/>
      <c r="P341" s="10" t="str">
        <f aca="false">IF(LEN(H341)=3,"Defeito encontrado",IF(I341="Sim","Falso alarme",IF(H341="—","Nenhum defeito apontado","")))</f>
        <v/>
      </c>
    </row>
    <row r="342" customFormat="false" ht="15" hidden="false" customHeight="false" outlineLevel="0" collapsed="false">
      <c r="A342" s="11" t="str">
        <f aca="false">Apontamentos!C342</f>
        <v/>
      </c>
      <c r="B342" s="11" t="str">
        <f aca="false">IF(Apontamentos!$C342="","",Apontamentos!A342&amp;"")</f>
        <v/>
      </c>
      <c r="C342" s="11" t="str">
        <f aca="false">IF(B342="","",IFERROR(INDEX(Execuções!$C$2:$C$97,MATCH(B342,Execuções!$A$2:$A$97,0)),"ID?"))</f>
        <v/>
      </c>
      <c r="D342" s="10" t="str">
        <f aca="false">IF(B342="","",IFERROR(INDEX(Execuções!$B$2:$B$97,MATCH(B342,Execuções!$A$2:$A$97,0)),"ID?"))</f>
        <v/>
      </c>
      <c r="E342" s="11" t="str">
        <f aca="false">IF(B342="","",Apontamentos!D342)</f>
        <v/>
      </c>
      <c r="F342" s="11" t="str">
        <f aca="false">IF(B342="","",Apontamentos!E342)</f>
        <v/>
      </c>
      <c r="G342" s="10" t="str">
        <f aca="false">IF(B342="","",Apontamentos!G342&amp;"")</f>
        <v/>
      </c>
      <c r="H342" s="14" t="str">
        <f aca="false">IF('Avaliador 1'!F342='Avaliador 2'!F342,'Avaliador 1'!F342&amp;"","")</f>
        <v/>
      </c>
      <c r="I342" s="14" t="str">
        <f aca="false">IF('Avaliador 1'!G342='Avaliador 2'!G342,'Avaliador 1'!G342&amp;"","")</f>
        <v/>
      </c>
      <c r="J342" s="14" t="str">
        <f aca="false">IF('Avaliador 1'!H342='Avaliador 2'!H342,'Avaliador 1'!H342&amp;"","")</f>
        <v/>
      </c>
      <c r="K342" s="14" t="str">
        <f aca="false">IF('Avaliador 1'!I342='Avaliador 2'!I342,'Avaliador 1'!I342&amp;"","")</f>
        <v/>
      </c>
      <c r="L342" s="13"/>
      <c r="M342" s="13" t="str">
        <f aca="false">IF('Avaliador 1'!J342='Avaliador 2'!J342,'Avaliador 1'!J342&amp;"","")</f>
        <v/>
      </c>
      <c r="N342" s="11" t="str">
        <f aca="false">IF(OR('Avaliador 1'!F342="",'Avaliador 2'!F342=""),"",IF(AND('Avaliador 1'!F342='Avaliador 2'!F342,'Avaliador 1'!G342='Avaliador 2'!G342,'Avaliador 1'!H342='Avaliador 2'!H342,'Avaliador 1'!I342='Avaliador 2'!I342),"Não","Sim"))</f>
        <v/>
      </c>
      <c r="O342" s="14"/>
      <c r="P342" s="10" t="str">
        <f aca="false">IF(LEN(H342)=3,"Defeito encontrado",IF(I342="Sim","Falso alarme",IF(H342="—","Nenhum defeito apontado","")))</f>
        <v/>
      </c>
    </row>
    <row r="343" customFormat="false" ht="15" hidden="false" customHeight="false" outlineLevel="0" collapsed="false">
      <c r="A343" s="11" t="str">
        <f aca="false">Apontamentos!C343</f>
        <v/>
      </c>
      <c r="B343" s="11" t="str">
        <f aca="false">IF(Apontamentos!$C343="","",Apontamentos!A343&amp;"")</f>
        <v/>
      </c>
      <c r="C343" s="11" t="str">
        <f aca="false">IF(B343="","",IFERROR(INDEX(Execuções!$C$2:$C$97,MATCH(B343,Execuções!$A$2:$A$97,0)),"ID?"))</f>
        <v/>
      </c>
      <c r="D343" s="10" t="str">
        <f aca="false">IF(B343="","",IFERROR(INDEX(Execuções!$B$2:$B$97,MATCH(B343,Execuções!$A$2:$A$97,0)),"ID?"))</f>
        <v/>
      </c>
      <c r="E343" s="11" t="str">
        <f aca="false">IF(B343="","",Apontamentos!D343)</f>
        <v/>
      </c>
      <c r="F343" s="11" t="str">
        <f aca="false">IF(B343="","",Apontamentos!E343)</f>
        <v/>
      </c>
      <c r="G343" s="10" t="str">
        <f aca="false">IF(B343="","",Apontamentos!G343&amp;"")</f>
        <v/>
      </c>
      <c r="H343" s="14" t="str">
        <f aca="false">IF('Avaliador 1'!F343='Avaliador 2'!F343,'Avaliador 1'!F343&amp;"","")</f>
        <v/>
      </c>
      <c r="I343" s="14" t="str">
        <f aca="false">IF('Avaliador 1'!G343='Avaliador 2'!G343,'Avaliador 1'!G343&amp;"","")</f>
        <v/>
      </c>
      <c r="J343" s="14" t="str">
        <f aca="false">IF('Avaliador 1'!H343='Avaliador 2'!H343,'Avaliador 1'!H343&amp;"","")</f>
        <v/>
      </c>
      <c r="K343" s="14" t="str">
        <f aca="false">IF('Avaliador 1'!I343='Avaliador 2'!I343,'Avaliador 1'!I343&amp;"","")</f>
        <v/>
      </c>
      <c r="L343" s="13"/>
      <c r="M343" s="13" t="str">
        <f aca="false">IF('Avaliador 1'!J343='Avaliador 2'!J343,'Avaliador 1'!J343&amp;"","")</f>
        <v/>
      </c>
      <c r="N343" s="11" t="str">
        <f aca="false">IF(OR('Avaliador 1'!F343="",'Avaliador 2'!F343=""),"",IF(AND('Avaliador 1'!F343='Avaliador 2'!F343,'Avaliador 1'!G343='Avaliador 2'!G343,'Avaliador 1'!H343='Avaliador 2'!H343,'Avaliador 1'!I343='Avaliador 2'!I343),"Não","Sim"))</f>
        <v/>
      </c>
      <c r="O343" s="14"/>
      <c r="P343" s="10" t="str">
        <f aca="false">IF(LEN(H343)=3,"Defeito encontrado",IF(I343="Sim","Falso alarme",IF(H343="—","Nenhum defeito apontado","")))</f>
        <v/>
      </c>
    </row>
    <row r="344" customFormat="false" ht="15" hidden="false" customHeight="false" outlineLevel="0" collapsed="false">
      <c r="A344" s="11" t="str">
        <f aca="false">Apontamentos!C344</f>
        <v/>
      </c>
      <c r="B344" s="11" t="str">
        <f aca="false">IF(Apontamentos!$C344="","",Apontamentos!A344&amp;"")</f>
        <v/>
      </c>
      <c r="C344" s="11" t="str">
        <f aca="false">IF(B344="","",IFERROR(INDEX(Execuções!$C$2:$C$97,MATCH(B344,Execuções!$A$2:$A$97,0)),"ID?"))</f>
        <v/>
      </c>
      <c r="D344" s="10" t="str">
        <f aca="false">IF(B344="","",IFERROR(INDEX(Execuções!$B$2:$B$97,MATCH(B344,Execuções!$A$2:$A$97,0)),"ID?"))</f>
        <v/>
      </c>
      <c r="E344" s="11" t="str">
        <f aca="false">IF(B344="","",Apontamentos!D344)</f>
        <v/>
      </c>
      <c r="F344" s="11" t="str">
        <f aca="false">IF(B344="","",Apontamentos!E344)</f>
        <v/>
      </c>
      <c r="G344" s="10" t="str">
        <f aca="false">IF(B344="","",Apontamentos!G344&amp;"")</f>
        <v/>
      </c>
      <c r="H344" s="14" t="str">
        <f aca="false">IF('Avaliador 1'!F344='Avaliador 2'!F344,'Avaliador 1'!F344&amp;"","")</f>
        <v/>
      </c>
      <c r="I344" s="14" t="str">
        <f aca="false">IF('Avaliador 1'!G344='Avaliador 2'!G344,'Avaliador 1'!G344&amp;"","")</f>
        <v/>
      </c>
      <c r="J344" s="14" t="str">
        <f aca="false">IF('Avaliador 1'!H344='Avaliador 2'!H344,'Avaliador 1'!H344&amp;"","")</f>
        <v/>
      </c>
      <c r="K344" s="14" t="str">
        <f aca="false">IF('Avaliador 1'!I344='Avaliador 2'!I344,'Avaliador 1'!I344&amp;"","")</f>
        <v/>
      </c>
      <c r="L344" s="13"/>
      <c r="M344" s="13" t="str">
        <f aca="false">IF('Avaliador 1'!J344='Avaliador 2'!J344,'Avaliador 1'!J344&amp;"","")</f>
        <v/>
      </c>
      <c r="N344" s="11" t="str">
        <f aca="false">IF(OR('Avaliador 1'!F344="",'Avaliador 2'!F344=""),"",IF(AND('Avaliador 1'!F344='Avaliador 2'!F344,'Avaliador 1'!G344='Avaliador 2'!G344,'Avaliador 1'!H344='Avaliador 2'!H344,'Avaliador 1'!I344='Avaliador 2'!I344),"Não","Sim"))</f>
        <v/>
      </c>
      <c r="O344" s="14"/>
      <c r="P344" s="10" t="str">
        <f aca="false">IF(LEN(H344)=3,"Defeito encontrado",IF(I344="Sim","Falso alarme",IF(H344="—","Nenhum defeito apontado","")))</f>
        <v/>
      </c>
    </row>
    <row r="345" customFormat="false" ht="15" hidden="false" customHeight="false" outlineLevel="0" collapsed="false">
      <c r="A345" s="11" t="str">
        <f aca="false">Apontamentos!C345</f>
        <v/>
      </c>
      <c r="B345" s="11" t="str">
        <f aca="false">IF(Apontamentos!$C345="","",Apontamentos!A345&amp;"")</f>
        <v/>
      </c>
      <c r="C345" s="11" t="str">
        <f aca="false">IF(B345="","",IFERROR(INDEX(Execuções!$C$2:$C$97,MATCH(B345,Execuções!$A$2:$A$97,0)),"ID?"))</f>
        <v/>
      </c>
      <c r="D345" s="10" t="str">
        <f aca="false">IF(B345="","",IFERROR(INDEX(Execuções!$B$2:$B$97,MATCH(B345,Execuções!$A$2:$A$97,0)),"ID?"))</f>
        <v/>
      </c>
      <c r="E345" s="11" t="str">
        <f aca="false">IF(B345="","",Apontamentos!D345)</f>
        <v/>
      </c>
      <c r="F345" s="11" t="str">
        <f aca="false">IF(B345="","",Apontamentos!E345)</f>
        <v/>
      </c>
      <c r="G345" s="10" t="str">
        <f aca="false">IF(B345="","",Apontamentos!G345&amp;"")</f>
        <v/>
      </c>
      <c r="H345" s="14" t="str">
        <f aca="false">IF('Avaliador 1'!F345='Avaliador 2'!F345,'Avaliador 1'!F345&amp;"","")</f>
        <v/>
      </c>
      <c r="I345" s="14" t="str">
        <f aca="false">IF('Avaliador 1'!G345='Avaliador 2'!G345,'Avaliador 1'!G345&amp;"","")</f>
        <v/>
      </c>
      <c r="J345" s="14" t="str">
        <f aca="false">IF('Avaliador 1'!H345='Avaliador 2'!H345,'Avaliador 1'!H345&amp;"","")</f>
        <v/>
      </c>
      <c r="K345" s="14" t="str">
        <f aca="false">IF('Avaliador 1'!I345='Avaliador 2'!I345,'Avaliador 1'!I345&amp;"","")</f>
        <v/>
      </c>
      <c r="L345" s="13"/>
      <c r="M345" s="13" t="str">
        <f aca="false">IF('Avaliador 1'!J345='Avaliador 2'!J345,'Avaliador 1'!J345&amp;"","")</f>
        <v/>
      </c>
      <c r="N345" s="11" t="str">
        <f aca="false">IF(OR('Avaliador 1'!F345="",'Avaliador 2'!F345=""),"",IF(AND('Avaliador 1'!F345='Avaliador 2'!F345,'Avaliador 1'!G345='Avaliador 2'!G345,'Avaliador 1'!H345='Avaliador 2'!H345,'Avaliador 1'!I345='Avaliador 2'!I345),"Não","Sim"))</f>
        <v/>
      </c>
      <c r="O345" s="14"/>
      <c r="P345" s="10" t="str">
        <f aca="false">IF(LEN(H345)=3,"Defeito encontrado",IF(I345="Sim","Falso alarme",IF(H345="—","Nenhum defeito apontado","")))</f>
        <v/>
      </c>
    </row>
    <row r="346" customFormat="false" ht="15" hidden="false" customHeight="false" outlineLevel="0" collapsed="false">
      <c r="A346" s="11" t="str">
        <f aca="false">Apontamentos!C346</f>
        <v/>
      </c>
      <c r="B346" s="11" t="str">
        <f aca="false">IF(Apontamentos!$C346="","",Apontamentos!A346&amp;"")</f>
        <v/>
      </c>
      <c r="C346" s="11" t="str">
        <f aca="false">IF(B346="","",IFERROR(INDEX(Execuções!$C$2:$C$97,MATCH(B346,Execuções!$A$2:$A$97,0)),"ID?"))</f>
        <v/>
      </c>
      <c r="D346" s="10" t="str">
        <f aca="false">IF(B346="","",IFERROR(INDEX(Execuções!$B$2:$B$97,MATCH(B346,Execuções!$A$2:$A$97,0)),"ID?"))</f>
        <v/>
      </c>
      <c r="E346" s="11" t="str">
        <f aca="false">IF(B346="","",Apontamentos!D346)</f>
        <v/>
      </c>
      <c r="F346" s="11" t="str">
        <f aca="false">IF(B346="","",Apontamentos!E346)</f>
        <v/>
      </c>
      <c r="G346" s="10" t="str">
        <f aca="false">IF(B346="","",Apontamentos!G346&amp;"")</f>
        <v/>
      </c>
      <c r="H346" s="14" t="str">
        <f aca="false">IF('Avaliador 1'!F346='Avaliador 2'!F346,'Avaliador 1'!F346&amp;"","")</f>
        <v/>
      </c>
      <c r="I346" s="14" t="str">
        <f aca="false">IF('Avaliador 1'!G346='Avaliador 2'!G346,'Avaliador 1'!G346&amp;"","")</f>
        <v/>
      </c>
      <c r="J346" s="14" t="str">
        <f aca="false">IF('Avaliador 1'!H346='Avaliador 2'!H346,'Avaliador 1'!H346&amp;"","")</f>
        <v/>
      </c>
      <c r="K346" s="14" t="str">
        <f aca="false">IF('Avaliador 1'!I346='Avaliador 2'!I346,'Avaliador 1'!I346&amp;"","")</f>
        <v/>
      </c>
      <c r="L346" s="13"/>
      <c r="M346" s="13" t="str">
        <f aca="false">IF('Avaliador 1'!J346='Avaliador 2'!J346,'Avaliador 1'!J346&amp;"","")</f>
        <v/>
      </c>
      <c r="N346" s="11" t="str">
        <f aca="false">IF(OR('Avaliador 1'!F346="",'Avaliador 2'!F346=""),"",IF(AND('Avaliador 1'!F346='Avaliador 2'!F346,'Avaliador 1'!G346='Avaliador 2'!G346,'Avaliador 1'!H346='Avaliador 2'!H346,'Avaliador 1'!I346='Avaliador 2'!I346),"Não","Sim"))</f>
        <v/>
      </c>
      <c r="O346" s="14"/>
      <c r="P346" s="10" t="str">
        <f aca="false">IF(LEN(H346)=3,"Defeito encontrado",IF(I346="Sim","Falso alarme",IF(H346="—","Nenhum defeito apontado","")))</f>
        <v/>
      </c>
    </row>
    <row r="347" customFormat="false" ht="15" hidden="false" customHeight="false" outlineLevel="0" collapsed="false">
      <c r="A347" s="11" t="str">
        <f aca="false">Apontamentos!C347</f>
        <v/>
      </c>
      <c r="B347" s="11" t="str">
        <f aca="false">IF(Apontamentos!$C347="","",Apontamentos!A347&amp;"")</f>
        <v/>
      </c>
      <c r="C347" s="11" t="str">
        <f aca="false">IF(B347="","",IFERROR(INDEX(Execuções!$C$2:$C$97,MATCH(B347,Execuções!$A$2:$A$97,0)),"ID?"))</f>
        <v/>
      </c>
      <c r="D347" s="10" t="str">
        <f aca="false">IF(B347="","",IFERROR(INDEX(Execuções!$B$2:$B$97,MATCH(B347,Execuções!$A$2:$A$97,0)),"ID?"))</f>
        <v/>
      </c>
      <c r="E347" s="11" t="str">
        <f aca="false">IF(B347="","",Apontamentos!D347)</f>
        <v/>
      </c>
      <c r="F347" s="11" t="str">
        <f aca="false">IF(B347="","",Apontamentos!E347)</f>
        <v/>
      </c>
      <c r="G347" s="10" t="str">
        <f aca="false">IF(B347="","",Apontamentos!G347&amp;"")</f>
        <v/>
      </c>
      <c r="H347" s="14" t="str">
        <f aca="false">IF('Avaliador 1'!F347='Avaliador 2'!F347,'Avaliador 1'!F347&amp;"","")</f>
        <v/>
      </c>
      <c r="I347" s="14" t="str">
        <f aca="false">IF('Avaliador 1'!G347='Avaliador 2'!G347,'Avaliador 1'!G347&amp;"","")</f>
        <v/>
      </c>
      <c r="J347" s="14" t="str">
        <f aca="false">IF('Avaliador 1'!H347='Avaliador 2'!H347,'Avaliador 1'!H347&amp;"","")</f>
        <v/>
      </c>
      <c r="K347" s="14" t="str">
        <f aca="false">IF('Avaliador 1'!I347='Avaliador 2'!I347,'Avaliador 1'!I347&amp;"","")</f>
        <v/>
      </c>
      <c r="L347" s="13"/>
      <c r="M347" s="13" t="str">
        <f aca="false">IF('Avaliador 1'!J347='Avaliador 2'!J347,'Avaliador 1'!J347&amp;"","")</f>
        <v/>
      </c>
      <c r="N347" s="11" t="str">
        <f aca="false">IF(OR('Avaliador 1'!F347="",'Avaliador 2'!F347=""),"",IF(AND('Avaliador 1'!F347='Avaliador 2'!F347,'Avaliador 1'!G347='Avaliador 2'!G347,'Avaliador 1'!H347='Avaliador 2'!H347,'Avaliador 1'!I347='Avaliador 2'!I347),"Não","Sim"))</f>
        <v/>
      </c>
      <c r="O347" s="14"/>
      <c r="P347" s="10" t="str">
        <f aca="false">IF(LEN(H347)=3,"Defeito encontrado",IF(I347="Sim","Falso alarme",IF(H347="—","Nenhum defeito apontado","")))</f>
        <v/>
      </c>
    </row>
    <row r="348" customFormat="false" ht="15" hidden="false" customHeight="false" outlineLevel="0" collapsed="false">
      <c r="A348" s="11" t="str">
        <f aca="false">Apontamentos!C348</f>
        <v/>
      </c>
      <c r="B348" s="11" t="str">
        <f aca="false">IF(Apontamentos!$C348="","",Apontamentos!A348&amp;"")</f>
        <v/>
      </c>
      <c r="C348" s="11" t="str">
        <f aca="false">IF(B348="","",IFERROR(INDEX(Execuções!$C$2:$C$97,MATCH(B348,Execuções!$A$2:$A$97,0)),"ID?"))</f>
        <v/>
      </c>
      <c r="D348" s="10" t="str">
        <f aca="false">IF(B348="","",IFERROR(INDEX(Execuções!$B$2:$B$97,MATCH(B348,Execuções!$A$2:$A$97,0)),"ID?"))</f>
        <v/>
      </c>
      <c r="E348" s="11" t="str">
        <f aca="false">IF(B348="","",Apontamentos!D348)</f>
        <v/>
      </c>
      <c r="F348" s="11" t="str">
        <f aca="false">IF(B348="","",Apontamentos!E348)</f>
        <v/>
      </c>
      <c r="G348" s="10" t="str">
        <f aca="false">IF(B348="","",Apontamentos!G348&amp;"")</f>
        <v/>
      </c>
      <c r="H348" s="14" t="str">
        <f aca="false">IF('Avaliador 1'!F348='Avaliador 2'!F348,'Avaliador 1'!F348&amp;"","")</f>
        <v/>
      </c>
      <c r="I348" s="14" t="str">
        <f aca="false">IF('Avaliador 1'!G348='Avaliador 2'!G348,'Avaliador 1'!G348&amp;"","")</f>
        <v/>
      </c>
      <c r="J348" s="14" t="str">
        <f aca="false">IF('Avaliador 1'!H348='Avaliador 2'!H348,'Avaliador 1'!H348&amp;"","")</f>
        <v/>
      </c>
      <c r="K348" s="14" t="str">
        <f aca="false">IF('Avaliador 1'!I348='Avaliador 2'!I348,'Avaliador 1'!I348&amp;"","")</f>
        <v/>
      </c>
      <c r="L348" s="13"/>
      <c r="M348" s="13" t="str">
        <f aca="false">IF('Avaliador 1'!J348='Avaliador 2'!J348,'Avaliador 1'!J348&amp;"","")</f>
        <v/>
      </c>
      <c r="N348" s="11" t="str">
        <f aca="false">IF(OR('Avaliador 1'!F348="",'Avaliador 2'!F348=""),"",IF(AND('Avaliador 1'!F348='Avaliador 2'!F348,'Avaliador 1'!G348='Avaliador 2'!G348,'Avaliador 1'!H348='Avaliador 2'!H348,'Avaliador 1'!I348='Avaliador 2'!I348),"Não","Sim"))</f>
        <v/>
      </c>
      <c r="O348" s="14"/>
      <c r="P348" s="10" t="str">
        <f aca="false">IF(LEN(H348)=3,"Defeito encontrado",IF(I348="Sim","Falso alarme",IF(H348="—","Nenhum defeito apontado","")))</f>
        <v/>
      </c>
    </row>
    <row r="349" customFormat="false" ht="15" hidden="false" customHeight="false" outlineLevel="0" collapsed="false">
      <c r="A349" s="11" t="str">
        <f aca="false">Apontamentos!C349</f>
        <v/>
      </c>
      <c r="B349" s="11" t="str">
        <f aca="false">IF(Apontamentos!$C349="","",Apontamentos!A349&amp;"")</f>
        <v/>
      </c>
      <c r="C349" s="11" t="str">
        <f aca="false">IF(B349="","",IFERROR(INDEX(Execuções!$C$2:$C$97,MATCH(B349,Execuções!$A$2:$A$97,0)),"ID?"))</f>
        <v/>
      </c>
      <c r="D349" s="10" t="str">
        <f aca="false">IF(B349="","",IFERROR(INDEX(Execuções!$B$2:$B$97,MATCH(B349,Execuções!$A$2:$A$97,0)),"ID?"))</f>
        <v/>
      </c>
      <c r="E349" s="11" t="str">
        <f aca="false">IF(B349="","",Apontamentos!D349)</f>
        <v/>
      </c>
      <c r="F349" s="11" t="str">
        <f aca="false">IF(B349="","",Apontamentos!E349)</f>
        <v/>
      </c>
      <c r="G349" s="10" t="str">
        <f aca="false">IF(B349="","",Apontamentos!G349&amp;"")</f>
        <v/>
      </c>
      <c r="H349" s="14" t="str">
        <f aca="false">IF('Avaliador 1'!F349='Avaliador 2'!F349,'Avaliador 1'!F349&amp;"","")</f>
        <v/>
      </c>
      <c r="I349" s="14" t="str">
        <f aca="false">IF('Avaliador 1'!G349='Avaliador 2'!G349,'Avaliador 1'!G349&amp;"","")</f>
        <v/>
      </c>
      <c r="J349" s="14" t="str">
        <f aca="false">IF('Avaliador 1'!H349='Avaliador 2'!H349,'Avaliador 1'!H349&amp;"","")</f>
        <v/>
      </c>
      <c r="K349" s="14" t="str">
        <f aca="false">IF('Avaliador 1'!I349='Avaliador 2'!I349,'Avaliador 1'!I349&amp;"","")</f>
        <v/>
      </c>
      <c r="L349" s="13"/>
      <c r="M349" s="13" t="str">
        <f aca="false">IF('Avaliador 1'!J349='Avaliador 2'!J349,'Avaliador 1'!J349&amp;"","")</f>
        <v/>
      </c>
      <c r="N349" s="11" t="str">
        <f aca="false">IF(OR('Avaliador 1'!F349="",'Avaliador 2'!F349=""),"",IF(AND('Avaliador 1'!F349='Avaliador 2'!F349,'Avaliador 1'!G349='Avaliador 2'!G349,'Avaliador 1'!H349='Avaliador 2'!H349,'Avaliador 1'!I349='Avaliador 2'!I349),"Não","Sim"))</f>
        <v/>
      </c>
      <c r="O349" s="14"/>
      <c r="P349" s="10" t="str">
        <f aca="false">IF(LEN(H349)=3,"Defeito encontrado",IF(I349="Sim","Falso alarme",IF(H349="—","Nenhum defeito apontado","")))</f>
        <v/>
      </c>
    </row>
    <row r="350" customFormat="false" ht="15" hidden="false" customHeight="false" outlineLevel="0" collapsed="false">
      <c r="A350" s="11" t="str">
        <f aca="false">Apontamentos!C350</f>
        <v/>
      </c>
      <c r="B350" s="11" t="str">
        <f aca="false">IF(Apontamentos!$C350="","",Apontamentos!A350&amp;"")</f>
        <v/>
      </c>
      <c r="C350" s="11" t="str">
        <f aca="false">IF(B350="","",IFERROR(INDEX(Execuções!$C$2:$C$97,MATCH(B350,Execuções!$A$2:$A$97,0)),"ID?"))</f>
        <v/>
      </c>
      <c r="D350" s="10" t="str">
        <f aca="false">IF(B350="","",IFERROR(INDEX(Execuções!$B$2:$B$97,MATCH(B350,Execuções!$A$2:$A$97,0)),"ID?"))</f>
        <v/>
      </c>
      <c r="E350" s="11" t="str">
        <f aca="false">IF(B350="","",Apontamentos!D350)</f>
        <v/>
      </c>
      <c r="F350" s="11" t="str">
        <f aca="false">IF(B350="","",Apontamentos!E350)</f>
        <v/>
      </c>
      <c r="G350" s="10" t="str">
        <f aca="false">IF(B350="","",Apontamentos!G350&amp;"")</f>
        <v/>
      </c>
      <c r="H350" s="14" t="str">
        <f aca="false">IF('Avaliador 1'!F350='Avaliador 2'!F350,'Avaliador 1'!F350&amp;"","")</f>
        <v/>
      </c>
      <c r="I350" s="14" t="str">
        <f aca="false">IF('Avaliador 1'!G350='Avaliador 2'!G350,'Avaliador 1'!G350&amp;"","")</f>
        <v/>
      </c>
      <c r="J350" s="14" t="str">
        <f aca="false">IF('Avaliador 1'!H350='Avaliador 2'!H350,'Avaliador 1'!H350&amp;"","")</f>
        <v/>
      </c>
      <c r="K350" s="14" t="str">
        <f aca="false">IF('Avaliador 1'!I350='Avaliador 2'!I350,'Avaliador 1'!I350&amp;"","")</f>
        <v/>
      </c>
      <c r="L350" s="13"/>
      <c r="M350" s="13" t="str">
        <f aca="false">IF('Avaliador 1'!J350='Avaliador 2'!J350,'Avaliador 1'!J350&amp;"","")</f>
        <v/>
      </c>
      <c r="N350" s="11" t="str">
        <f aca="false">IF(OR('Avaliador 1'!F350="",'Avaliador 2'!F350=""),"",IF(AND('Avaliador 1'!F350='Avaliador 2'!F350,'Avaliador 1'!G350='Avaliador 2'!G350,'Avaliador 1'!H350='Avaliador 2'!H350,'Avaliador 1'!I350='Avaliador 2'!I350),"Não","Sim"))</f>
        <v/>
      </c>
      <c r="O350" s="14"/>
      <c r="P350" s="10" t="str">
        <f aca="false">IF(LEN(H350)=3,"Defeito encontrado",IF(I350="Sim","Falso alarme",IF(H350="—","Nenhum defeito apontado","")))</f>
        <v/>
      </c>
    </row>
    <row r="351" customFormat="false" ht="15" hidden="false" customHeight="false" outlineLevel="0" collapsed="false">
      <c r="A351" s="11" t="str">
        <f aca="false">Apontamentos!C351</f>
        <v/>
      </c>
      <c r="B351" s="11" t="str">
        <f aca="false">IF(Apontamentos!$C351="","",Apontamentos!A351&amp;"")</f>
        <v/>
      </c>
      <c r="C351" s="11" t="str">
        <f aca="false">IF(B351="","",IFERROR(INDEX(Execuções!$C$2:$C$97,MATCH(B351,Execuções!$A$2:$A$97,0)),"ID?"))</f>
        <v/>
      </c>
      <c r="D351" s="10" t="str">
        <f aca="false">IF(B351="","",IFERROR(INDEX(Execuções!$B$2:$B$97,MATCH(B351,Execuções!$A$2:$A$97,0)),"ID?"))</f>
        <v/>
      </c>
      <c r="E351" s="11" t="str">
        <f aca="false">IF(B351="","",Apontamentos!D351)</f>
        <v/>
      </c>
      <c r="F351" s="11" t="str">
        <f aca="false">IF(B351="","",Apontamentos!E351)</f>
        <v/>
      </c>
      <c r="G351" s="10" t="str">
        <f aca="false">IF(B351="","",Apontamentos!G351&amp;"")</f>
        <v/>
      </c>
      <c r="H351" s="14" t="str">
        <f aca="false">IF('Avaliador 1'!F351='Avaliador 2'!F351,'Avaliador 1'!F351&amp;"","")</f>
        <v/>
      </c>
      <c r="I351" s="14" t="str">
        <f aca="false">IF('Avaliador 1'!G351='Avaliador 2'!G351,'Avaliador 1'!G351&amp;"","")</f>
        <v/>
      </c>
      <c r="J351" s="14" t="str">
        <f aca="false">IF('Avaliador 1'!H351='Avaliador 2'!H351,'Avaliador 1'!H351&amp;"","")</f>
        <v/>
      </c>
      <c r="K351" s="14" t="str">
        <f aca="false">IF('Avaliador 1'!I351='Avaliador 2'!I351,'Avaliador 1'!I351&amp;"","")</f>
        <v/>
      </c>
      <c r="L351" s="13"/>
      <c r="M351" s="13" t="str">
        <f aca="false">IF('Avaliador 1'!J351='Avaliador 2'!J351,'Avaliador 1'!J351&amp;"","")</f>
        <v/>
      </c>
      <c r="N351" s="11" t="str">
        <f aca="false">IF(OR('Avaliador 1'!F351="",'Avaliador 2'!F351=""),"",IF(AND('Avaliador 1'!F351='Avaliador 2'!F351,'Avaliador 1'!G351='Avaliador 2'!G351,'Avaliador 1'!H351='Avaliador 2'!H351,'Avaliador 1'!I351='Avaliador 2'!I351),"Não","Sim"))</f>
        <v/>
      </c>
      <c r="O351" s="14"/>
      <c r="P351" s="10" t="str">
        <f aca="false">IF(LEN(H351)=3,"Defeito encontrado",IF(I351="Sim","Falso alarme",IF(H351="—","Nenhum defeito apontado","")))</f>
        <v/>
      </c>
    </row>
    <row r="352" customFormat="false" ht="15" hidden="false" customHeight="false" outlineLevel="0" collapsed="false">
      <c r="A352" s="11" t="str">
        <f aca="false">Apontamentos!C352</f>
        <v/>
      </c>
      <c r="B352" s="11" t="str">
        <f aca="false">IF(Apontamentos!$C352="","",Apontamentos!A352&amp;"")</f>
        <v/>
      </c>
      <c r="C352" s="11" t="str">
        <f aca="false">IF(B352="","",IFERROR(INDEX(Execuções!$C$2:$C$97,MATCH(B352,Execuções!$A$2:$A$97,0)),"ID?"))</f>
        <v/>
      </c>
      <c r="D352" s="10" t="str">
        <f aca="false">IF(B352="","",IFERROR(INDEX(Execuções!$B$2:$B$97,MATCH(B352,Execuções!$A$2:$A$97,0)),"ID?"))</f>
        <v/>
      </c>
      <c r="E352" s="11" t="str">
        <f aca="false">IF(B352="","",Apontamentos!D352)</f>
        <v/>
      </c>
      <c r="F352" s="11" t="str">
        <f aca="false">IF(B352="","",Apontamentos!E352)</f>
        <v/>
      </c>
      <c r="G352" s="10" t="str">
        <f aca="false">IF(B352="","",Apontamentos!G352&amp;"")</f>
        <v/>
      </c>
      <c r="H352" s="14" t="str">
        <f aca="false">IF('Avaliador 1'!F352='Avaliador 2'!F352,'Avaliador 1'!F352&amp;"","")</f>
        <v/>
      </c>
      <c r="I352" s="14" t="str">
        <f aca="false">IF('Avaliador 1'!G352='Avaliador 2'!G352,'Avaliador 1'!G352&amp;"","")</f>
        <v/>
      </c>
      <c r="J352" s="14" t="str">
        <f aca="false">IF('Avaliador 1'!H352='Avaliador 2'!H352,'Avaliador 1'!H352&amp;"","")</f>
        <v/>
      </c>
      <c r="K352" s="14" t="str">
        <f aca="false">IF('Avaliador 1'!I352='Avaliador 2'!I352,'Avaliador 1'!I352&amp;"","")</f>
        <v/>
      </c>
      <c r="L352" s="13"/>
      <c r="M352" s="13" t="str">
        <f aca="false">IF('Avaliador 1'!J352='Avaliador 2'!J352,'Avaliador 1'!J352&amp;"","")</f>
        <v/>
      </c>
      <c r="N352" s="11" t="str">
        <f aca="false">IF(OR('Avaliador 1'!F352="",'Avaliador 2'!F352=""),"",IF(AND('Avaliador 1'!F352='Avaliador 2'!F352,'Avaliador 1'!G352='Avaliador 2'!G352,'Avaliador 1'!H352='Avaliador 2'!H352,'Avaliador 1'!I352='Avaliador 2'!I352),"Não","Sim"))</f>
        <v/>
      </c>
      <c r="O352" s="14"/>
      <c r="P352" s="10" t="str">
        <f aca="false">IF(LEN(H352)=3,"Defeito encontrado",IF(I352="Sim","Falso alarme",IF(H352="—","Nenhum defeito apontado","")))</f>
        <v/>
      </c>
    </row>
    <row r="353" customFormat="false" ht="15" hidden="false" customHeight="false" outlineLevel="0" collapsed="false">
      <c r="A353" s="11" t="str">
        <f aca="false">Apontamentos!C353</f>
        <v/>
      </c>
      <c r="B353" s="11" t="str">
        <f aca="false">IF(Apontamentos!$C353="","",Apontamentos!A353&amp;"")</f>
        <v/>
      </c>
      <c r="C353" s="11" t="str">
        <f aca="false">IF(B353="","",IFERROR(INDEX(Execuções!$C$2:$C$97,MATCH(B353,Execuções!$A$2:$A$97,0)),"ID?"))</f>
        <v/>
      </c>
      <c r="D353" s="10" t="str">
        <f aca="false">IF(B353="","",IFERROR(INDEX(Execuções!$B$2:$B$97,MATCH(B353,Execuções!$A$2:$A$97,0)),"ID?"))</f>
        <v/>
      </c>
      <c r="E353" s="11" t="str">
        <f aca="false">IF(B353="","",Apontamentos!D353)</f>
        <v/>
      </c>
      <c r="F353" s="11" t="str">
        <f aca="false">IF(B353="","",Apontamentos!E353)</f>
        <v/>
      </c>
      <c r="G353" s="10" t="str">
        <f aca="false">IF(B353="","",Apontamentos!G353&amp;"")</f>
        <v/>
      </c>
      <c r="H353" s="14" t="str">
        <f aca="false">IF('Avaliador 1'!F353='Avaliador 2'!F353,'Avaliador 1'!F353&amp;"","")</f>
        <v/>
      </c>
      <c r="I353" s="14" t="str">
        <f aca="false">IF('Avaliador 1'!G353='Avaliador 2'!G353,'Avaliador 1'!G353&amp;"","")</f>
        <v/>
      </c>
      <c r="J353" s="14" t="str">
        <f aca="false">IF('Avaliador 1'!H353='Avaliador 2'!H353,'Avaliador 1'!H353&amp;"","")</f>
        <v/>
      </c>
      <c r="K353" s="14" t="str">
        <f aca="false">IF('Avaliador 1'!I353='Avaliador 2'!I353,'Avaliador 1'!I353&amp;"","")</f>
        <v/>
      </c>
      <c r="L353" s="13"/>
      <c r="M353" s="13" t="str">
        <f aca="false">IF('Avaliador 1'!J353='Avaliador 2'!J353,'Avaliador 1'!J353&amp;"","")</f>
        <v/>
      </c>
      <c r="N353" s="11" t="str">
        <f aca="false">IF(OR('Avaliador 1'!F353="",'Avaliador 2'!F353=""),"",IF(AND('Avaliador 1'!F353='Avaliador 2'!F353,'Avaliador 1'!G353='Avaliador 2'!G353,'Avaliador 1'!H353='Avaliador 2'!H353,'Avaliador 1'!I353='Avaliador 2'!I353),"Não","Sim"))</f>
        <v/>
      </c>
      <c r="O353" s="14"/>
      <c r="P353" s="10" t="str">
        <f aca="false">IF(LEN(H353)=3,"Defeito encontrado",IF(I353="Sim","Falso alarme",IF(H353="—","Nenhum defeito apontado","")))</f>
        <v/>
      </c>
    </row>
    <row r="354" customFormat="false" ht="15" hidden="false" customHeight="false" outlineLevel="0" collapsed="false">
      <c r="A354" s="11" t="str">
        <f aca="false">Apontamentos!C354</f>
        <v/>
      </c>
      <c r="B354" s="11" t="str">
        <f aca="false">IF(Apontamentos!$C354="","",Apontamentos!A354&amp;"")</f>
        <v/>
      </c>
      <c r="C354" s="11" t="str">
        <f aca="false">IF(B354="","",IFERROR(INDEX(Execuções!$C$2:$C$97,MATCH(B354,Execuções!$A$2:$A$97,0)),"ID?"))</f>
        <v/>
      </c>
      <c r="D354" s="10" t="str">
        <f aca="false">IF(B354="","",IFERROR(INDEX(Execuções!$B$2:$B$97,MATCH(B354,Execuções!$A$2:$A$97,0)),"ID?"))</f>
        <v/>
      </c>
      <c r="E354" s="11" t="str">
        <f aca="false">IF(B354="","",Apontamentos!D354)</f>
        <v/>
      </c>
      <c r="F354" s="11" t="str">
        <f aca="false">IF(B354="","",Apontamentos!E354)</f>
        <v/>
      </c>
      <c r="G354" s="10" t="str">
        <f aca="false">IF(B354="","",Apontamentos!G354&amp;"")</f>
        <v/>
      </c>
      <c r="H354" s="14" t="str">
        <f aca="false">IF('Avaliador 1'!F354='Avaliador 2'!F354,'Avaliador 1'!F354&amp;"","")</f>
        <v/>
      </c>
      <c r="I354" s="14" t="str">
        <f aca="false">IF('Avaliador 1'!G354='Avaliador 2'!G354,'Avaliador 1'!G354&amp;"","")</f>
        <v/>
      </c>
      <c r="J354" s="14" t="str">
        <f aca="false">IF('Avaliador 1'!H354='Avaliador 2'!H354,'Avaliador 1'!H354&amp;"","")</f>
        <v/>
      </c>
      <c r="K354" s="14" t="str">
        <f aca="false">IF('Avaliador 1'!I354='Avaliador 2'!I354,'Avaliador 1'!I354&amp;"","")</f>
        <v/>
      </c>
      <c r="L354" s="13"/>
      <c r="M354" s="13" t="str">
        <f aca="false">IF('Avaliador 1'!J354='Avaliador 2'!J354,'Avaliador 1'!J354&amp;"","")</f>
        <v/>
      </c>
      <c r="N354" s="11" t="str">
        <f aca="false">IF(OR('Avaliador 1'!F354="",'Avaliador 2'!F354=""),"",IF(AND('Avaliador 1'!F354='Avaliador 2'!F354,'Avaliador 1'!G354='Avaliador 2'!G354,'Avaliador 1'!H354='Avaliador 2'!H354,'Avaliador 1'!I354='Avaliador 2'!I354),"Não","Sim"))</f>
        <v/>
      </c>
      <c r="O354" s="14"/>
      <c r="P354" s="10" t="str">
        <f aca="false">IF(LEN(H354)=3,"Defeito encontrado",IF(I354="Sim","Falso alarme",IF(H354="—","Nenhum defeito apontado","")))</f>
        <v/>
      </c>
    </row>
    <row r="355" customFormat="false" ht="15" hidden="false" customHeight="false" outlineLevel="0" collapsed="false">
      <c r="A355" s="11" t="str">
        <f aca="false">Apontamentos!C355</f>
        <v/>
      </c>
      <c r="B355" s="11" t="str">
        <f aca="false">IF(Apontamentos!$C355="","",Apontamentos!A355&amp;"")</f>
        <v/>
      </c>
      <c r="C355" s="11" t="str">
        <f aca="false">IF(B355="","",IFERROR(INDEX(Execuções!$C$2:$C$97,MATCH(B355,Execuções!$A$2:$A$97,0)),"ID?"))</f>
        <v/>
      </c>
      <c r="D355" s="10" t="str">
        <f aca="false">IF(B355="","",IFERROR(INDEX(Execuções!$B$2:$B$97,MATCH(B355,Execuções!$A$2:$A$97,0)),"ID?"))</f>
        <v/>
      </c>
      <c r="E355" s="11" t="str">
        <f aca="false">IF(B355="","",Apontamentos!D355)</f>
        <v/>
      </c>
      <c r="F355" s="11" t="str">
        <f aca="false">IF(B355="","",Apontamentos!E355)</f>
        <v/>
      </c>
      <c r="G355" s="10" t="str">
        <f aca="false">IF(B355="","",Apontamentos!G355&amp;"")</f>
        <v/>
      </c>
      <c r="H355" s="14" t="str">
        <f aca="false">IF('Avaliador 1'!F355='Avaliador 2'!F355,'Avaliador 1'!F355&amp;"","")</f>
        <v/>
      </c>
      <c r="I355" s="14" t="str">
        <f aca="false">IF('Avaliador 1'!G355='Avaliador 2'!G355,'Avaliador 1'!G355&amp;"","")</f>
        <v/>
      </c>
      <c r="J355" s="14" t="str">
        <f aca="false">IF('Avaliador 1'!H355='Avaliador 2'!H355,'Avaliador 1'!H355&amp;"","")</f>
        <v/>
      </c>
      <c r="K355" s="14" t="str">
        <f aca="false">IF('Avaliador 1'!I355='Avaliador 2'!I355,'Avaliador 1'!I355&amp;"","")</f>
        <v/>
      </c>
      <c r="L355" s="13"/>
      <c r="M355" s="13" t="str">
        <f aca="false">IF('Avaliador 1'!J355='Avaliador 2'!J355,'Avaliador 1'!J355&amp;"","")</f>
        <v/>
      </c>
      <c r="N355" s="11" t="str">
        <f aca="false">IF(OR('Avaliador 1'!F355="",'Avaliador 2'!F355=""),"",IF(AND('Avaliador 1'!F355='Avaliador 2'!F355,'Avaliador 1'!G355='Avaliador 2'!G355,'Avaliador 1'!H355='Avaliador 2'!H355,'Avaliador 1'!I355='Avaliador 2'!I355),"Não","Sim"))</f>
        <v/>
      </c>
      <c r="O355" s="14"/>
      <c r="P355" s="10" t="str">
        <f aca="false">IF(LEN(H355)=3,"Defeito encontrado",IF(I355="Sim","Falso alarme",IF(H355="—","Nenhum defeito apontado","")))</f>
        <v/>
      </c>
    </row>
    <row r="356" customFormat="false" ht="15" hidden="false" customHeight="false" outlineLevel="0" collapsed="false">
      <c r="A356" s="11" t="str">
        <f aca="false">Apontamentos!C356</f>
        <v/>
      </c>
      <c r="B356" s="11" t="str">
        <f aca="false">IF(Apontamentos!$C356="","",Apontamentos!A356&amp;"")</f>
        <v/>
      </c>
      <c r="C356" s="11" t="str">
        <f aca="false">IF(B356="","",IFERROR(INDEX(Execuções!$C$2:$C$97,MATCH(B356,Execuções!$A$2:$A$97,0)),"ID?"))</f>
        <v/>
      </c>
      <c r="D356" s="10" t="str">
        <f aca="false">IF(B356="","",IFERROR(INDEX(Execuções!$B$2:$B$97,MATCH(B356,Execuções!$A$2:$A$97,0)),"ID?"))</f>
        <v/>
      </c>
      <c r="E356" s="11" t="str">
        <f aca="false">IF(B356="","",Apontamentos!D356)</f>
        <v/>
      </c>
      <c r="F356" s="11" t="str">
        <f aca="false">IF(B356="","",Apontamentos!E356)</f>
        <v/>
      </c>
      <c r="G356" s="10" t="str">
        <f aca="false">IF(B356="","",Apontamentos!G356&amp;"")</f>
        <v/>
      </c>
      <c r="H356" s="14" t="str">
        <f aca="false">IF('Avaliador 1'!F356='Avaliador 2'!F356,'Avaliador 1'!F356&amp;"","")</f>
        <v/>
      </c>
      <c r="I356" s="14" t="str">
        <f aca="false">IF('Avaliador 1'!G356='Avaliador 2'!G356,'Avaliador 1'!G356&amp;"","")</f>
        <v/>
      </c>
      <c r="J356" s="14" t="str">
        <f aca="false">IF('Avaliador 1'!H356='Avaliador 2'!H356,'Avaliador 1'!H356&amp;"","")</f>
        <v/>
      </c>
      <c r="K356" s="14" t="str">
        <f aca="false">IF('Avaliador 1'!I356='Avaliador 2'!I356,'Avaliador 1'!I356&amp;"","")</f>
        <v/>
      </c>
      <c r="L356" s="13"/>
      <c r="M356" s="13" t="str">
        <f aca="false">IF('Avaliador 1'!J356='Avaliador 2'!J356,'Avaliador 1'!J356&amp;"","")</f>
        <v/>
      </c>
      <c r="N356" s="11" t="str">
        <f aca="false">IF(OR('Avaliador 1'!F356="",'Avaliador 2'!F356=""),"",IF(AND('Avaliador 1'!F356='Avaliador 2'!F356,'Avaliador 1'!G356='Avaliador 2'!G356,'Avaliador 1'!H356='Avaliador 2'!H356,'Avaliador 1'!I356='Avaliador 2'!I356),"Não","Sim"))</f>
        <v/>
      </c>
      <c r="O356" s="14"/>
      <c r="P356" s="10" t="str">
        <f aca="false">IF(LEN(H356)=3,"Defeito encontrado",IF(I356="Sim","Falso alarme",IF(H356="—","Nenhum defeito apontado","")))</f>
        <v/>
      </c>
    </row>
    <row r="357" customFormat="false" ht="15" hidden="false" customHeight="false" outlineLevel="0" collapsed="false">
      <c r="A357" s="11" t="str">
        <f aca="false">Apontamentos!C357</f>
        <v/>
      </c>
      <c r="B357" s="11" t="str">
        <f aca="false">IF(Apontamentos!$C357="","",Apontamentos!A357&amp;"")</f>
        <v/>
      </c>
      <c r="C357" s="11" t="str">
        <f aca="false">IF(B357="","",IFERROR(INDEX(Execuções!$C$2:$C$97,MATCH(B357,Execuções!$A$2:$A$97,0)),"ID?"))</f>
        <v/>
      </c>
      <c r="D357" s="10" t="str">
        <f aca="false">IF(B357="","",IFERROR(INDEX(Execuções!$B$2:$B$97,MATCH(B357,Execuções!$A$2:$A$97,0)),"ID?"))</f>
        <v/>
      </c>
      <c r="E357" s="11" t="str">
        <f aca="false">IF(B357="","",Apontamentos!D357)</f>
        <v/>
      </c>
      <c r="F357" s="11" t="str">
        <f aca="false">IF(B357="","",Apontamentos!E357)</f>
        <v/>
      </c>
      <c r="G357" s="10" t="str">
        <f aca="false">IF(B357="","",Apontamentos!G357&amp;"")</f>
        <v/>
      </c>
      <c r="H357" s="14" t="str">
        <f aca="false">IF('Avaliador 1'!F357='Avaliador 2'!F357,'Avaliador 1'!F357&amp;"","")</f>
        <v/>
      </c>
      <c r="I357" s="14" t="str">
        <f aca="false">IF('Avaliador 1'!G357='Avaliador 2'!G357,'Avaliador 1'!G357&amp;"","")</f>
        <v/>
      </c>
      <c r="J357" s="14" t="str">
        <f aca="false">IF('Avaliador 1'!H357='Avaliador 2'!H357,'Avaliador 1'!H357&amp;"","")</f>
        <v/>
      </c>
      <c r="K357" s="14" t="str">
        <f aca="false">IF('Avaliador 1'!I357='Avaliador 2'!I357,'Avaliador 1'!I357&amp;"","")</f>
        <v/>
      </c>
      <c r="L357" s="13"/>
      <c r="M357" s="13" t="str">
        <f aca="false">IF('Avaliador 1'!J357='Avaliador 2'!J357,'Avaliador 1'!J357&amp;"","")</f>
        <v/>
      </c>
      <c r="N357" s="11" t="str">
        <f aca="false">IF(OR('Avaliador 1'!F357="",'Avaliador 2'!F357=""),"",IF(AND('Avaliador 1'!F357='Avaliador 2'!F357,'Avaliador 1'!G357='Avaliador 2'!G357,'Avaliador 1'!H357='Avaliador 2'!H357,'Avaliador 1'!I357='Avaliador 2'!I357),"Não","Sim"))</f>
        <v/>
      </c>
      <c r="O357" s="14"/>
      <c r="P357" s="10" t="str">
        <f aca="false">IF(LEN(H357)=3,"Defeito encontrado",IF(I357="Sim","Falso alarme",IF(H357="—","Nenhum defeito apontado","")))</f>
        <v/>
      </c>
    </row>
    <row r="358" customFormat="false" ht="15" hidden="false" customHeight="false" outlineLevel="0" collapsed="false">
      <c r="A358" s="11" t="str">
        <f aca="false">Apontamentos!C358</f>
        <v/>
      </c>
      <c r="B358" s="11" t="str">
        <f aca="false">IF(Apontamentos!$C358="","",Apontamentos!A358&amp;"")</f>
        <v/>
      </c>
      <c r="C358" s="11" t="str">
        <f aca="false">IF(B358="","",IFERROR(INDEX(Execuções!$C$2:$C$97,MATCH(B358,Execuções!$A$2:$A$97,0)),"ID?"))</f>
        <v/>
      </c>
      <c r="D358" s="10" t="str">
        <f aca="false">IF(B358="","",IFERROR(INDEX(Execuções!$B$2:$B$97,MATCH(B358,Execuções!$A$2:$A$97,0)),"ID?"))</f>
        <v/>
      </c>
      <c r="E358" s="11" t="str">
        <f aca="false">IF(B358="","",Apontamentos!D358)</f>
        <v/>
      </c>
      <c r="F358" s="11" t="str">
        <f aca="false">IF(B358="","",Apontamentos!E358)</f>
        <v/>
      </c>
      <c r="G358" s="10" t="str">
        <f aca="false">IF(B358="","",Apontamentos!G358&amp;"")</f>
        <v/>
      </c>
      <c r="H358" s="14" t="str">
        <f aca="false">IF('Avaliador 1'!F358='Avaliador 2'!F358,'Avaliador 1'!F358&amp;"","")</f>
        <v/>
      </c>
      <c r="I358" s="14" t="str">
        <f aca="false">IF('Avaliador 1'!G358='Avaliador 2'!G358,'Avaliador 1'!G358&amp;"","")</f>
        <v/>
      </c>
      <c r="J358" s="14" t="str">
        <f aca="false">IF('Avaliador 1'!H358='Avaliador 2'!H358,'Avaliador 1'!H358&amp;"","")</f>
        <v/>
      </c>
      <c r="K358" s="14" t="str">
        <f aca="false">IF('Avaliador 1'!I358='Avaliador 2'!I358,'Avaliador 1'!I358&amp;"","")</f>
        <v/>
      </c>
      <c r="L358" s="13"/>
      <c r="M358" s="13" t="str">
        <f aca="false">IF('Avaliador 1'!J358='Avaliador 2'!J358,'Avaliador 1'!J358&amp;"","")</f>
        <v/>
      </c>
      <c r="N358" s="11" t="str">
        <f aca="false">IF(OR('Avaliador 1'!F358="",'Avaliador 2'!F358=""),"",IF(AND('Avaliador 1'!F358='Avaliador 2'!F358,'Avaliador 1'!G358='Avaliador 2'!G358,'Avaliador 1'!H358='Avaliador 2'!H358,'Avaliador 1'!I358='Avaliador 2'!I358),"Não","Sim"))</f>
        <v/>
      </c>
      <c r="O358" s="14"/>
      <c r="P358" s="10" t="str">
        <f aca="false">IF(LEN(H358)=3,"Defeito encontrado",IF(I358="Sim","Falso alarme",IF(H358="—","Nenhum defeito apontado","")))</f>
        <v/>
      </c>
    </row>
    <row r="359" customFormat="false" ht="15" hidden="false" customHeight="false" outlineLevel="0" collapsed="false">
      <c r="A359" s="11" t="str">
        <f aca="false">Apontamentos!C359</f>
        <v/>
      </c>
      <c r="B359" s="11" t="str">
        <f aca="false">IF(Apontamentos!$C359="","",Apontamentos!A359&amp;"")</f>
        <v/>
      </c>
      <c r="C359" s="11" t="str">
        <f aca="false">IF(B359="","",IFERROR(INDEX(Execuções!$C$2:$C$97,MATCH(B359,Execuções!$A$2:$A$97,0)),"ID?"))</f>
        <v/>
      </c>
      <c r="D359" s="10" t="str">
        <f aca="false">IF(B359="","",IFERROR(INDEX(Execuções!$B$2:$B$97,MATCH(B359,Execuções!$A$2:$A$97,0)),"ID?"))</f>
        <v/>
      </c>
      <c r="E359" s="11" t="str">
        <f aca="false">IF(B359="","",Apontamentos!D359)</f>
        <v/>
      </c>
      <c r="F359" s="11" t="str">
        <f aca="false">IF(B359="","",Apontamentos!E359)</f>
        <v/>
      </c>
      <c r="G359" s="10" t="str">
        <f aca="false">IF(B359="","",Apontamentos!G359&amp;"")</f>
        <v/>
      </c>
      <c r="H359" s="14" t="str">
        <f aca="false">IF('Avaliador 1'!F359='Avaliador 2'!F359,'Avaliador 1'!F359&amp;"","")</f>
        <v/>
      </c>
      <c r="I359" s="14" t="str">
        <f aca="false">IF('Avaliador 1'!G359='Avaliador 2'!G359,'Avaliador 1'!G359&amp;"","")</f>
        <v/>
      </c>
      <c r="J359" s="14" t="str">
        <f aca="false">IF('Avaliador 1'!H359='Avaliador 2'!H359,'Avaliador 1'!H359&amp;"","")</f>
        <v/>
      </c>
      <c r="K359" s="14" t="str">
        <f aca="false">IF('Avaliador 1'!I359='Avaliador 2'!I359,'Avaliador 1'!I359&amp;"","")</f>
        <v/>
      </c>
      <c r="L359" s="13"/>
      <c r="M359" s="13" t="str">
        <f aca="false">IF('Avaliador 1'!J359='Avaliador 2'!J359,'Avaliador 1'!J359&amp;"","")</f>
        <v/>
      </c>
      <c r="N359" s="11" t="str">
        <f aca="false">IF(OR('Avaliador 1'!F359="",'Avaliador 2'!F359=""),"",IF(AND('Avaliador 1'!F359='Avaliador 2'!F359,'Avaliador 1'!G359='Avaliador 2'!G359,'Avaliador 1'!H359='Avaliador 2'!H359,'Avaliador 1'!I359='Avaliador 2'!I359),"Não","Sim"))</f>
        <v/>
      </c>
      <c r="O359" s="14"/>
      <c r="P359" s="10" t="str">
        <f aca="false">IF(LEN(H359)=3,"Defeito encontrado",IF(I359="Sim","Falso alarme",IF(H359="—","Nenhum defeito apontado","")))</f>
        <v/>
      </c>
    </row>
    <row r="360" customFormat="false" ht="15" hidden="false" customHeight="false" outlineLevel="0" collapsed="false">
      <c r="A360" s="11" t="str">
        <f aca="false">Apontamentos!C360</f>
        <v/>
      </c>
      <c r="B360" s="11" t="str">
        <f aca="false">IF(Apontamentos!$C360="","",Apontamentos!A360&amp;"")</f>
        <v/>
      </c>
      <c r="C360" s="11" t="str">
        <f aca="false">IF(B360="","",IFERROR(INDEX(Execuções!$C$2:$C$97,MATCH(B360,Execuções!$A$2:$A$97,0)),"ID?"))</f>
        <v/>
      </c>
      <c r="D360" s="10" t="str">
        <f aca="false">IF(B360="","",IFERROR(INDEX(Execuções!$B$2:$B$97,MATCH(B360,Execuções!$A$2:$A$97,0)),"ID?"))</f>
        <v/>
      </c>
      <c r="E360" s="11" t="str">
        <f aca="false">IF(B360="","",Apontamentos!D360)</f>
        <v/>
      </c>
      <c r="F360" s="11" t="str">
        <f aca="false">IF(B360="","",Apontamentos!E360)</f>
        <v/>
      </c>
      <c r="G360" s="10" t="str">
        <f aca="false">IF(B360="","",Apontamentos!G360&amp;"")</f>
        <v/>
      </c>
      <c r="H360" s="14" t="str">
        <f aca="false">IF('Avaliador 1'!F360='Avaliador 2'!F360,'Avaliador 1'!F360&amp;"","")</f>
        <v/>
      </c>
      <c r="I360" s="14" t="str">
        <f aca="false">IF('Avaliador 1'!G360='Avaliador 2'!G360,'Avaliador 1'!G360&amp;"","")</f>
        <v/>
      </c>
      <c r="J360" s="14" t="str">
        <f aca="false">IF('Avaliador 1'!H360='Avaliador 2'!H360,'Avaliador 1'!H360&amp;"","")</f>
        <v/>
      </c>
      <c r="K360" s="14" t="str">
        <f aca="false">IF('Avaliador 1'!I360='Avaliador 2'!I360,'Avaliador 1'!I360&amp;"","")</f>
        <v/>
      </c>
      <c r="L360" s="13"/>
      <c r="M360" s="13" t="str">
        <f aca="false">IF('Avaliador 1'!J360='Avaliador 2'!J360,'Avaliador 1'!J360&amp;"","")</f>
        <v/>
      </c>
      <c r="N360" s="11" t="str">
        <f aca="false">IF(OR('Avaliador 1'!F360="",'Avaliador 2'!F360=""),"",IF(AND('Avaliador 1'!F360='Avaliador 2'!F360,'Avaliador 1'!G360='Avaliador 2'!G360,'Avaliador 1'!H360='Avaliador 2'!H360,'Avaliador 1'!I360='Avaliador 2'!I360),"Não","Sim"))</f>
        <v/>
      </c>
      <c r="O360" s="14"/>
      <c r="P360" s="10" t="str">
        <f aca="false">IF(LEN(H360)=3,"Defeito encontrado",IF(I360="Sim","Falso alarme",IF(H360="—","Nenhum defeito apontado","")))</f>
        <v/>
      </c>
    </row>
    <row r="361" customFormat="false" ht="15" hidden="false" customHeight="false" outlineLevel="0" collapsed="false">
      <c r="A361" s="11" t="str">
        <f aca="false">Apontamentos!C361</f>
        <v/>
      </c>
      <c r="B361" s="11" t="str">
        <f aca="false">IF(Apontamentos!$C361="","",Apontamentos!A361&amp;"")</f>
        <v/>
      </c>
      <c r="C361" s="11" t="str">
        <f aca="false">IF(B361="","",IFERROR(INDEX(Execuções!$C$2:$C$97,MATCH(B361,Execuções!$A$2:$A$97,0)),"ID?"))</f>
        <v/>
      </c>
      <c r="D361" s="10" t="str">
        <f aca="false">IF(B361="","",IFERROR(INDEX(Execuções!$B$2:$B$97,MATCH(B361,Execuções!$A$2:$A$97,0)),"ID?"))</f>
        <v/>
      </c>
      <c r="E361" s="11" t="str">
        <f aca="false">IF(B361="","",Apontamentos!D361)</f>
        <v/>
      </c>
      <c r="F361" s="11" t="str">
        <f aca="false">IF(B361="","",Apontamentos!E361)</f>
        <v/>
      </c>
      <c r="G361" s="10" t="str">
        <f aca="false">IF(B361="","",Apontamentos!G361&amp;"")</f>
        <v/>
      </c>
      <c r="H361" s="14" t="str">
        <f aca="false">IF('Avaliador 1'!F361='Avaliador 2'!F361,'Avaliador 1'!F361&amp;"","")</f>
        <v/>
      </c>
      <c r="I361" s="14" t="str">
        <f aca="false">IF('Avaliador 1'!G361='Avaliador 2'!G361,'Avaliador 1'!G361&amp;"","")</f>
        <v/>
      </c>
      <c r="J361" s="14" t="str">
        <f aca="false">IF('Avaliador 1'!H361='Avaliador 2'!H361,'Avaliador 1'!H361&amp;"","")</f>
        <v/>
      </c>
      <c r="K361" s="14" t="str">
        <f aca="false">IF('Avaliador 1'!I361='Avaliador 2'!I361,'Avaliador 1'!I361&amp;"","")</f>
        <v/>
      </c>
      <c r="L361" s="13"/>
      <c r="M361" s="13" t="str">
        <f aca="false">IF('Avaliador 1'!J361='Avaliador 2'!J361,'Avaliador 1'!J361&amp;"","")</f>
        <v/>
      </c>
      <c r="N361" s="11" t="str">
        <f aca="false">IF(OR('Avaliador 1'!F361="",'Avaliador 2'!F361=""),"",IF(AND('Avaliador 1'!F361='Avaliador 2'!F361,'Avaliador 1'!G361='Avaliador 2'!G361,'Avaliador 1'!H361='Avaliador 2'!H361,'Avaliador 1'!I361='Avaliador 2'!I361),"Não","Sim"))</f>
        <v/>
      </c>
      <c r="O361" s="14"/>
      <c r="P361" s="10" t="str">
        <f aca="false">IF(LEN(H361)=3,"Defeito encontrado",IF(I361="Sim","Falso alarme",IF(H361="—","Nenhum defeito apontado","")))</f>
        <v/>
      </c>
    </row>
    <row r="362" customFormat="false" ht="15" hidden="false" customHeight="false" outlineLevel="0" collapsed="false">
      <c r="A362" s="11" t="str">
        <f aca="false">Apontamentos!C362</f>
        <v/>
      </c>
      <c r="B362" s="11" t="str">
        <f aca="false">IF(Apontamentos!$C362="","",Apontamentos!A362&amp;"")</f>
        <v/>
      </c>
      <c r="C362" s="11" t="str">
        <f aca="false">IF(B362="","",IFERROR(INDEX(Execuções!$C$2:$C$97,MATCH(B362,Execuções!$A$2:$A$97,0)),"ID?"))</f>
        <v/>
      </c>
      <c r="D362" s="10" t="str">
        <f aca="false">IF(B362="","",IFERROR(INDEX(Execuções!$B$2:$B$97,MATCH(B362,Execuções!$A$2:$A$97,0)),"ID?"))</f>
        <v/>
      </c>
      <c r="E362" s="11" t="str">
        <f aca="false">IF(B362="","",Apontamentos!D362)</f>
        <v/>
      </c>
      <c r="F362" s="11" t="str">
        <f aca="false">IF(B362="","",Apontamentos!E362)</f>
        <v/>
      </c>
      <c r="G362" s="10" t="str">
        <f aca="false">IF(B362="","",Apontamentos!G362&amp;"")</f>
        <v/>
      </c>
      <c r="H362" s="14" t="str">
        <f aca="false">IF('Avaliador 1'!F362='Avaliador 2'!F362,'Avaliador 1'!F362&amp;"","")</f>
        <v/>
      </c>
      <c r="I362" s="14" t="str">
        <f aca="false">IF('Avaliador 1'!G362='Avaliador 2'!G362,'Avaliador 1'!G362&amp;"","")</f>
        <v/>
      </c>
      <c r="J362" s="14" t="str">
        <f aca="false">IF('Avaliador 1'!H362='Avaliador 2'!H362,'Avaliador 1'!H362&amp;"","")</f>
        <v/>
      </c>
      <c r="K362" s="14" t="str">
        <f aca="false">IF('Avaliador 1'!I362='Avaliador 2'!I362,'Avaliador 1'!I362&amp;"","")</f>
        <v/>
      </c>
      <c r="L362" s="13"/>
      <c r="M362" s="13" t="str">
        <f aca="false">IF('Avaliador 1'!J362='Avaliador 2'!J362,'Avaliador 1'!J362&amp;"","")</f>
        <v/>
      </c>
      <c r="N362" s="11" t="str">
        <f aca="false">IF(OR('Avaliador 1'!F362="",'Avaliador 2'!F362=""),"",IF(AND('Avaliador 1'!F362='Avaliador 2'!F362,'Avaliador 1'!G362='Avaliador 2'!G362,'Avaliador 1'!H362='Avaliador 2'!H362,'Avaliador 1'!I362='Avaliador 2'!I362),"Não","Sim"))</f>
        <v/>
      </c>
      <c r="O362" s="14"/>
      <c r="P362" s="10" t="str">
        <f aca="false">IF(LEN(H362)=3,"Defeito encontrado",IF(I362="Sim","Falso alarme",IF(H362="—","Nenhum defeito apontado","")))</f>
        <v/>
      </c>
    </row>
    <row r="363" customFormat="false" ht="15" hidden="false" customHeight="false" outlineLevel="0" collapsed="false">
      <c r="A363" s="11" t="str">
        <f aca="false">Apontamentos!C363</f>
        <v/>
      </c>
      <c r="B363" s="11" t="str">
        <f aca="false">IF(Apontamentos!$C363="","",Apontamentos!A363&amp;"")</f>
        <v/>
      </c>
      <c r="C363" s="11" t="str">
        <f aca="false">IF(B363="","",IFERROR(INDEX(Execuções!$C$2:$C$97,MATCH(B363,Execuções!$A$2:$A$97,0)),"ID?"))</f>
        <v/>
      </c>
      <c r="D363" s="10" t="str">
        <f aca="false">IF(B363="","",IFERROR(INDEX(Execuções!$B$2:$B$97,MATCH(B363,Execuções!$A$2:$A$97,0)),"ID?"))</f>
        <v/>
      </c>
      <c r="E363" s="11" t="str">
        <f aca="false">IF(B363="","",Apontamentos!D363)</f>
        <v/>
      </c>
      <c r="F363" s="11" t="str">
        <f aca="false">IF(B363="","",Apontamentos!E363)</f>
        <v/>
      </c>
      <c r="G363" s="10" t="str">
        <f aca="false">IF(B363="","",Apontamentos!G363&amp;"")</f>
        <v/>
      </c>
      <c r="H363" s="14" t="str">
        <f aca="false">IF('Avaliador 1'!F363='Avaliador 2'!F363,'Avaliador 1'!F363&amp;"","")</f>
        <v/>
      </c>
      <c r="I363" s="14" t="str">
        <f aca="false">IF('Avaliador 1'!G363='Avaliador 2'!G363,'Avaliador 1'!G363&amp;"","")</f>
        <v/>
      </c>
      <c r="J363" s="14" t="str">
        <f aca="false">IF('Avaliador 1'!H363='Avaliador 2'!H363,'Avaliador 1'!H363&amp;"","")</f>
        <v/>
      </c>
      <c r="K363" s="14" t="str">
        <f aca="false">IF('Avaliador 1'!I363='Avaliador 2'!I363,'Avaliador 1'!I363&amp;"","")</f>
        <v/>
      </c>
      <c r="L363" s="13"/>
      <c r="M363" s="13" t="str">
        <f aca="false">IF('Avaliador 1'!J363='Avaliador 2'!J363,'Avaliador 1'!J363&amp;"","")</f>
        <v/>
      </c>
      <c r="N363" s="11" t="str">
        <f aca="false">IF(OR('Avaliador 1'!F363="",'Avaliador 2'!F363=""),"",IF(AND('Avaliador 1'!F363='Avaliador 2'!F363,'Avaliador 1'!G363='Avaliador 2'!G363,'Avaliador 1'!H363='Avaliador 2'!H363,'Avaliador 1'!I363='Avaliador 2'!I363),"Não","Sim"))</f>
        <v/>
      </c>
      <c r="O363" s="14"/>
      <c r="P363" s="10" t="str">
        <f aca="false">IF(LEN(H363)=3,"Defeito encontrado",IF(I363="Sim","Falso alarme",IF(H363="—","Nenhum defeito apontado","")))</f>
        <v/>
      </c>
    </row>
    <row r="364" customFormat="false" ht="15" hidden="false" customHeight="false" outlineLevel="0" collapsed="false">
      <c r="A364" s="11" t="str">
        <f aca="false">Apontamentos!C364</f>
        <v/>
      </c>
      <c r="B364" s="11" t="str">
        <f aca="false">IF(Apontamentos!$C364="","",Apontamentos!A364&amp;"")</f>
        <v/>
      </c>
      <c r="C364" s="11" t="str">
        <f aca="false">IF(B364="","",IFERROR(INDEX(Execuções!$C$2:$C$97,MATCH(B364,Execuções!$A$2:$A$97,0)),"ID?"))</f>
        <v/>
      </c>
      <c r="D364" s="10" t="str">
        <f aca="false">IF(B364="","",IFERROR(INDEX(Execuções!$B$2:$B$97,MATCH(B364,Execuções!$A$2:$A$97,0)),"ID?"))</f>
        <v/>
      </c>
      <c r="E364" s="11" t="str">
        <f aca="false">IF(B364="","",Apontamentos!D364)</f>
        <v/>
      </c>
      <c r="F364" s="11" t="str">
        <f aca="false">IF(B364="","",Apontamentos!E364)</f>
        <v/>
      </c>
      <c r="G364" s="10" t="str">
        <f aca="false">IF(B364="","",Apontamentos!G364&amp;"")</f>
        <v/>
      </c>
      <c r="H364" s="14" t="str">
        <f aca="false">IF('Avaliador 1'!F364='Avaliador 2'!F364,'Avaliador 1'!F364&amp;"","")</f>
        <v/>
      </c>
      <c r="I364" s="14" t="str">
        <f aca="false">IF('Avaliador 1'!G364='Avaliador 2'!G364,'Avaliador 1'!G364&amp;"","")</f>
        <v/>
      </c>
      <c r="J364" s="14" t="str">
        <f aca="false">IF('Avaliador 1'!H364='Avaliador 2'!H364,'Avaliador 1'!H364&amp;"","")</f>
        <v/>
      </c>
      <c r="K364" s="14" t="str">
        <f aca="false">IF('Avaliador 1'!I364='Avaliador 2'!I364,'Avaliador 1'!I364&amp;"","")</f>
        <v/>
      </c>
      <c r="L364" s="13"/>
      <c r="M364" s="13" t="str">
        <f aca="false">IF('Avaliador 1'!J364='Avaliador 2'!J364,'Avaliador 1'!J364&amp;"","")</f>
        <v/>
      </c>
      <c r="N364" s="11" t="str">
        <f aca="false">IF(OR('Avaliador 1'!F364="",'Avaliador 2'!F364=""),"",IF(AND('Avaliador 1'!F364='Avaliador 2'!F364,'Avaliador 1'!G364='Avaliador 2'!G364,'Avaliador 1'!H364='Avaliador 2'!H364,'Avaliador 1'!I364='Avaliador 2'!I364),"Não","Sim"))</f>
        <v/>
      </c>
      <c r="O364" s="14"/>
      <c r="P364" s="10" t="str">
        <f aca="false">IF(LEN(H364)=3,"Defeito encontrado",IF(I364="Sim","Falso alarme",IF(H364="—","Nenhum defeito apontado","")))</f>
        <v/>
      </c>
    </row>
    <row r="365" customFormat="false" ht="15" hidden="false" customHeight="false" outlineLevel="0" collapsed="false">
      <c r="A365" s="11" t="str">
        <f aca="false">Apontamentos!C365</f>
        <v/>
      </c>
      <c r="B365" s="11" t="str">
        <f aca="false">IF(Apontamentos!$C365="","",Apontamentos!A365&amp;"")</f>
        <v/>
      </c>
      <c r="C365" s="11" t="str">
        <f aca="false">IF(B365="","",IFERROR(INDEX(Execuções!$C$2:$C$97,MATCH(B365,Execuções!$A$2:$A$97,0)),"ID?"))</f>
        <v/>
      </c>
      <c r="D365" s="10" t="str">
        <f aca="false">IF(B365="","",IFERROR(INDEX(Execuções!$B$2:$B$97,MATCH(B365,Execuções!$A$2:$A$97,0)),"ID?"))</f>
        <v/>
      </c>
      <c r="E365" s="11" t="str">
        <f aca="false">IF(B365="","",Apontamentos!D365)</f>
        <v/>
      </c>
      <c r="F365" s="11" t="str">
        <f aca="false">IF(B365="","",Apontamentos!E365)</f>
        <v/>
      </c>
      <c r="G365" s="10" t="str">
        <f aca="false">IF(B365="","",Apontamentos!G365&amp;"")</f>
        <v/>
      </c>
      <c r="H365" s="14" t="str">
        <f aca="false">IF('Avaliador 1'!F365='Avaliador 2'!F365,'Avaliador 1'!F365&amp;"","")</f>
        <v/>
      </c>
      <c r="I365" s="14" t="str">
        <f aca="false">IF('Avaliador 1'!G365='Avaliador 2'!G365,'Avaliador 1'!G365&amp;"","")</f>
        <v/>
      </c>
      <c r="J365" s="14" t="str">
        <f aca="false">IF('Avaliador 1'!H365='Avaliador 2'!H365,'Avaliador 1'!H365&amp;"","")</f>
        <v/>
      </c>
      <c r="K365" s="14" t="str">
        <f aca="false">IF('Avaliador 1'!I365='Avaliador 2'!I365,'Avaliador 1'!I365&amp;"","")</f>
        <v/>
      </c>
      <c r="L365" s="13"/>
      <c r="M365" s="13" t="str">
        <f aca="false">IF('Avaliador 1'!J365='Avaliador 2'!J365,'Avaliador 1'!J365&amp;"","")</f>
        <v/>
      </c>
      <c r="N365" s="11" t="str">
        <f aca="false">IF(OR('Avaliador 1'!F365="",'Avaliador 2'!F365=""),"",IF(AND('Avaliador 1'!F365='Avaliador 2'!F365,'Avaliador 1'!G365='Avaliador 2'!G365,'Avaliador 1'!H365='Avaliador 2'!H365,'Avaliador 1'!I365='Avaliador 2'!I365),"Não","Sim"))</f>
        <v/>
      </c>
      <c r="O365" s="14"/>
      <c r="P365" s="10" t="str">
        <f aca="false">IF(LEN(H365)=3,"Defeito encontrado",IF(I365="Sim","Falso alarme",IF(H365="—","Nenhum defeito apontado","")))</f>
        <v/>
      </c>
    </row>
    <row r="366" customFormat="false" ht="15" hidden="false" customHeight="false" outlineLevel="0" collapsed="false">
      <c r="A366" s="11" t="str">
        <f aca="false">Apontamentos!C366</f>
        <v/>
      </c>
      <c r="B366" s="11" t="str">
        <f aca="false">IF(Apontamentos!$C366="","",Apontamentos!A366&amp;"")</f>
        <v/>
      </c>
      <c r="C366" s="11" t="str">
        <f aca="false">IF(B366="","",IFERROR(INDEX(Execuções!$C$2:$C$97,MATCH(B366,Execuções!$A$2:$A$97,0)),"ID?"))</f>
        <v/>
      </c>
      <c r="D366" s="10" t="str">
        <f aca="false">IF(B366="","",IFERROR(INDEX(Execuções!$B$2:$B$97,MATCH(B366,Execuções!$A$2:$A$97,0)),"ID?"))</f>
        <v/>
      </c>
      <c r="E366" s="11" t="str">
        <f aca="false">IF(B366="","",Apontamentos!D366)</f>
        <v/>
      </c>
      <c r="F366" s="11" t="str">
        <f aca="false">IF(B366="","",Apontamentos!E366)</f>
        <v/>
      </c>
      <c r="G366" s="10" t="str">
        <f aca="false">IF(B366="","",Apontamentos!G366&amp;"")</f>
        <v/>
      </c>
      <c r="H366" s="14" t="str">
        <f aca="false">IF('Avaliador 1'!F366='Avaliador 2'!F366,'Avaliador 1'!F366&amp;"","")</f>
        <v/>
      </c>
      <c r="I366" s="14" t="str">
        <f aca="false">IF('Avaliador 1'!G366='Avaliador 2'!G366,'Avaliador 1'!G366&amp;"","")</f>
        <v/>
      </c>
      <c r="J366" s="14" t="str">
        <f aca="false">IF('Avaliador 1'!H366='Avaliador 2'!H366,'Avaliador 1'!H366&amp;"","")</f>
        <v/>
      </c>
      <c r="K366" s="14" t="str">
        <f aca="false">IF('Avaliador 1'!I366='Avaliador 2'!I366,'Avaliador 1'!I366&amp;"","")</f>
        <v/>
      </c>
      <c r="L366" s="13"/>
      <c r="M366" s="13" t="str">
        <f aca="false">IF('Avaliador 1'!J366='Avaliador 2'!J366,'Avaliador 1'!J366&amp;"","")</f>
        <v/>
      </c>
      <c r="N366" s="11" t="str">
        <f aca="false">IF(OR('Avaliador 1'!F366="",'Avaliador 2'!F366=""),"",IF(AND('Avaliador 1'!F366='Avaliador 2'!F366,'Avaliador 1'!G366='Avaliador 2'!G366,'Avaliador 1'!H366='Avaliador 2'!H366,'Avaliador 1'!I366='Avaliador 2'!I366),"Não","Sim"))</f>
        <v/>
      </c>
      <c r="O366" s="14"/>
      <c r="P366" s="10" t="str">
        <f aca="false">IF(LEN(H366)=3,"Defeito encontrado",IF(I366="Sim","Falso alarme",IF(H366="—","Nenhum defeito apontado","")))</f>
        <v/>
      </c>
    </row>
    <row r="367" customFormat="false" ht="15" hidden="false" customHeight="false" outlineLevel="0" collapsed="false">
      <c r="A367" s="11" t="str">
        <f aca="false">Apontamentos!C367</f>
        <v/>
      </c>
      <c r="B367" s="11" t="str">
        <f aca="false">IF(Apontamentos!$C367="","",Apontamentos!A367&amp;"")</f>
        <v/>
      </c>
      <c r="C367" s="11" t="str">
        <f aca="false">IF(B367="","",IFERROR(INDEX(Execuções!$C$2:$C$97,MATCH(B367,Execuções!$A$2:$A$97,0)),"ID?"))</f>
        <v/>
      </c>
      <c r="D367" s="10" t="str">
        <f aca="false">IF(B367="","",IFERROR(INDEX(Execuções!$B$2:$B$97,MATCH(B367,Execuções!$A$2:$A$97,0)),"ID?"))</f>
        <v/>
      </c>
      <c r="E367" s="11" t="str">
        <f aca="false">IF(B367="","",Apontamentos!D367)</f>
        <v/>
      </c>
      <c r="F367" s="11" t="str">
        <f aca="false">IF(B367="","",Apontamentos!E367)</f>
        <v/>
      </c>
      <c r="G367" s="10" t="str">
        <f aca="false">IF(B367="","",Apontamentos!G367&amp;"")</f>
        <v/>
      </c>
      <c r="H367" s="14" t="str">
        <f aca="false">IF('Avaliador 1'!F367='Avaliador 2'!F367,'Avaliador 1'!F367&amp;"","")</f>
        <v/>
      </c>
      <c r="I367" s="14" t="str">
        <f aca="false">IF('Avaliador 1'!G367='Avaliador 2'!G367,'Avaliador 1'!G367&amp;"","")</f>
        <v/>
      </c>
      <c r="J367" s="14" t="str">
        <f aca="false">IF('Avaliador 1'!H367='Avaliador 2'!H367,'Avaliador 1'!H367&amp;"","")</f>
        <v/>
      </c>
      <c r="K367" s="14" t="str">
        <f aca="false">IF('Avaliador 1'!I367='Avaliador 2'!I367,'Avaliador 1'!I367&amp;"","")</f>
        <v/>
      </c>
      <c r="L367" s="13"/>
      <c r="M367" s="13" t="str">
        <f aca="false">IF('Avaliador 1'!J367='Avaliador 2'!J367,'Avaliador 1'!J367&amp;"","")</f>
        <v/>
      </c>
      <c r="N367" s="11" t="str">
        <f aca="false">IF(OR('Avaliador 1'!F367="",'Avaliador 2'!F367=""),"",IF(AND('Avaliador 1'!F367='Avaliador 2'!F367,'Avaliador 1'!G367='Avaliador 2'!G367,'Avaliador 1'!H367='Avaliador 2'!H367,'Avaliador 1'!I367='Avaliador 2'!I367),"Não","Sim"))</f>
        <v/>
      </c>
      <c r="O367" s="14"/>
      <c r="P367" s="10" t="str">
        <f aca="false">IF(LEN(H367)=3,"Defeito encontrado",IF(I367="Sim","Falso alarme",IF(H367="—","Nenhum defeito apontado","")))</f>
        <v/>
      </c>
    </row>
    <row r="368" customFormat="false" ht="15" hidden="false" customHeight="false" outlineLevel="0" collapsed="false">
      <c r="A368" s="11" t="str">
        <f aca="false">Apontamentos!C368</f>
        <v/>
      </c>
      <c r="B368" s="11" t="str">
        <f aca="false">IF(Apontamentos!$C368="","",Apontamentos!A368&amp;"")</f>
        <v/>
      </c>
      <c r="C368" s="11" t="str">
        <f aca="false">IF(B368="","",IFERROR(INDEX(Execuções!$C$2:$C$97,MATCH(B368,Execuções!$A$2:$A$97,0)),"ID?"))</f>
        <v/>
      </c>
      <c r="D368" s="10" t="str">
        <f aca="false">IF(B368="","",IFERROR(INDEX(Execuções!$B$2:$B$97,MATCH(B368,Execuções!$A$2:$A$97,0)),"ID?"))</f>
        <v/>
      </c>
      <c r="E368" s="11" t="str">
        <f aca="false">IF(B368="","",Apontamentos!D368)</f>
        <v/>
      </c>
      <c r="F368" s="11" t="str">
        <f aca="false">IF(B368="","",Apontamentos!E368)</f>
        <v/>
      </c>
      <c r="G368" s="10" t="str">
        <f aca="false">IF(B368="","",Apontamentos!G368&amp;"")</f>
        <v/>
      </c>
      <c r="H368" s="14" t="str">
        <f aca="false">IF('Avaliador 1'!F368='Avaliador 2'!F368,'Avaliador 1'!F368&amp;"","")</f>
        <v/>
      </c>
      <c r="I368" s="14" t="str">
        <f aca="false">IF('Avaliador 1'!G368='Avaliador 2'!G368,'Avaliador 1'!G368&amp;"","")</f>
        <v/>
      </c>
      <c r="J368" s="14" t="str">
        <f aca="false">IF('Avaliador 1'!H368='Avaliador 2'!H368,'Avaliador 1'!H368&amp;"","")</f>
        <v/>
      </c>
      <c r="K368" s="14" t="str">
        <f aca="false">IF('Avaliador 1'!I368='Avaliador 2'!I368,'Avaliador 1'!I368&amp;"","")</f>
        <v/>
      </c>
      <c r="L368" s="13"/>
      <c r="M368" s="13" t="str">
        <f aca="false">IF('Avaliador 1'!J368='Avaliador 2'!J368,'Avaliador 1'!J368&amp;"","")</f>
        <v/>
      </c>
      <c r="N368" s="11" t="str">
        <f aca="false">IF(OR('Avaliador 1'!F368="",'Avaliador 2'!F368=""),"",IF(AND('Avaliador 1'!F368='Avaliador 2'!F368,'Avaliador 1'!G368='Avaliador 2'!G368,'Avaliador 1'!H368='Avaliador 2'!H368,'Avaliador 1'!I368='Avaliador 2'!I368),"Não","Sim"))</f>
        <v/>
      </c>
      <c r="O368" s="14"/>
      <c r="P368" s="10" t="str">
        <f aca="false">IF(LEN(H368)=3,"Defeito encontrado",IF(I368="Sim","Falso alarme",IF(H368="—","Nenhum defeito apontado","")))</f>
        <v/>
      </c>
    </row>
    <row r="369" customFormat="false" ht="15" hidden="false" customHeight="false" outlineLevel="0" collapsed="false">
      <c r="A369" s="11" t="str">
        <f aca="false">Apontamentos!C369</f>
        <v/>
      </c>
      <c r="B369" s="11" t="str">
        <f aca="false">IF(Apontamentos!$C369="","",Apontamentos!A369&amp;"")</f>
        <v/>
      </c>
      <c r="C369" s="11" t="str">
        <f aca="false">IF(B369="","",IFERROR(INDEX(Execuções!$C$2:$C$97,MATCH(B369,Execuções!$A$2:$A$97,0)),"ID?"))</f>
        <v/>
      </c>
      <c r="D369" s="10" t="str">
        <f aca="false">IF(B369="","",IFERROR(INDEX(Execuções!$B$2:$B$97,MATCH(B369,Execuções!$A$2:$A$97,0)),"ID?"))</f>
        <v/>
      </c>
      <c r="E369" s="11" t="str">
        <f aca="false">IF(B369="","",Apontamentos!D369)</f>
        <v/>
      </c>
      <c r="F369" s="11" t="str">
        <f aca="false">IF(B369="","",Apontamentos!E369)</f>
        <v/>
      </c>
      <c r="G369" s="10" t="str">
        <f aca="false">IF(B369="","",Apontamentos!G369&amp;"")</f>
        <v/>
      </c>
      <c r="H369" s="14" t="str">
        <f aca="false">IF('Avaliador 1'!F369='Avaliador 2'!F369,'Avaliador 1'!F369&amp;"","")</f>
        <v/>
      </c>
      <c r="I369" s="14" t="str">
        <f aca="false">IF('Avaliador 1'!G369='Avaliador 2'!G369,'Avaliador 1'!G369&amp;"","")</f>
        <v/>
      </c>
      <c r="J369" s="14" t="str">
        <f aca="false">IF('Avaliador 1'!H369='Avaliador 2'!H369,'Avaliador 1'!H369&amp;"","")</f>
        <v/>
      </c>
      <c r="K369" s="14" t="str">
        <f aca="false">IF('Avaliador 1'!I369='Avaliador 2'!I369,'Avaliador 1'!I369&amp;"","")</f>
        <v/>
      </c>
      <c r="L369" s="13"/>
      <c r="M369" s="13" t="str">
        <f aca="false">IF('Avaliador 1'!J369='Avaliador 2'!J369,'Avaliador 1'!J369&amp;"","")</f>
        <v/>
      </c>
      <c r="N369" s="11" t="str">
        <f aca="false">IF(OR('Avaliador 1'!F369="",'Avaliador 2'!F369=""),"",IF(AND('Avaliador 1'!F369='Avaliador 2'!F369,'Avaliador 1'!G369='Avaliador 2'!G369,'Avaliador 1'!H369='Avaliador 2'!H369,'Avaliador 1'!I369='Avaliador 2'!I369),"Não","Sim"))</f>
        <v/>
      </c>
      <c r="O369" s="14"/>
      <c r="P369" s="10" t="str">
        <f aca="false">IF(LEN(H369)=3,"Defeito encontrado",IF(I369="Sim","Falso alarme",IF(H369="—","Nenhum defeito apontado","")))</f>
        <v/>
      </c>
    </row>
    <row r="370" customFormat="false" ht="15" hidden="false" customHeight="false" outlineLevel="0" collapsed="false">
      <c r="A370" s="11" t="str">
        <f aca="false">Apontamentos!C370</f>
        <v/>
      </c>
      <c r="B370" s="11" t="str">
        <f aca="false">IF(Apontamentos!$C370="","",Apontamentos!A370&amp;"")</f>
        <v/>
      </c>
      <c r="C370" s="11" t="str">
        <f aca="false">IF(B370="","",IFERROR(INDEX(Execuções!$C$2:$C$97,MATCH(B370,Execuções!$A$2:$A$97,0)),"ID?"))</f>
        <v/>
      </c>
      <c r="D370" s="10" t="str">
        <f aca="false">IF(B370="","",IFERROR(INDEX(Execuções!$B$2:$B$97,MATCH(B370,Execuções!$A$2:$A$97,0)),"ID?"))</f>
        <v/>
      </c>
      <c r="E370" s="11" t="str">
        <f aca="false">IF(B370="","",Apontamentos!D370)</f>
        <v/>
      </c>
      <c r="F370" s="11" t="str">
        <f aca="false">IF(B370="","",Apontamentos!E370)</f>
        <v/>
      </c>
      <c r="G370" s="10" t="str">
        <f aca="false">IF(B370="","",Apontamentos!G370&amp;"")</f>
        <v/>
      </c>
      <c r="H370" s="14" t="str">
        <f aca="false">IF('Avaliador 1'!F370='Avaliador 2'!F370,'Avaliador 1'!F370&amp;"","")</f>
        <v/>
      </c>
      <c r="I370" s="14" t="str">
        <f aca="false">IF('Avaliador 1'!G370='Avaliador 2'!G370,'Avaliador 1'!G370&amp;"","")</f>
        <v/>
      </c>
      <c r="J370" s="14" t="str">
        <f aca="false">IF('Avaliador 1'!H370='Avaliador 2'!H370,'Avaliador 1'!H370&amp;"","")</f>
        <v/>
      </c>
      <c r="K370" s="14" t="str">
        <f aca="false">IF('Avaliador 1'!I370='Avaliador 2'!I370,'Avaliador 1'!I370&amp;"","")</f>
        <v/>
      </c>
      <c r="L370" s="13"/>
      <c r="M370" s="13" t="str">
        <f aca="false">IF('Avaliador 1'!J370='Avaliador 2'!J370,'Avaliador 1'!J370&amp;"","")</f>
        <v/>
      </c>
      <c r="N370" s="11" t="str">
        <f aca="false">IF(OR('Avaliador 1'!F370="",'Avaliador 2'!F370=""),"",IF(AND('Avaliador 1'!F370='Avaliador 2'!F370,'Avaliador 1'!G370='Avaliador 2'!G370,'Avaliador 1'!H370='Avaliador 2'!H370,'Avaliador 1'!I370='Avaliador 2'!I370),"Não","Sim"))</f>
        <v/>
      </c>
      <c r="O370" s="14"/>
      <c r="P370" s="10" t="str">
        <f aca="false">IF(LEN(H370)=3,"Defeito encontrado",IF(I370="Sim","Falso alarme",IF(H370="—","Nenhum defeito apontado","")))</f>
        <v/>
      </c>
    </row>
    <row r="371" customFormat="false" ht="15" hidden="false" customHeight="false" outlineLevel="0" collapsed="false">
      <c r="A371" s="11" t="str">
        <f aca="false">Apontamentos!C371</f>
        <v/>
      </c>
      <c r="B371" s="11" t="str">
        <f aca="false">IF(Apontamentos!$C371="","",Apontamentos!A371&amp;"")</f>
        <v/>
      </c>
      <c r="C371" s="11" t="str">
        <f aca="false">IF(B371="","",IFERROR(INDEX(Execuções!$C$2:$C$97,MATCH(B371,Execuções!$A$2:$A$97,0)),"ID?"))</f>
        <v/>
      </c>
      <c r="D371" s="10" t="str">
        <f aca="false">IF(B371="","",IFERROR(INDEX(Execuções!$B$2:$B$97,MATCH(B371,Execuções!$A$2:$A$97,0)),"ID?"))</f>
        <v/>
      </c>
      <c r="E371" s="11" t="str">
        <f aca="false">IF(B371="","",Apontamentos!D371)</f>
        <v/>
      </c>
      <c r="F371" s="11" t="str">
        <f aca="false">IF(B371="","",Apontamentos!E371)</f>
        <v/>
      </c>
      <c r="G371" s="10" t="str">
        <f aca="false">IF(B371="","",Apontamentos!G371&amp;"")</f>
        <v/>
      </c>
      <c r="H371" s="14" t="str">
        <f aca="false">IF('Avaliador 1'!F371='Avaliador 2'!F371,'Avaliador 1'!F371&amp;"","")</f>
        <v/>
      </c>
      <c r="I371" s="14" t="str">
        <f aca="false">IF('Avaliador 1'!G371='Avaliador 2'!G371,'Avaliador 1'!G371&amp;"","")</f>
        <v/>
      </c>
      <c r="J371" s="14" t="str">
        <f aca="false">IF('Avaliador 1'!H371='Avaliador 2'!H371,'Avaliador 1'!H371&amp;"","")</f>
        <v/>
      </c>
      <c r="K371" s="14" t="str">
        <f aca="false">IF('Avaliador 1'!I371='Avaliador 2'!I371,'Avaliador 1'!I371&amp;"","")</f>
        <v/>
      </c>
      <c r="L371" s="13"/>
      <c r="M371" s="13" t="str">
        <f aca="false">IF('Avaliador 1'!J371='Avaliador 2'!J371,'Avaliador 1'!J371&amp;"","")</f>
        <v/>
      </c>
      <c r="N371" s="11" t="str">
        <f aca="false">IF(OR('Avaliador 1'!F371="",'Avaliador 2'!F371=""),"",IF(AND('Avaliador 1'!F371='Avaliador 2'!F371,'Avaliador 1'!G371='Avaliador 2'!G371,'Avaliador 1'!H371='Avaliador 2'!H371,'Avaliador 1'!I371='Avaliador 2'!I371),"Não","Sim"))</f>
        <v/>
      </c>
      <c r="O371" s="14"/>
      <c r="P371" s="10" t="str">
        <f aca="false">IF(LEN(H371)=3,"Defeito encontrado",IF(I371="Sim","Falso alarme",IF(H371="—","Nenhum defeito apontado","")))</f>
        <v/>
      </c>
    </row>
    <row r="372" customFormat="false" ht="15" hidden="false" customHeight="false" outlineLevel="0" collapsed="false">
      <c r="A372" s="11" t="str">
        <f aca="false">Apontamentos!C372</f>
        <v/>
      </c>
      <c r="B372" s="11" t="str">
        <f aca="false">IF(Apontamentos!$C372="","",Apontamentos!A372&amp;"")</f>
        <v/>
      </c>
      <c r="C372" s="11" t="str">
        <f aca="false">IF(B372="","",IFERROR(INDEX(Execuções!$C$2:$C$97,MATCH(B372,Execuções!$A$2:$A$97,0)),"ID?"))</f>
        <v/>
      </c>
      <c r="D372" s="10" t="str">
        <f aca="false">IF(B372="","",IFERROR(INDEX(Execuções!$B$2:$B$97,MATCH(B372,Execuções!$A$2:$A$97,0)),"ID?"))</f>
        <v/>
      </c>
      <c r="E372" s="11" t="str">
        <f aca="false">IF(B372="","",Apontamentos!D372)</f>
        <v/>
      </c>
      <c r="F372" s="11" t="str">
        <f aca="false">IF(B372="","",Apontamentos!E372)</f>
        <v/>
      </c>
      <c r="G372" s="10" t="str">
        <f aca="false">IF(B372="","",Apontamentos!G372&amp;"")</f>
        <v/>
      </c>
      <c r="H372" s="14" t="str">
        <f aca="false">IF('Avaliador 1'!F372='Avaliador 2'!F372,'Avaliador 1'!F372&amp;"","")</f>
        <v/>
      </c>
      <c r="I372" s="14" t="str">
        <f aca="false">IF('Avaliador 1'!G372='Avaliador 2'!G372,'Avaliador 1'!G372&amp;"","")</f>
        <v/>
      </c>
      <c r="J372" s="14" t="str">
        <f aca="false">IF('Avaliador 1'!H372='Avaliador 2'!H372,'Avaliador 1'!H372&amp;"","")</f>
        <v/>
      </c>
      <c r="K372" s="14" t="str">
        <f aca="false">IF('Avaliador 1'!I372='Avaliador 2'!I372,'Avaliador 1'!I372&amp;"","")</f>
        <v/>
      </c>
      <c r="L372" s="13"/>
      <c r="M372" s="13" t="str">
        <f aca="false">IF('Avaliador 1'!J372='Avaliador 2'!J372,'Avaliador 1'!J372&amp;"","")</f>
        <v/>
      </c>
      <c r="N372" s="11" t="str">
        <f aca="false">IF(OR('Avaliador 1'!F372="",'Avaliador 2'!F372=""),"",IF(AND('Avaliador 1'!F372='Avaliador 2'!F372,'Avaliador 1'!G372='Avaliador 2'!G372,'Avaliador 1'!H372='Avaliador 2'!H372,'Avaliador 1'!I372='Avaliador 2'!I372),"Não","Sim"))</f>
        <v/>
      </c>
      <c r="O372" s="14"/>
      <c r="P372" s="10" t="str">
        <f aca="false">IF(LEN(H372)=3,"Defeito encontrado",IF(I372="Sim","Falso alarme",IF(H372="—","Nenhum defeito apontado","")))</f>
        <v/>
      </c>
    </row>
    <row r="373" customFormat="false" ht="15" hidden="false" customHeight="false" outlineLevel="0" collapsed="false">
      <c r="A373" s="11" t="str">
        <f aca="false">Apontamentos!C373</f>
        <v/>
      </c>
      <c r="B373" s="11" t="str">
        <f aca="false">IF(Apontamentos!$C373="","",Apontamentos!A373&amp;"")</f>
        <v/>
      </c>
      <c r="C373" s="11" t="str">
        <f aca="false">IF(B373="","",IFERROR(INDEX(Execuções!$C$2:$C$97,MATCH(B373,Execuções!$A$2:$A$97,0)),"ID?"))</f>
        <v/>
      </c>
      <c r="D373" s="10" t="str">
        <f aca="false">IF(B373="","",IFERROR(INDEX(Execuções!$B$2:$B$97,MATCH(B373,Execuções!$A$2:$A$97,0)),"ID?"))</f>
        <v/>
      </c>
      <c r="E373" s="11" t="str">
        <f aca="false">IF(B373="","",Apontamentos!D373)</f>
        <v/>
      </c>
      <c r="F373" s="11" t="str">
        <f aca="false">IF(B373="","",Apontamentos!E373)</f>
        <v/>
      </c>
      <c r="G373" s="10" t="str">
        <f aca="false">IF(B373="","",Apontamentos!G373&amp;"")</f>
        <v/>
      </c>
      <c r="H373" s="14" t="str">
        <f aca="false">IF('Avaliador 1'!F373='Avaliador 2'!F373,'Avaliador 1'!F373&amp;"","")</f>
        <v/>
      </c>
      <c r="I373" s="14" t="str">
        <f aca="false">IF('Avaliador 1'!G373='Avaliador 2'!G373,'Avaliador 1'!G373&amp;"","")</f>
        <v/>
      </c>
      <c r="J373" s="14" t="str">
        <f aca="false">IF('Avaliador 1'!H373='Avaliador 2'!H373,'Avaliador 1'!H373&amp;"","")</f>
        <v/>
      </c>
      <c r="K373" s="14" t="str">
        <f aca="false">IF('Avaliador 1'!I373='Avaliador 2'!I373,'Avaliador 1'!I373&amp;"","")</f>
        <v/>
      </c>
      <c r="L373" s="13"/>
      <c r="M373" s="13" t="str">
        <f aca="false">IF('Avaliador 1'!J373='Avaliador 2'!J373,'Avaliador 1'!J373&amp;"","")</f>
        <v/>
      </c>
      <c r="N373" s="11" t="str">
        <f aca="false">IF(OR('Avaliador 1'!F373="",'Avaliador 2'!F373=""),"",IF(AND('Avaliador 1'!F373='Avaliador 2'!F373,'Avaliador 1'!G373='Avaliador 2'!G373,'Avaliador 1'!H373='Avaliador 2'!H373,'Avaliador 1'!I373='Avaliador 2'!I373),"Não","Sim"))</f>
        <v/>
      </c>
      <c r="O373" s="14"/>
      <c r="P373" s="10" t="str">
        <f aca="false">IF(LEN(H373)=3,"Defeito encontrado",IF(I373="Sim","Falso alarme",IF(H373="—","Nenhum defeito apontado","")))</f>
        <v/>
      </c>
    </row>
    <row r="374" customFormat="false" ht="15" hidden="false" customHeight="false" outlineLevel="0" collapsed="false">
      <c r="A374" s="11" t="str">
        <f aca="false">Apontamentos!C374</f>
        <v/>
      </c>
      <c r="B374" s="11" t="str">
        <f aca="false">IF(Apontamentos!$C374="","",Apontamentos!A374&amp;"")</f>
        <v/>
      </c>
      <c r="C374" s="11" t="str">
        <f aca="false">IF(B374="","",IFERROR(INDEX(Execuções!$C$2:$C$97,MATCH(B374,Execuções!$A$2:$A$97,0)),"ID?"))</f>
        <v/>
      </c>
      <c r="D374" s="10" t="str">
        <f aca="false">IF(B374="","",IFERROR(INDEX(Execuções!$B$2:$B$97,MATCH(B374,Execuções!$A$2:$A$97,0)),"ID?"))</f>
        <v/>
      </c>
      <c r="E374" s="11" t="str">
        <f aca="false">IF(B374="","",Apontamentos!D374)</f>
        <v/>
      </c>
      <c r="F374" s="11" t="str">
        <f aca="false">IF(B374="","",Apontamentos!E374)</f>
        <v/>
      </c>
      <c r="G374" s="10" t="str">
        <f aca="false">IF(B374="","",Apontamentos!G374&amp;"")</f>
        <v/>
      </c>
      <c r="H374" s="14" t="str">
        <f aca="false">IF('Avaliador 1'!F374='Avaliador 2'!F374,'Avaliador 1'!F374&amp;"","")</f>
        <v/>
      </c>
      <c r="I374" s="14" t="str">
        <f aca="false">IF('Avaliador 1'!G374='Avaliador 2'!G374,'Avaliador 1'!G374&amp;"","")</f>
        <v/>
      </c>
      <c r="J374" s="14" t="str">
        <f aca="false">IF('Avaliador 1'!H374='Avaliador 2'!H374,'Avaliador 1'!H374&amp;"","")</f>
        <v/>
      </c>
      <c r="K374" s="14" t="str">
        <f aca="false">IF('Avaliador 1'!I374='Avaliador 2'!I374,'Avaliador 1'!I374&amp;"","")</f>
        <v/>
      </c>
      <c r="L374" s="13"/>
      <c r="M374" s="13" t="str">
        <f aca="false">IF('Avaliador 1'!J374='Avaliador 2'!J374,'Avaliador 1'!J374&amp;"","")</f>
        <v/>
      </c>
      <c r="N374" s="11" t="str">
        <f aca="false">IF(OR('Avaliador 1'!F374="",'Avaliador 2'!F374=""),"",IF(AND('Avaliador 1'!F374='Avaliador 2'!F374,'Avaliador 1'!G374='Avaliador 2'!G374,'Avaliador 1'!H374='Avaliador 2'!H374,'Avaliador 1'!I374='Avaliador 2'!I374),"Não","Sim"))</f>
        <v/>
      </c>
      <c r="O374" s="14"/>
      <c r="P374" s="10" t="str">
        <f aca="false">IF(LEN(H374)=3,"Defeito encontrado",IF(I374="Sim","Falso alarme",IF(H374="—","Nenhum defeito apontado","")))</f>
        <v/>
      </c>
    </row>
    <row r="375" customFormat="false" ht="15" hidden="false" customHeight="false" outlineLevel="0" collapsed="false">
      <c r="A375" s="11" t="str">
        <f aca="false">Apontamentos!C375</f>
        <v/>
      </c>
      <c r="B375" s="11" t="str">
        <f aca="false">IF(Apontamentos!$C375="","",Apontamentos!A375&amp;"")</f>
        <v/>
      </c>
      <c r="C375" s="11" t="str">
        <f aca="false">IF(B375="","",IFERROR(INDEX(Execuções!$C$2:$C$97,MATCH(B375,Execuções!$A$2:$A$97,0)),"ID?"))</f>
        <v/>
      </c>
      <c r="D375" s="10" t="str">
        <f aca="false">IF(B375="","",IFERROR(INDEX(Execuções!$B$2:$B$97,MATCH(B375,Execuções!$A$2:$A$97,0)),"ID?"))</f>
        <v/>
      </c>
      <c r="E375" s="11" t="str">
        <f aca="false">IF(B375="","",Apontamentos!D375)</f>
        <v/>
      </c>
      <c r="F375" s="11" t="str">
        <f aca="false">IF(B375="","",Apontamentos!E375)</f>
        <v/>
      </c>
      <c r="G375" s="10" t="str">
        <f aca="false">IF(B375="","",Apontamentos!G375&amp;"")</f>
        <v/>
      </c>
      <c r="H375" s="14" t="str">
        <f aca="false">IF('Avaliador 1'!F375='Avaliador 2'!F375,'Avaliador 1'!F375&amp;"","")</f>
        <v/>
      </c>
      <c r="I375" s="14" t="str">
        <f aca="false">IF('Avaliador 1'!G375='Avaliador 2'!G375,'Avaliador 1'!G375&amp;"","")</f>
        <v/>
      </c>
      <c r="J375" s="14" t="str">
        <f aca="false">IF('Avaliador 1'!H375='Avaliador 2'!H375,'Avaliador 1'!H375&amp;"","")</f>
        <v/>
      </c>
      <c r="K375" s="14" t="str">
        <f aca="false">IF('Avaliador 1'!I375='Avaliador 2'!I375,'Avaliador 1'!I375&amp;"","")</f>
        <v/>
      </c>
      <c r="L375" s="13"/>
      <c r="M375" s="13" t="str">
        <f aca="false">IF('Avaliador 1'!J375='Avaliador 2'!J375,'Avaliador 1'!J375&amp;"","")</f>
        <v/>
      </c>
      <c r="N375" s="11" t="str">
        <f aca="false">IF(OR('Avaliador 1'!F375="",'Avaliador 2'!F375=""),"",IF(AND('Avaliador 1'!F375='Avaliador 2'!F375,'Avaliador 1'!G375='Avaliador 2'!G375,'Avaliador 1'!H375='Avaliador 2'!H375,'Avaliador 1'!I375='Avaliador 2'!I375),"Não","Sim"))</f>
        <v/>
      </c>
      <c r="O375" s="14"/>
      <c r="P375" s="10" t="str">
        <f aca="false">IF(LEN(H375)=3,"Defeito encontrado",IF(I375="Sim","Falso alarme",IF(H375="—","Nenhum defeito apontado","")))</f>
        <v/>
      </c>
    </row>
    <row r="376" customFormat="false" ht="15" hidden="false" customHeight="false" outlineLevel="0" collapsed="false">
      <c r="A376" s="11" t="str">
        <f aca="false">Apontamentos!C376</f>
        <v/>
      </c>
      <c r="B376" s="11" t="str">
        <f aca="false">IF(Apontamentos!$C376="","",Apontamentos!A376&amp;"")</f>
        <v/>
      </c>
      <c r="C376" s="11" t="str">
        <f aca="false">IF(B376="","",IFERROR(INDEX(Execuções!$C$2:$C$97,MATCH(B376,Execuções!$A$2:$A$97,0)),"ID?"))</f>
        <v/>
      </c>
      <c r="D376" s="10" t="str">
        <f aca="false">IF(B376="","",IFERROR(INDEX(Execuções!$B$2:$B$97,MATCH(B376,Execuções!$A$2:$A$97,0)),"ID?"))</f>
        <v/>
      </c>
      <c r="E376" s="11" t="str">
        <f aca="false">IF(B376="","",Apontamentos!D376)</f>
        <v/>
      </c>
      <c r="F376" s="11" t="str">
        <f aca="false">IF(B376="","",Apontamentos!E376)</f>
        <v/>
      </c>
      <c r="G376" s="10" t="str">
        <f aca="false">IF(B376="","",Apontamentos!G376&amp;"")</f>
        <v/>
      </c>
      <c r="H376" s="14" t="str">
        <f aca="false">IF('Avaliador 1'!F376='Avaliador 2'!F376,'Avaliador 1'!F376&amp;"","")</f>
        <v/>
      </c>
      <c r="I376" s="14" t="str">
        <f aca="false">IF('Avaliador 1'!G376='Avaliador 2'!G376,'Avaliador 1'!G376&amp;"","")</f>
        <v/>
      </c>
      <c r="J376" s="14" t="str">
        <f aca="false">IF('Avaliador 1'!H376='Avaliador 2'!H376,'Avaliador 1'!H376&amp;"","")</f>
        <v/>
      </c>
      <c r="K376" s="14" t="str">
        <f aca="false">IF('Avaliador 1'!I376='Avaliador 2'!I376,'Avaliador 1'!I376&amp;"","")</f>
        <v/>
      </c>
      <c r="L376" s="13"/>
      <c r="M376" s="13" t="str">
        <f aca="false">IF('Avaliador 1'!J376='Avaliador 2'!J376,'Avaliador 1'!J376&amp;"","")</f>
        <v/>
      </c>
      <c r="N376" s="11" t="str">
        <f aca="false">IF(OR('Avaliador 1'!F376="",'Avaliador 2'!F376=""),"",IF(AND('Avaliador 1'!F376='Avaliador 2'!F376,'Avaliador 1'!G376='Avaliador 2'!G376,'Avaliador 1'!H376='Avaliador 2'!H376,'Avaliador 1'!I376='Avaliador 2'!I376),"Não","Sim"))</f>
        <v/>
      </c>
      <c r="O376" s="14"/>
      <c r="P376" s="10" t="str">
        <f aca="false">IF(LEN(H376)=3,"Defeito encontrado",IF(I376="Sim","Falso alarme",IF(H376="—","Nenhum defeito apontado","")))</f>
        <v/>
      </c>
    </row>
    <row r="377" customFormat="false" ht="15" hidden="false" customHeight="false" outlineLevel="0" collapsed="false">
      <c r="A377" s="11" t="str">
        <f aca="false">Apontamentos!C377</f>
        <v/>
      </c>
      <c r="B377" s="11" t="str">
        <f aca="false">IF(Apontamentos!$C377="","",Apontamentos!A377&amp;"")</f>
        <v/>
      </c>
      <c r="C377" s="11" t="str">
        <f aca="false">IF(B377="","",IFERROR(INDEX(Execuções!$C$2:$C$97,MATCH(B377,Execuções!$A$2:$A$97,0)),"ID?"))</f>
        <v/>
      </c>
      <c r="D377" s="10" t="str">
        <f aca="false">IF(B377="","",IFERROR(INDEX(Execuções!$B$2:$B$97,MATCH(B377,Execuções!$A$2:$A$97,0)),"ID?"))</f>
        <v/>
      </c>
      <c r="E377" s="11" t="str">
        <f aca="false">IF(B377="","",Apontamentos!D377)</f>
        <v/>
      </c>
      <c r="F377" s="11" t="str">
        <f aca="false">IF(B377="","",Apontamentos!E377)</f>
        <v/>
      </c>
      <c r="G377" s="10" t="str">
        <f aca="false">IF(B377="","",Apontamentos!G377&amp;"")</f>
        <v/>
      </c>
      <c r="H377" s="14" t="str">
        <f aca="false">IF('Avaliador 1'!F377='Avaliador 2'!F377,'Avaliador 1'!F377&amp;"","")</f>
        <v/>
      </c>
      <c r="I377" s="14" t="str">
        <f aca="false">IF('Avaliador 1'!G377='Avaliador 2'!G377,'Avaliador 1'!G377&amp;"","")</f>
        <v/>
      </c>
      <c r="J377" s="14" t="str">
        <f aca="false">IF('Avaliador 1'!H377='Avaliador 2'!H377,'Avaliador 1'!H377&amp;"","")</f>
        <v/>
      </c>
      <c r="K377" s="14" t="str">
        <f aca="false">IF('Avaliador 1'!I377='Avaliador 2'!I377,'Avaliador 1'!I377&amp;"","")</f>
        <v/>
      </c>
      <c r="L377" s="13"/>
      <c r="M377" s="13" t="str">
        <f aca="false">IF('Avaliador 1'!J377='Avaliador 2'!J377,'Avaliador 1'!J377&amp;"","")</f>
        <v/>
      </c>
      <c r="N377" s="11" t="str">
        <f aca="false">IF(OR('Avaliador 1'!F377="",'Avaliador 2'!F377=""),"",IF(AND('Avaliador 1'!F377='Avaliador 2'!F377,'Avaliador 1'!G377='Avaliador 2'!G377,'Avaliador 1'!H377='Avaliador 2'!H377,'Avaliador 1'!I377='Avaliador 2'!I377),"Não","Sim"))</f>
        <v/>
      </c>
      <c r="O377" s="14"/>
      <c r="P377" s="10" t="str">
        <f aca="false">IF(LEN(H377)=3,"Defeito encontrado",IF(I377="Sim","Falso alarme",IF(H377="—","Nenhum defeito apontado","")))</f>
        <v/>
      </c>
    </row>
    <row r="378" customFormat="false" ht="15" hidden="false" customHeight="false" outlineLevel="0" collapsed="false">
      <c r="A378" s="11" t="str">
        <f aca="false">Apontamentos!C378</f>
        <v/>
      </c>
      <c r="B378" s="11" t="str">
        <f aca="false">IF(Apontamentos!$C378="","",Apontamentos!A378&amp;"")</f>
        <v/>
      </c>
      <c r="C378" s="11" t="str">
        <f aca="false">IF(B378="","",IFERROR(INDEX(Execuções!$C$2:$C$97,MATCH(B378,Execuções!$A$2:$A$97,0)),"ID?"))</f>
        <v/>
      </c>
      <c r="D378" s="10" t="str">
        <f aca="false">IF(B378="","",IFERROR(INDEX(Execuções!$B$2:$B$97,MATCH(B378,Execuções!$A$2:$A$97,0)),"ID?"))</f>
        <v/>
      </c>
      <c r="E378" s="11" t="str">
        <f aca="false">IF(B378="","",Apontamentos!D378)</f>
        <v/>
      </c>
      <c r="F378" s="11" t="str">
        <f aca="false">IF(B378="","",Apontamentos!E378)</f>
        <v/>
      </c>
      <c r="G378" s="10" t="str">
        <f aca="false">IF(B378="","",Apontamentos!G378&amp;"")</f>
        <v/>
      </c>
      <c r="H378" s="14" t="str">
        <f aca="false">IF('Avaliador 1'!F378='Avaliador 2'!F378,'Avaliador 1'!F378&amp;"","")</f>
        <v/>
      </c>
      <c r="I378" s="14" t="str">
        <f aca="false">IF('Avaliador 1'!G378='Avaliador 2'!G378,'Avaliador 1'!G378&amp;"","")</f>
        <v/>
      </c>
      <c r="J378" s="14" t="str">
        <f aca="false">IF('Avaliador 1'!H378='Avaliador 2'!H378,'Avaliador 1'!H378&amp;"","")</f>
        <v/>
      </c>
      <c r="K378" s="14" t="str">
        <f aca="false">IF('Avaliador 1'!I378='Avaliador 2'!I378,'Avaliador 1'!I378&amp;"","")</f>
        <v/>
      </c>
      <c r="L378" s="13"/>
      <c r="M378" s="13" t="str">
        <f aca="false">IF('Avaliador 1'!J378='Avaliador 2'!J378,'Avaliador 1'!J378&amp;"","")</f>
        <v/>
      </c>
      <c r="N378" s="11" t="str">
        <f aca="false">IF(OR('Avaliador 1'!F378="",'Avaliador 2'!F378=""),"",IF(AND('Avaliador 1'!F378='Avaliador 2'!F378,'Avaliador 1'!G378='Avaliador 2'!G378,'Avaliador 1'!H378='Avaliador 2'!H378,'Avaliador 1'!I378='Avaliador 2'!I378),"Não","Sim"))</f>
        <v/>
      </c>
      <c r="O378" s="14"/>
      <c r="P378" s="10" t="str">
        <f aca="false">IF(LEN(H378)=3,"Defeito encontrado",IF(I378="Sim","Falso alarme",IF(H378="—","Nenhum defeito apontado","")))</f>
        <v/>
      </c>
    </row>
    <row r="379" customFormat="false" ht="15" hidden="false" customHeight="false" outlineLevel="0" collapsed="false">
      <c r="A379" s="11" t="str">
        <f aca="false">Apontamentos!C379</f>
        <v/>
      </c>
      <c r="B379" s="11" t="str">
        <f aca="false">IF(Apontamentos!$C379="","",Apontamentos!A379&amp;"")</f>
        <v/>
      </c>
      <c r="C379" s="11" t="str">
        <f aca="false">IF(B379="","",IFERROR(INDEX(Execuções!$C$2:$C$97,MATCH(B379,Execuções!$A$2:$A$97,0)),"ID?"))</f>
        <v/>
      </c>
      <c r="D379" s="10" t="str">
        <f aca="false">IF(B379="","",IFERROR(INDEX(Execuções!$B$2:$B$97,MATCH(B379,Execuções!$A$2:$A$97,0)),"ID?"))</f>
        <v/>
      </c>
      <c r="E379" s="11" t="str">
        <f aca="false">IF(B379="","",Apontamentos!D379)</f>
        <v/>
      </c>
      <c r="F379" s="11" t="str">
        <f aca="false">IF(B379="","",Apontamentos!E379)</f>
        <v/>
      </c>
      <c r="G379" s="10" t="str">
        <f aca="false">IF(B379="","",Apontamentos!G379&amp;"")</f>
        <v/>
      </c>
      <c r="H379" s="14" t="str">
        <f aca="false">IF('Avaliador 1'!F379='Avaliador 2'!F379,'Avaliador 1'!F379&amp;"","")</f>
        <v/>
      </c>
      <c r="I379" s="14" t="str">
        <f aca="false">IF('Avaliador 1'!G379='Avaliador 2'!G379,'Avaliador 1'!G379&amp;"","")</f>
        <v/>
      </c>
      <c r="J379" s="14" t="str">
        <f aca="false">IF('Avaliador 1'!H379='Avaliador 2'!H379,'Avaliador 1'!H379&amp;"","")</f>
        <v/>
      </c>
      <c r="K379" s="14" t="str">
        <f aca="false">IF('Avaliador 1'!I379='Avaliador 2'!I379,'Avaliador 1'!I379&amp;"","")</f>
        <v/>
      </c>
      <c r="L379" s="13"/>
      <c r="M379" s="13" t="str">
        <f aca="false">IF('Avaliador 1'!J379='Avaliador 2'!J379,'Avaliador 1'!J379&amp;"","")</f>
        <v/>
      </c>
      <c r="N379" s="11" t="str">
        <f aca="false">IF(OR('Avaliador 1'!F379="",'Avaliador 2'!F379=""),"",IF(AND('Avaliador 1'!F379='Avaliador 2'!F379,'Avaliador 1'!G379='Avaliador 2'!G379,'Avaliador 1'!H379='Avaliador 2'!H379,'Avaliador 1'!I379='Avaliador 2'!I379),"Não","Sim"))</f>
        <v/>
      </c>
      <c r="O379" s="14"/>
      <c r="P379" s="10" t="str">
        <f aca="false">IF(LEN(H379)=3,"Defeito encontrado",IF(I379="Sim","Falso alarme",IF(H379="—","Nenhum defeito apontado","")))</f>
        <v/>
      </c>
    </row>
    <row r="380" customFormat="false" ht="15" hidden="false" customHeight="false" outlineLevel="0" collapsed="false">
      <c r="A380" s="11" t="str">
        <f aca="false">Apontamentos!C380</f>
        <v/>
      </c>
      <c r="B380" s="11" t="str">
        <f aca="false">IF(Apontamentos!$C380="","",Apontamentos!A380&amp;"")</f>
        <v/>
      </c>
      <c r="C380" s="11" t="str">
        <f aca="false">IF(B380="","",IFERROR(INDEX(Execuções!$C$2:$C$97,MATCH(B380,Execuções!$A$2:$A$97,0)),"ID?"))</f>
        <v/>
      </c>
      <c r="D380" s="10" t="str">
        <f aca="false">IF(B380="","",IFERROR(INDEX(Execuções!$B$2:$B$97,MATCH(B380,Execuções!$A$2:$A$97,0)),"ID?"))</f>
        <v/>
      </c>
      <c r="E380" s="11" t="str">
        <f aca="false">IF(B380="","",Apontamentos!D380)</f>
        <v/>
      </c>
      <c r="F380" s="11" t="str">
        <f aca="false">IF(B380="","",Apontamentos!E380)</f>
        <v/>
      </c>
      <c r="G380" s="10" t="str">
        <f aca="false">IF(B380="","",Apontamentos!G380&amp;"")</f>
        <v/>
      </c>
      <c r="H380" s="14" t="str">
        <f aca="false">IF('Avaliador 1'!F380='Avaliador 2'!F380,'Avaliador 1'!F380&amp;"","")</f>
        <v/>
      </c>
      <c r="I380" s="14" t="str">
        <f aca="false">IF('Avaliador 1'!G380='Avaliador 2'!G380,'Avaliador 1'!G380&amp;"","")</f>
        <v/>
      </c>
      <c r="J380" s="14" t="str">
        <f aca="false">IF('Avaliador 1'!H380='Avaliador 2'!H380,'Avaliador 1'!H380&amp;"","")</f>
        <v/>
      </c>
      <c r="K380" s="14" t="str">
        <f aca="false">IF('Avaliador 1'!I380='Avaliador 2'!I380,'Avaliador 1'!I380&amp;"","")</f>
        <v/>
      </c>
      <c r="L380" s="13"/>
      <c r="M380" s="13" t="str">
        <f aca="false">IF('Avaliador 1'!J380='Avaliador 2'!J380,'Avaliador 1'!J380&amp;"","")</f>
        <v/>
      </c>
      <c r="N380" s="11" t="str">
        <f aca="false">IF(OR('Avaliador 1'!F380="",'Avaliador 2'!F380=""),"",IF(AND('Avaliador 1'!F380='Avaliador 2'!F380,'Avaliador 1'!G380='Avaliador 2'!G380,'Avaliador 1'!H380='Avaliador 2'!H380,'Avaliador 1'!I380='Avaliador 2'!I380),"Não","Sim"))</f>
        <v/>
      </c>
      <c r="O380" s="14"/>
      <c r="P380" s="10" t="str">
        <f aca="false">IF(LEN(H380)=3,"Defeito encontrado",IF(I380="Sim","Falso alarme",IF(H380="—","Nenhum defeito apontado","")))</f>
        <v/>
      </c>
    </row>
    <row r="381" customFormat="false" ht="15" hidden="false" customHeight="false" outlineLevel="0" collapsed="false">
      <c r="A381" s="11" t="str">
        <f aca="false">Apontamentos!C381</f>
        <v/>
      </c>
      <c r="B381" s="11" t="str">
        <f aca="false">IF(Apontamentos!$C381="","",Apontamentos!A381&amp;"")</f>
        <v/>
      </c>
      <c r="C381" s="11" t="str">
        <f aca="false">IF(B381="","",IFERROR(INDEX(Execuções!$C$2:$C$97,MATCH(B381,Execuções!$A$2:$A$97,0)),"ID?"))</f>
        <v/>
      </c>
      <c r="D381" s="10" t="str">
        <f aca="false">IF(B381="","",IFERROR(INDEX(Execuções!$B$2:$B$97,MATCH(B381,Execuções!$A$2:$A$97,0)),"ID?"))</f>
        <v/>
      </c>
      <c r="E381" s="11" t="str">
        <f aca="false">IF(B381="","",Apontamentos!D381)</f>
        <v/>
      </c>
      <c r="F381" s="11" t="str">
        <f aca="false">IF(B381="","",Apontamentos!E381)</f>
        <v/>
      </c>
      <c r="G381" s="10" t="str">
        <f aca="false">IF(B381="","",Apontamentos!G381&amp;"")</f>
        <v/>
      </c>
      <c r="H381" s="14" t="str">
        <f aca="false">IF('Avaliador 1'!F381='Avaliador 2'!F381,'Avaliador 1'!F381&amp;"","")</f>
        <v/>
      </c>
      <c r="I381" s="14" t="str">
        <f aca="false">IF('Avaliador 1'!G381='Avaliador 2'!G381,'Avaliador 1'!G381&amp;"","")</f>
        <v/>
      </c>
      <c r="J381" s="14" t="str">
        <f aca="false">IF('Avaliador 1'!H381='Avaliador 2'!H381,'Avaliador 1'!H381&amp;"","")</f>
        <v/>
      </c>
      <c r="K381" s="14" t="str">
        <f aca="false">IF('Avaliador 1'!I381='Avaliador 2'!I381,'Avaliador 1'!I381&amp;"","")</f>
        <v/>
      </c>
      <c r="L381" s="13"/>
      <c r="M381" s="13" t="str">
        <f aca="false">IF('Avaliador 1'!J381='Avaliador 2'!J381,'Avaliador 1'!J381&amp;"","")</f>
        <v/>
      </c>
      <c r="N381" s="11" t="str">
        <f aca="false">IF(OR('Avaliador 1'!F381="",'Avaliador 2'!F381=""),"",IF(AND('Avaliador 1'!F381='Avaliador 2'!F381,'Avaliador 1'!G381='Avaliador 2'!G381,'Avaliador 1'!H381='Avaliador 2'!H381,'Avaliador 1'!I381='Avaliador 2'!I381),"Não","Sim"))</f>
        <v/>
      </c>
      <c r="O381" s="14"/>
      <c r="P381" s="10" t="str">
        <f aca="false">IF(LEN(H381)=3,"Defeito encontrado",IF(I381="Sim","Falso alarme",IF(H381="—","Nenhum defeito apontado","")))</f>
        <v/>
      </c>
    </row>
    <row r="382" customFormat="false" ht="15" hidden="false" customHeight="false" outlineLevel="0" collapsed="false">
      <c r="A382" s="11" t="str">
        <f aca="false">Apontamentos!C382</f>
        <v/>
      </c>
      <c r="B382" s="11" t="str">
        <f aca="false">IF(Apontamentos!$C382="","",Apontamentos!A382&amp;"")</f>
        <v/>
      </c>
      <c r="C382" s="11" t="str">
        <f aca="false">IF(B382="","",IFERROR(INDEX(Execuções!$C$2:$C$97,MATCH(B382,Execuções!$A$2:$A$97,0)),"ID?"))</f>
        <v/>
      </c>
      <c r="D382" s="10" t="str">
        <f aca="false">IF(B382="","",IFERROR(INDEX(Execuções!$B$2:$B$97,MATCH(B382,Execuções!$A$2:$A$97,0)),"ID?"))</f>
        <v/>
      </c>
      <c r="E382" s="11" t="str">
        <f aca="false">IF(B382="","",Apontamentos!D382)</f>
        <v/>
      </c>
      <c r="F382" s="11" t="str">
        <f aca="false">IF(B382="","",Apontamentos!E382)</f>
        <v/>
      </c>
      <c r="G382" s="10" t="str">
        <f aca="false">IF(B382="","",Apontamentos!G382&amp;"")</f>
        <v/>
      </c>
      <c r="H382" s="14" t="str">
        <f aca="false">IF('Avaliador 1'!F382='Avaliador 2'!F382,'Avaliador 1'!F382&amp;"","")</f>
        <v/>
      </c>
      <c r="I382" s="14" t="str">
        <f aca="false">IF('Avaliador 1'!G382='Avaliador 2'!G382,'Avaliador 1'!G382&amp;"","")</f>
        <v/>
      </c>
      <c r="J382" s="14" t="str">
        <f aca="false">IF('Avaliador 1'!H382='Avaliador 2'!H382,'Avaliador 1'!H382&amp;"","")</f>
        <v/>
      </c>
      <c r="K382" s="14" t="str">
        <f aca="false">IF('Avaliador 1'!I382='Avaliador 2'!I382,'Avaliador 1'!I382&amp;"","")</f>
        <v/>
      </c>
      <c r="L382" s="13"/>
      <c r="M382" s="13" t="str">
        <f aca="false">IF('Avaliador 1'!J382='Avaliador 2'!J382,'Avaliador 1'!J382&amp;"","")</f>
        <v/>
      </c>
      <c r="N382" s="11" t="str">
        <f aca="false">IF(OR('Avaliador 1'!F382="",'Avaliador 2'!F382=""),"",IF(AND('Avaliador 1'!F382='Avaliador 2'!F382,'Avaliador 1'!G382='Avaliador 2'!G382,'Avaliador 1'!H382='Avaliador 2'!H382,'Avaliador 1'!I382='Avaliador 2'!I382),"Não","Sim"))</f>
        <v/>
      </c>
      <c r="O382" s="14"/>
      <c r="P382" s="10" t="str">
        <f aca="false">IF(LEN(H382)=3,"Defeito encontrado",IF(I382="Sim","Falso alarme",IF(H382="—","Nenhum defeito apontado","")))</f>
        <v/>
      </c>
    </row>
    <row r="383" customFormat="false" ht="15" hidden="false" customHeight="false" outlineLevel="0" collapsed="false">
      <c r="A383" s="11" t="str">
        <f aca="false">Apontamentos!C383</f>
        <v/>
      </c>
      <c r="B383" s="11" t="str">
        <f aca="false">IF(Apontamentos!$C383="","",Apontamentos!A383&amp;"")</f>
        <v/>
      </c>
      <c r="C383" s="11" t="str">
        <f aca="false">IF(B383="","",IFERROR(INDEX(Execuções!$C$2:$C$97,MATCH(B383,Execuções!$A$2:$A$97,0)),"ID?"))</f>
        <v/>
      </c>
      <c r="D383" s="10" t="str">
        <f aca="false">IF(B383="","",IFERROR(INDEX(Execuções!$B$2:$B$97,MATCH(B383,Execuções!$A$2:$A$97,0)),"ID?"))</f>
        <v/>
      </c>
      <c r="E383" s="11" t="str">
        <f aca="false">IF(B383="","",Apontamentos!D383)</f>
        <v/>
      </c>
      <c r="F383" s="11" t="str">
        <f aca="false">IF(B383="","",Apontamentos!E383)</f>
        <v/>
      </c>
      <c r="G383" s="10" t="str">
        <f aca="false">IF(B383="","",Apontamentos!G383&amp;"")</f>
        <v/>
      </c>
      <c r="H383" s="14" t="str">
        <f aca="false">IF('Avaliador 1'!F383='Avaliador 2'!F383,'Avaliador 1'!F383&amp;"","")</f>
        <v/>
      </c>
      <c r="I383" s="14" t="str">
        <f aca="false">IF('Avaliador 1'!G383='Avaliador 2'!G383,'Avaliador 1'!G383&amp;"","")</f>
        <v/>
      </c>
      <c r="J383" s="14" t="str">
        <f aca="false">IF('Avaliador 1'!H383='Avaliador 2'!H383,'Avaliador 1'!H383&amp;"","")</f>
        <v/>
      </c>
      <c r="K383" s="14" t="str">
        <f aca="false">IF('Avaliador 1'!I383='Avaliador 2'!I383,'Avaliador 1'!I383&amp;"","")</f>
        <v/>
      </c>
      <c r="L383" s="13"/>
      <c r="M383" s="13" t="str">
        <f aca="false">IF('Avaliador 1'!J383='Avaliador 2'!J383,'Avaliador 1'!J383&amp;"","")</f>
        <v/>
      </c>
      <c r="N383" s="11" t="str">
        <f aca="false">IF(OR('Avaliador 1'!F383="",'Avaliador 2'!F383=""),"",IF(AND('Avaliador 1'!F383='Avaliador 2'!F383,'Avaliador 1'!G383='Avaliador 2'!G383,'Avaliador 1'!H383='Avaliador 2'!H383,'Avaliador 1'!I383='Avaliador 2'!I383),"Não","Sim"))</f>
        <v/>
      </c>
      <c r="O383" s="14"/>
      <c r="P383" s="10" t="str">
        <f aca="false">IF(LEN(H383)=3,"Defeito encontrado",IF(I383="Sim","Falso alarme",IF(H383="—","Nenhum defeito apontado","")))</f>
        <v/>
      </c>
    </row>
    <row r="384" customFormat="false" ht="15" hidden="false" customHeight="false" outlineLevel="0" collapsed="false">
      <c r="A384" s="11" t="str">
        <f aca="false">Apontamentos!C384</f>
        <v/>
      </c>
      <c r="B384" s="11" t="str">
        <f aca="false">IF(Apontamentos!$C384="","",Apontamentos!A384&amp;"")</f>
        <v/>
      </c>
      <c r="C384" s="11" t="str">
        <f aca="false">IF(B384="","",IFERROR(INDEX(Execuções!$C$2:$C$97,MATCH(B384,Execuções!$A$2:$A$97,0)),"ID?"))</f>
        <v/>
      </c>
      <c r="D384" s="10" t="str">
        <f aca="false">IF(B384="","",IFERROR(INDEX(Execuções!$B$2:$B$97,MATCH(B384,Execuções!$A$2:$A$97,0)),"ID?"))</f>
        <v/>
      </c>
      <c r="E384" s="11" t="str">
        <f aca="false">IF(B384="","",Apontamentos!D384)</f>
        <v/>
      </c>
      <c r="F384" s="11" t="str">
        <f aca="false">IF(B384="","",Apontamentos!E384)</f>
        <v/>
      </c>
      <c r="G384" s="10" t="str">
        <f aca="false">IF(B384="","",Apontamentos!G384&amp;"")</f>
        <v/>
      </c>
      <c r="H384" s="14" t="str">
        <f aca="false">IF('Avaliador 1'!F384='Avaliador 2'!F384,'Avaliador 1'!F384&amp;"","")</f>
        <v/>
      </c>
      <c r="I384" s="14" t="str">
        <f aca="false">IF('Avaliador 1'!G384='Avaliador 2'!G384,'Avaliador 1'!G384&amp;"","")</f>
        <v/>
      </c>
      <c r="J384" s="14" t="str">
        <f aca="false">IF('Avaliador 1'!H384='Avaliador 2'!H384,'Avaliador 1'!H384&amp;"","")</f>
        <v/>
      </c>
      <c r="K384" s="14" t="str">
        <f aca="false">IF('Avaliador 1'!I384='Avaliador 2'!I384,'Avaliador 1'!I384&amp;"","")</f>
        <v/>
      </c>
      <c r="L384" s="13"/>
      <c r="M384" s="13" t="str">
        <f aca="false">IF('Avaliador 1'!J384='Avaliador 2'!J384,'Avaliador 1'!J384&amp;"","")</f>
        <v/>
      </c>
      <c r="N384" s="11" t="str">
        <f aca="false">IF(OR('Avaliador 1'!F384="",'Avaliador 2'!F384=""),"",IF(AND('Avaliador 1'!F384='Avaliador 2'!F384,'Avaliador 1'!G384='Avaliador 2'!G384,'Avaliador 1'!H384='Avaliador 2'!H384,'Avaliador 1'!I384='Avaliador 2'!I384),"Não","Sim"))</f>
        <v/>
      </c>
      <c r="O384" s="14"/>
      <c r="P384" s="10" t="str">
        <f aca="false">IF(LEN(H384)=3,"Defeito encontrado",IF(I384="Sim","Falso alarme",IF(H384="—","Nenhum defeito apontado","")))</f>
        <v/>
      </c>
    </row>
    <row r="385" customFormat="false" ht="15" hidden="false" customHeight="false" outlineLevel="0" collapsed="false">
      <c r="A385" s="11" t="str">
        <f aca="false">Apontamentos!C385</f>
        <v/>
      </c>
      <c r="B385" s="11" t="str">
        <f aca="false">IF(Apontamentos!$C385="","",Apontamentos!A385&amp;"")</f>
        <v/>
      </c>
      <c r="C385" s="11" t="str">
        <f aca="false">IF(B385="","",IFERROR(INDEX(Execuções!$C$2:$C$97,MATCH(B385,Execuções!$A$2:$A$97,0)),"ID?"))</f>
        <v/>
      </c>
      <c r="D385" s="10" t="str">
        <f aca="false">IF(B385="","",IFERROR(INDEX(Execuções!$B$2:$B$97,MATCH(B385,Execuções!$A$2:$A$97,0)),"ID?"))</f>
        <v/>
      </c>
      <c r="E385" s="11" t="str">
        <f aca="false">IF(B385="","",Apontamentos!D385)</f>
        <v/>
      </c>
      <c r="F385" s="11" t="str">
        <f aca="false">IF(B385="","",Apontamentos!E385)</f>
        <v/>
      </c>
      <c r="G385" s="10" t="str">
        <f aca="false">IF(B385="","",Apontamentos!G385&amp;"")</f>
        <v/>
      </c>
      <c r="H385" s="14" t="str">
        <f aca="false">IF('Avaliador 1'!F385='Avaliador 2'!F385,'Avaliador 1'!F385&amp;"","")</f>
        <v/>
      </c>
      <c r="I385" s="14" t="str">
        <f aca="false">IF('Avaliador 1'!G385='Avaliador 2'!G385,'Avaliador 1'!G385&amp;"","")</f>
        <v/>
      </c>
      <c r="J385" s="14" t="str">
        <f aca="false">IF('Avaliador 1'!H385='Avaliador 2'!H385,'Avaliador 1'!H385&amp;"","")</f>
        <v/>
      </c>
      <c r="K385" s="14" t="str">
        <f aca="false">IF('Avaliador 1'!I385='Avaliador 2'!I385,'Avaliador 1'!I385&amp;"","")</f>
        <v/>
      </c>
      <c r="L385" s="13"/>
      <c r="M385" s="13" t="str">
        <f aca="false">IF('Avaliador 1'!J385='Avaliador 2'!J385,'Avaliador 1'!J385&amp;"","")</f>
        <v/>
      </c>
      <c r="N385" s="11" t="str">
        <f aca="false">IF(OR('Avaliador 1'!F385="",'Avaliador 2'!F385=""),"",IF(AND('Avaliador 1'!F385='Avaliador 2'!F385,'Avaliador 1'!G385='Avaliador 2'!G385,'Avaliador 1'!H385='Avaliador 2'!H385,'Avaliador 1'!I385='Avaliador 2'!I385),"Não","Sim"))</f>
        <v/>
      </c>
      <c r="O385" s="14"/>
      <c r="P385" s="10" t="str">
        <f aca="false">IF(LEN(H385)=3,"Defeito encontrado",IF(I385="Sim","Falso alarme",IF(H385="—","Nenhum defeito apontado","")))</f>
        <v/>
      </c>
    </row>
    <row r="386" customFormat="false" ht="15" hidden="false" customHeight="false" outlineLevel="0" collapsed="false">
      <c r="A386" s="11" t="str">
        <f aca="false">Apontamentos!C386</f>
        <v/>
      </c>
      <c r="B386" s="11" t="str">
        <f aca="false">IF(Apontamentos!$C386="","",Apontamentos!A386&amp;"")</f>
        <v/>
      </c>
      <c r="C386" s="11" t="str">
        <f aca="false">IF(B386="","",IFERROR(INDEX(Execuções!$C$2:$C$97,MATCH(B386,Execuções!$A$2:$A$97,0)),"ID?"))</f>
        <v/>
      </c>
      <c r="D386" s="10" t="str">
        <f aca="false">IF(B386="","",IFERROR(INDEX(Execuções!$B$2:$B$97,MATCH(B386,Execuções!$A$2:$A$97,0)),"ID?"))</f>
        <v/>
      </c>
      <c r="E386" s="11" t="str">
        <f aca="false">IF(B386="","",Apontamentos!D386)</f>
        <v/>
      </c>
      <c r="F386" s="11" t="str">
        <f aca="false">IF(B386="","",Apontamentos!E386)</f>
        <v/>
      </c>
      <c r="G386" s="10" t="str">
        <f aca="false">IF(B386="","",Apontamentos!G386&amp;"")</f>
        <v/>
      </c>
      <c r="H386" s="14" t="str">
        <f aca="false">IF('Avaliador 1'!F386='Avaliador 2'!F386,'Avaliador 1'!F386&amp;"","")</f>
        <v/>
      </c>
      <c r="I386" s="14" t="str">
        <f aca="false">IF('Avaliador 1'!G386='Avaliador 2'!G386,'Avaliador 1'!G386&amp;"","")</f>
        <v/>
      </c>
      <c r="J386" s="14" t="str">
        <f aca="false">IF('Avaliador 1'!H386='Avaliador 2'!H386,'Avaliador 1'!H386&amp;"","")</f>
        <v/>
      </c>
      <c r="K386" s="14" t="str">
        <f aca="false">IF('Avaliador 1'!I386='Avaliador 2'!I386,'Avaliador 1'!I386&amp;"","")</f>
        <v/>
      </c>
      <c r="L386" s="13"/>
      <c r="M386" s="13" t="str">
        <f aca="false">IF('Avaliador 1'!J386='Avaliador 2'!J386,'Avaliador 1'!J386&amp;"","")</f>
        <v/>
      </c>
      <c r="N386" s="11" t="str">
        <f aca="false">IF(OR('Avaliador 1'!F386="",'Avaliador 2'!F386=""),"",IF(AND('Avaliador 1'!F386='Avaliador 2'!F386,'Avaliador 1'!G386='Avaliador 2'!G386,'Avaliador 1'!H386='Avaliador 2'!H386,'Avaliador 1'!I386='Avaliador 2'!I386),"Não","Sim"))</f>
        <v/>
      </c>
      <c r="O386" s="14"/>
      <c r="P386" s="10" t="str">
        <f aca="false">IF(LEN(H386)=3,"Defeito encontrado",IF(I386="Sim","Falso alarme",IF(H386="—","Nenhum defeito apontado","")))</f>
        <v/>
      </c>
    </row>
    <row r="387" customFormat="false" ht="15" hidden="false" customHeight="false" outlineLevel="0" collapsed="false">
      <c r="A387" s="11" t="str">
        <f aca="false">Apontamentos!C387</f>
        <v/>
      </c>
      <c r="B387" s="11" t="str">
        <f aca="false">IF(Apontamentos!$C387="","",Apontamentos!A387&amp;"")</f>
        <v/>
      </c>
      <c r="C387" s="11" t="str">
        <f aca="false">IF(B387="","",IFERROR(INDEX(Execuções!$C$2:$C$97,MATCH(B387,Execuções!$A$2:$A$97,0)),"ID?"))</f>
        <v/>
      </c>
      <c r="D387" s="10" t="str">
        <f aca="false">IF(B387="","",IFERROR(INDEX(Execuções!$B$2:$B$97,MATCH(B387,Execuções!$A$2:$A$97,0)),"ID?"))</f>
        <v/>
      </c>
      <c r="E387" s="11" t="str">
        <f aca="false">IF(B387="","",Apontamentos!D387)</f>
        <v/>
      </c>
      <c r="F387" s="11" t="str">
        <f aca="false">IF(B387="","",Apontamentos!E387)</f>
        <v/>
      </c>
      <c r="G387" s="10" t="str">
        <f aca="false">IF(B387="","",Apontamentos!G387&amp;"")</f>
        <v/>
      </c>
      <c r="H387" s="14" t="str">
        <f aca="false">IF('Avaliador 1'!F387='Avaliador 2'!F387,'Avaliador 1'!F387&amp;"","")</f>
        <v/>
      </c>
      <c r="I387" s="14" t="str">
        <f aca="false">IF('Avaliador 1'!G387='Avaliador 2'!G387,'Avaliador 1'!G387&amp;"","")</f>
        <v/>
      </c>
      <c r="J387" s="14" t="str">
        <f aca="false">IF('Avaliador 1'!H387='Avaliador 2'!H387,'Avaliador 1'!H387&amp;"","")</f>
        <v/>
      </c>
      <c r="K387" s="14" t="str">
        <f aca="false">IF('Avaliador 1'!I387='Avaliador 2'!I387,'Avaliador 1'!I387&amp;"","")</f>
        <v/>
      </c>
      <c r="L387" s="13"/>
      <c r="M387" s="13" t="str">
        <f aca="false">IF('Avaliador 1'!J387='Avaliador 2'!J387,'Avaliador 1'!J387&amp;"","")</f>
        <v/>
      </c>
      <c r="N387" s="11" t="str">
        <f aca="false">IF(OR('Avaliador 1'!F387="",'Avaliador 2'!F387=""),"",IF(AND('Avaliador 1'!F387='Avaliador 2'!F387,'Avaliador 1'!G387='Avaliador 2'!G387,'Avaliador 1'!H387='Avaliador 2'!H387,'Avaliador 1'!I387='Avaliador 2'!I387),"Não","Sim"))</f>
        <v/>
      </c>
      <c r="O387" s="14"/>
      <c r="P387" s="10" t="str">
        <f aca="false">IF(LEN(H387)=3,"Defeito encontrado",IF(I387="Sim","Falso alarme",IF(H387="—","Nenhum defeito apontado","")))</f>
        <v/>
      </c>
    </row>
    <row r="388" customFormat="false" ht="15" hidden="false" customHeight="false" outlineLevel="0" collapsed="false">
      <c r="A388" s="11" t="str">
        <f aca="false">Apontamentos!C388</f>
        <v/>
      </c>
      <c r="B388" s="11" t="str">
        <f aca="false">IF(Apontamentos!$C388="","",Apontamentos!A388&amp;"")</f>
        <v/>
      </c>
      <c r="C388" s="11" t="str">
        <f aca="false">IF(B388="","",IFERROR(INDEX(Execuções!$C$2:$C$97,MATCH(B388,Execuções!$A$2:$A$97,0)),"ID?"))</f>
        <v/>
      </c>
      <c r="D388" s="10" t="str">
        <f aca="false">IF(B388="","",IFERROR(INDEX(Execuções!$B$2:$B$97,MATCH(B388,Execuções!$A$2:$A$97,0)),"ID?"))</f>
        <v/>
      </c>
      <c r="E388" s="11" t="str">
        <f aca="false">IF(B388="","",Apontamentos!D388)</f>
        <v/>
      </c>
      <c r="F388" s="11" t="str">
        <f aca="false">IF(B388="","",Apontamentos!E388)</f>
        <v/>
      </c>
      <c r="G388" s="10" t="str">
        <f aca="false">IF(B388="","",Apontamentos!G388&amp;"")</f>
        <v/>
      </c>
      <c r="H388" s="14" t="str">
        <f aca="false">IF('Avaliador 1'!F388='Avaliador 2'!F388,'Avaliador 1'!F388&amp;"","")</f>
        <v/>
      </c>
      <c r="I388" s="14" t="str">
        <f aca="false">IF('Avaliador 1'!G388='Avaliador 2'!G388,'Avaliador 1'!G388&amp;"","")</f>
        <v/>
      </c>
      <c r="J388" s="14" t="str">
        <f aca="false">IF('Avaliador 1'!H388='Avaliador 2'!H388,'Avaliador 1'!H388&amp;"","")</f>
        <v/>
      </c>
      <c r="K388" s="14" t="str">
        <f aca="false">IF('Avaliador 1'!I388='Avaliador 2'!I388,'Avaliador 1'!I388&amp;"","")</f>
        <v/>
      </c>
      <c r="L388" s="13"/>
      <c r="M388" s="13" t="str">
        <f aca="false">IF('Avaliador 1'!J388='Avaliador 2'!J388,'Avaliador 1'!J388&amp;"","")</f>
        <v/>
      </c>
      <c r="N388" s="11" t="str">
        <f aca="false">IF(OR('Avaliador 1'!F388="",'Avaliador 2'!F388=""),"",IF(AND('Avaliador 1'!F388='Avaliador 2'!F388,'Avaliador 1'!G388='Avaliador 2'!G388,'Avaliador 1'!H388='Avaliador 2'!H388,'Avaliador 1'!I388='Avaliador 2'!I388),"Não","Sim"))</f>
        <v/>
      </c>
      <c r="O388" s="14"/>
      <c r="P388" s="10" t="str">
        <f aca="false">IF(LEN(H388)=3,"Defeito encontrado",IF(I388="Sim","Falso alarme",IF(H388="—","Nenhum defeito apontado","")))</f>
        <v/>
      </c>
    </row>
    <row r="389" customFormat="false" ht="15" hidden="false" customHeight="false" outlineLevel="0" collapsed="false">
      <c r="A389" s="11" t="str">
        <f aca="false">Apontamentos!C389</f>
        <v/>
      </c>
      <c r="B389" s="11" t="str">
        <f aca="false">IF(Apontamentos!$C389="","",Apontamentos!A389&amp;"")</f>
        <v/>
      </c>
      <c r="C389" s="11" t="str">
        <f aca="false">IF(B389="","",IFERROR(INDEX(Execuções!$C$2:$C$97,MATCH(B389,Execuções!$A$2:$A$97,0)),"ID?"))</f>
        <v/>
      </c>
      <c r="D389" s="10" t="str">
        <f aca="false">IF(B389="","",IFERROR(INDEX(Execuções!$B$2:$B$97,MATCH(B389,Execuções!$A$2:$A$97,0)),"ID?"))</f>
        <v/>
      </c>
      <c r="E389" s="11" t="str">
        <f aca="false">IF(B389="","",Apontamentos!D389)</f>
        <v/>
      </c>
      <c r="F389" s="11" t="str">
        <f aca="false">IF(B389="","",Apontamentos!E389)</f>
        <v/>
      </c>
      <c r="G389" s="10" t="str">
        <f aca="false">IF(B389="","",Apontamentos!G389&amp;"")</f>
        <v/>
      </c>
      <c r="H389" s="14" t="str">
        <f aca="false">IF('Avaliador 1'!F389='Avaliador 2'!F389,'Avaliador 1'!F389&amp;"","")</f>
        <v/>
      </c>
      <c r="I389" s="14" t="str">
        <f aca="false">IF('Avaliador 1'!G389='Avaliador 2'!G389,'Avaliador 1'!G389&amp;"","")</f>
        <v/>
      </c>
      <c r="J389" s="14" t="str">
        <f aca="false">IF('Avaliador 1'!H389='Avaliador 2'!H389,'Avaliador 1'!H389&amp;"","")</f>
        <v/>
      </c>
      <c r="K389" s="14" t="str">
        <f aca="false">IF('Avaliador 1'!I389='Avaliador 2'!I389,'Avaliador 1'!I389&amp;"","")</f>
        <v/>
      </c>
      <c r="L389" s="13"/>
      <c r="M389" s="13" t="str">
        <f aca="false">IF('Avaliador 1'!J389='Avaliador 2'!J389,'Avaliador 1'!J389&amp;"","")</f>
        <v/>
      </c>
      <c r="N389" s="11" t="str">
        <f aca="false">IF(OR('Avaliador 1'!F389="",'Avaliador 2'!F389=""),"",IF(AND('Avaliador 1'!F389='Avaliador 2'!F389,'Avaliador 1'!G389='Avaliador 2'!G389,'Avaliador 1'!H389='Avaliador 2'!H389,'Avaliador 1'!I389='Avaliador 2'!I389),"Não","Sim"))</f>
        <v/>
      </c>
      <c r="O389" s="14"/>
      <c r="P389" s="10" t="str">
        <f aca="false">IF(LEN(H389)=3,"Defeito encontrado",IF(I389="Sim","Falso alarme",IF(H389="—","Nenhum defeito apontado","")))</f>
        <v/>
      </c>
    </row>
    <row r="390" customFormat="false" ht="15" hidden="false" customHeight="false" outlineLevel="0" collapsed="false">
      <c r="A390" s="11" t="str">
        <f aca="false">Apontamentos!C390</f>
        <v/>
      </c>
      <c r="B390" s="11" t="str">
        <f aca="false">IF(Apontamentos!$C390="","",Apontamentos!A390&amp;"")</f>
        <v/>
      </c>
      <c r="C390" s="11" t="str">
        <f aca="false">IF(B390="","",IFERROR(INDEX(Execuções!$C$2:$C$97,MATCH(B390,Execuções!$A$2:$A$97,0)),"ID?"))</f>
        <v/>
      </c>
      <c r="D390" s="10" t="str">
        <f aca="false">IF(B390="","",IFERROR(INDEX(Execuções!$B$2:$B$97,MATCH(B390,Execuções!$A$2:$A$97,0)),"ID?"))</f>
        <v/>
      </c>
      <c r="E390" s="11" t="str">
        <f aca="false">IF(B390="","",Apontamentos!D390)</f>
        <v/>
      </c>
      <c r="F390" s="11" t="str">
        <f aca="false">IF(B390="","",Apontamentos!E390)</f>
        <v/>
      </c>
      <c r="G390" s="10" t="str">
        <f aca="false">IF(B390="","",Apontamentos!G390&amp;"")</f>
        <v/>
      </c>
      <c r="H390" s="14" t="str">
        <f aca="false">IF('Avaliador 1'!F390='Avaliador 2'!F390,'Avaliador 1'!F390&amp;"","")</f>
        <v/>
      </c>
      <c r="I390" s="14" t="str">
        <f aca="false">IF('Avaliador 1'!G390='Avaliador 2'!G390,'Avaliador 1'!G390&amp;"","")</f>
        <v/>
      </c>
      <c r="J390" s="14" t="str">
        <f aca="false">IF('Avaliador 1'!H390='Avaliador 2'!H390,'Avaliador 1'!H390&amp;"","")</f>
        <v/>
      </c>
      <c r="K390" s="14" t="str">
        <f aca="false">IF('Avaliador 1'!I390='Avaliador 2'!I390,'Avaliador 1'!I390&amp;"","")</f>
        <v/>
      </c>
      <c r="L390" s="13"/>
      <c r="M390" s="13" t="str">
        <f aca="false">IF('Avaliador 1'!J390='Avaliador 2'!J390,'Avaliador 1'!J390&amp;"","")</f>
        <v/>
      </c>
      <c r="N390" s="11" t="str">
        <f aca="false">IF(OR('Avaliador 1'!F390="",'Avaliador 2'!F390=""),"",IF(AND('Avaliador 1'!F390='Avaliador 2'!F390,'Avaliador 1'!G390='Avaliador 2'!G390,'Avaliador 1'!H390='Avaliador 2'!H390,'Avaliador 1'!I390='Avaliador 2'!I390),"Não","Sim"))</f>
        <v/>
      </c>
      <c r="O390" s="14"/>
      <c r="P390" s="10" t="str">
        <f aca="false">IF(LEN(H390)=3,"Defeito encontrado",IF(I390="Sim","Falso alarme",IF(H390="—","Nenhum defeito apontado","")))</f>
        <v/>
      </c>
    </row>
    <row r="391" customFormat="false" ht="15" hidden="false" customHeight="false" outlineLevel="0" collapsed="false">
      <c r="A391" s="11" t="str">
        <f aca="false">Apontamentos!C391</f>
        <v/>
      </c>
      <c r="B391" s="11" t="str">
        <f aca="false">IF(Apontamentos!$C391="","",Apontamentos!A391&amp;"")</f>
        <v/>
      </c>
      <c r="C391" s="11" t="str">
        <f aca="false">IF(B391="","",IFERROR(INDEX(Execuções!$C$2:$C$97,MATCH(B391,Execuções!$A$2:$A$97,0)),"ID?"))</f>
        <v/>
      </c>
      <c r="D391" s="10" t="str">
        <f aca="false">IF(B391="","",IFERROR(INDEX(Execuções!$B$2:$B$97,MATCH(B391,Execuções!$A$2:$A$97,0)),"ID?"))</f>
        <v/>
      </c>
      <c r="E391" s="11" t="str">
        <f aca="false">IF(B391="","",Apontamentos!D391)</f>
        <v/>
      </c>
      <c r="F391" s="11" t="str">
        <f aca="false">IF(B391="","",Apontamentos!E391)</f>
        <v/>
      </c>
      <c r="G391" s="10" t="str">
        <f aca="false">IF(B391="","",Apontamentos!G391&amp;"")</f>
        <v/>
      </c>
      <c r="H391" s="14" t="str">
        <f aca="false">IF('Avaliador 1'!F391='Avaliador 2'!F391,'Avaliador 1'!F391&amp;"","")</f>
        <v/>
      </c>
      <c r="I391" s="14" t="str">
        <f aca="false">IF('Avaliador 1'!G391='Avaliador 2'!G391,'Avaliador 1'!G391&amp;"","")</f>
        <v/>
      </c>
      <c r="J391" s="14" t="str">
        <f aca="false">IF('Avaliador 1'!H391='Avaliador 2'!H391,'Avaliador 1'!H391&amp;"","")</f>
        <v/>
      </c>
      <c r="K391" s="14" t="str">
        <f aca="false">IF('Avaliador 1'!I391='Avaliador 2'!I391,'Avaliador 1'!I391&amp;"","")</f>
        <v/>
      </c>
      <c r="L391" s="13"/>
      <c r="M391" s="13" t="str">
        <f aca="false">IF('Avaliador 1'!J391='Avaliador 2'!J391,'Avaliador 1'!J391&amp;"","")</f>
        <v/>
      </c>
      <c r="N391" s="11" t="str">
        <f aca="false">IF(OR('Avaliador 1'!F391="",'Avaliador 2'!F391=""),"",IF(AND('Avaliador 1'!F391='Avaliador 2'!F391,'Avaliador 1'!G391='Avaliador 2'!G391,'Avaliador 1'!H391='Avaliador 2'!H391,'Avaliador 1'!I391='Avaliador 2'!I391),"Não","Sim"))</f>
        <v/>
      </c>
      <c r="O391" s="14"/>
      <c r="P391" s="10" t="str">
        <f aca="false">IF(LEN(H391)=3,"Defeito encontrado",IF(I391="Sim","Falso alarme",IF(H391="—","Nenhum defeito apontado","")))</f>
        <v/>
      </c>
    </row>
    <row r="392" customFormat="false" ht="15" hidden="false" customHeight="false" outlineLevel="0" collapsed="false">
      <c r="A392" s="11" t="str">
        <f aca="false">Apontamentos!C392</f>
        <v/>
      </c>
      <c r="B392" s="11" t="str">
        <f aca="false">IF(Apontamentos!$C392="","",Apontamentos!A392&amp;"")</f>
        <v/>
      </c>
      <c r="C392" s="11" t="str">
        <f aca="false">IF(B392="","",IFERROR(INDEX(Execuções!$C$2:$C$97,MATCH(B392,Execuções!$A$2:$A$97,0)),"ID?"))</f>
        <v/>
      </c>
      <c r="D392" s="10" t="str">
        <f aca="false">IF(B392="","",IFERROR(INDEX(Execuções!$B$2:$B$97,MATCH(B392,Execuções!$A$2:$A$97,0)),"ID?"))</f>
        <v/>
      </c>
      <c r="E392" s="11" t="str">
        <f aca="false">IF(B392="","",Apontamentos!D392)</f>
        <v/>
      </c>
      <c r="F392" s="11" t="str">
        <f aca="false">IF(B392="","",Apontamentos!E392)</f>
        <v/>
      </c>
      <c r="G392" s="10" t="str">
        <f aca="false">IF(B392="","",Apontamentos!G392&amp;"")</f>
        <v/>
      </c>
      <c r="H392" s="14" t="str">
        <f aca="false">IF('Avaliador 1'!F392='Avaliador 2'!F392,'Avaliador 1'!F392&amp;"","")</f>
        <v/>
      </c>
      <c r="I392" s="14" t="str">
        <f aca="false">IF('Avaliador 1'!G392='Avaliador 2'!G392,'Avaliador 1'!G392&amp;"","")</f>
        <v/>
      </c>
      <c r="J392" s="14" t="str">
        <f aca="false">IF('Avaliador 1'!H392='Avaliador 2'!H392,'Avaliador 1'!H392&amp;"","")</f>
        <v/>
      </c>
      <c r="K392" s="14" t="str">
        <f aca="false">IF('Avaliador 1'!I392='Avaliador 2'!I392,'Avaliador 1'!I392&amp;"","")</f>
        <v/>
      </c>
      <c r="L392" s="13"/>
      <c r="M392" s="13" t="str">
        <f aca="false">IF('Avaliador 1'!J392='Avaliador 2'!J392,'Avaliador 1'!J392&amp;"","")</f>
        <v/>
      </c>
      <c r="N392" s="11" t="str">
        <f aca="false">IF(OR('Avaliador 1'!F392="",'Avaliador 2'!F392=""),"",IF(AND('Avaliador 1'!F392='Avaliador 2'!F392,'Avaliador 1'!G392='Avaliador 2'!G392,'Avaliador 1'!H392='Avaliador 2'!H392,'Avaliador 1'!I392='Avaliador 2'!I392),"Não","Sim"))</f>
        <v/>
      </c>
      <c r="O392" s="14"/>
      <c r="P392" s="10" t="str">
        <f aca="false">IF(LEN(H392)=3,"Defeito encontrado",IF(I392="Sim","Falso alarme",IF(H392="—","Nenhum defeito apontado","")))</f>
        <v/>
      </c>
    </row>
    <row r="393" customFormat="false" ht="15" hidden="false" customHeight="false" outlineLevel="0" collapsed="false">
      <c r="A393" s="11" t="str">
        <f aca="false">Apontamentos!C393</f>
        <v/>
      </c>
      <c r="B393" s="11" t="str">
        <f aca="false">IF(Apontamentos!$C393="","",Apontamentos!A393&amp;"")</f>
        <v/>
      </c>
      <c r="C393" s="11" t="str">
        <f aca="false">IF(B393="","",IFERROR(INDEX(Execuções!$C$2:$C$97,MATCH(B393,Execuções!$A$2:$A$97,0)),"ID?"))</f>
        <v/>
      </c>
      <c r="D393" s="10" t="str">
        <f aca="false">IF(B393="","",IFERROR(INDEX(Execuções!$B$2:$B$97,MATCH(B393,Execuções!$A$2:$A$97,0)),"ID?"))</f>
        <v/>
      </c>
      <c r="E393" s="11" t="str">
        <f aca="false">IF(B393="","",Apontamentos!D393)</f>
        <v/>
      </c>
      <c r="F393" s="11" t="str">
        <f aca="false">IF(B393="","",Apontamentos!E393)</f>
        <v/>
      </c>
      <c r="G393" s="10" t="str">
        <f aca="false">IF(B393="","",Apontamentos!G393&amp;"")</f>
        <v/>
      </c>
      <c r="H393" s="14" t="str">
        <f aca="false">IF('Avaliador 1'!F393='Avaliador 2'!F393,'Avaliador 1'!F393&amp;"","")</f>
        <v/>
      </c>
      <c r="I393" s="14" t="str">
        <f aca="false">IF('Avaliador 1'!G393='Avaliador 2'!G393,'Avaliador 1'!G393&amp;"","")</f>
        <v/>
      </c>
      <c r="J393" s="14" t="str">
        <f aca="false">IF('Avaliador 1'!H393='Avaliador 2'!H393,'Avaliador 1'!H393&amp;"","")</f>
        <v/>
      </c>
      <c r="K393" s="14" t="str">
        <f aca="false">IF('Avaliador 1'!I393='Avaliador 2'!I393,'Avaliador 1'!I393&amp;"","")</f>
        <v/>
      </c>
      <c r="L393" s="13"/>
      <c r="M393" s="13" t="str">
        <f aca="false">IF('Avaliador 1'!J393='Avaliador 2'!J393,'Avaliador 1'!J393&amp;"","")</f>
        <v/>
      </c>
      <c r="N393" s="11" t="str">
        <f aca="false">IF(OR('Avaliador 1'!F393="",'Avaliador 2'!F393=""),"",IF(AND('Avaliador 1'!F393='Avaliador 2'!F393,'Avaliador 1'!G393='Avaliador 2'!G393,'Avaliador 1'!H393='Avaliador 2'!H393,'Avaliador 1'!I393='Avaliador 2'!I393),"Não","Sim"))</f>
        <v/>
      </c>
      <c r="O393" s="14"/>
      <c r="P393" s="10" t="str">
        <f aca="false">IF(LEN(H393)=3,"Defeito encontrado",IF(I393="Sim","Falso alarme",IF(H393="—","Nenhum defeito apontado","")))</f>
        <v/>
      </c>
    </row>
    <row r="394" customFormat="false" ht="15" hidden="false" customHeight="false" outlineLevel="0" collapsed="false">
      <c r="A394" s="11" t="str">
        <f aca="false">Apontamentos!C394</f>
        <v/>
      </c>
      <c r="B394" s="11" t="str">
        <f aca="false">IF(Apontamentos!$C394="","",Apontamentos!A394&amp;"")</f>
        <v/>
      </c>
      <c r="C394" s="11" t="str">
        <f aca="false">IF(B394="","",IFERROR(INDEX(Execuções!$C$2:$C$97,MATCH(B394,Execuções!$A$2:$A$97,0)),"ID?"))</f>
        <v/>
      </c>
      <c r="D394" s="10" t="str">
        <f aca="false">IF(B394="","",IFERROR(INDEX(Execuções!$B$2:$B$97,MATCH(B394,Execuções!$A$2:$A$97,0)),"ID?"))</f>
        <v/>
      </c>
      <c r="E394" s="11" t="str">
        <f aca="false">IF(B394="","",Apontamentos!D394)</f>
        <v/>
      </c>
      <c r="F394" s="11" t="str">
        <f aca="false">IF(B394="","",Apontamentos!E394)</f>
        <v/>
      </c>
      <c r="G394" s="10" t="str">
        <f aca="false">IF(B394="","",Apontamentos!G394&amp;"")</f>
        <v/>
      </c>
      <c r="H394" s="14" t="str">
        <f aca="false">IF('Avaliador 1'!F394='Avaliador 2'!F394,'Avaliador 1'!F394&amp;"","")</f>
        <v/>
      </c>
      <c r="I394" s="14" t="str">
        <f aca="false">IF('Avaliador 1'!G394='Avaliador 2'!G394,'Avaliador 1'!G394&amp;"","")</f>
        <v/>
      </c>
      <c r="J394" s="14" t="str">
        <f aca="false">IF('Avaliador 1'!H394='Avaliador 2'!H394,'Avaliador 1'!H394&amp;"","")</f>
        <v/>
      </c>
      <c r="K394" s="14" t="str">
        <f aca="false">IF('Avaliador 1'!I394='Avaliador 2'!I394,'Avaliador 1'!I394&amp;"","")</f>
        <v/>
      </c>
      <c r="L394" s="13"/>
      <c r="M394" s="13" t="str">
        <f aca="false">IF('Avaliador 1'!J394='Avaliador 2'!J394,'Avaliador 1'!J394&amp;"","")</f>
        <v/>
      </c>
      <c r="N394" s="11" t="str">
        <f aca="false">IF(OR('Avaliador 1'!F394="",'Avaliador 2'!F394=""),"",IF(AND('Avaliador 1'!F394='Avaliador 2'!F394,'Avaliador 1'!G394='Avaliador 2'!G394,'Avaliador 1'!H394='Avaliador 2'!H394,'Avaliador 1'!I394='Avaliador 2'!I394),"Não","Sim"))</f>
        <v/>
      </c>
      <c r="O394" s="14"/>
      <c r="P394" s="10" t="str">
        <f aca="false">IF(LEN(H394)=3,"Defeito encontrado",IF(I394="Sim","Falso alarme",IF(H394="—","Nenhum defeito apontado","")))</f>
        <v/>
      </c>
    </row>
    <row r="395" customFormat="false" ht="15" hidden="false" customHeight="false" outlineLevel="0" collapsed="false">
      <c r="A395" s="11" t="str">
        <f aca="false">Apontamentos!C395</f>
        <v/>
      </c>
      <c r="B395" s="11" t="str">
        <f aca="false">IF(Apontamentos!$C395="","",Apontamentos!A395&amp;"")</f>
        <v/>
      </c>
      <c r="C395" s="11" t="str">
        <f aca="false">IF(B395="","",IFERROR(INDEX(Execuções!$C$2:$C$97,MATCH(B395,Execuções!$A$2:$A$97,0)),"ID?"))</f>
        <v/>
      </c>
      <c r="D395" s="10" t="str">
        <f aca="false">IF(B395="","",IFERROR(INDEX(Execuções!$B$2:$B$97,MATCH(B395,Execuções!$A$2:$A$97,0)),"ID?"))</f>
        <v/>
      </c>
      <c r="E395" s="11" t="str">
        <f aca="false">IF(B395="","",Apontamentos!D395)</f>
        <v/>
      </c>
      <c r="F395" s="11" t="str">
        <f aca="false">IF(B395="","",Apontamentos!E395)</f>
        <v/>
      </c>
      <c r="G395" s="10" t="str">
        <f aca="false">IF(B395="","",Apontamentos!G395&amp;"")</f>
        <v/>
      </c>
      <c r="H395" s="14" t="str">
        <f aca="false">IF('Avaliador 1'!F395='Avaliador 2'!F395,'Avaliador 1'!F395&amp;"","")</f>
        <v/>
      </c>
      <c r="I395" s="14" t="str">
        <f aca="false">IF('Avaliador 1'!G395='Avaliador 2'!G395,'Avaliador 1'!G395&amp;"","")</f>
        <v/>
      </c>
      <c r="J395" s="14" t="str">
        <f aca="false">IF('Avaliador 1'!H395='Avaliador 2'!H395,'Avaliador 1'!H395&amp;"","")</f>
        <v/>
      </c>
      <c r="K395" s="14" t="str">
        <f aca="false">IF('Avaliador 1'!I395='Avaliador 2'!I395,'Avaliador 1'!I395&amp;"","")</f>
        <v/>
      </c>
      <c r="L395" s="13"/>
      <c r="M395" s="13" t="str">
        <f aca="false">IF('Avaliador 1'!J395='Avaliador 2'!J395,'Avaliador 1'!J395&amp;"","")</f>
        <v/>
      </c>
      <c r="N395" s="11" t="str">
        <f aca="false">IF(OR('Avaliador 1'!F395="",'Avaliador 2'!F395=""),"",IF(AND('Avaliador 1'!F395='Avaliador 2'!F395,'Avaliador 1'!G395='Avaliador 2'!G395,'Avaliador 1'!H395='Avaliador 2'!H395,'Avaliador 1'!I395='Avaliador 2'!I395),"Não","Sim"))</f>
        <v/>
      </c>
      <c r="O395" s="14"/>
      <c r="P395" s="10" t="str">
        <f aca="false">IF(LEN(H395)=3,"Defeito encontrado",IF(I395="Sim","Falso alarme",IF(H395="—","Nenhum defeito apontado","")))</f>
        <v/>
      </c>
    </row>
    <row r="396" customFormat="false" ht="15" hidden="false" customHeight="false" outlineLevel="0" collapsed="false">
      <c r="A396" s="11" t="str">
        <f aca="false">Apontamentos!C396</f>
        <v/>
      </c>
      <c r="B396" s="11" t="str">
        <f aca="false">IF(Apontamentos!$C396="","",Apontamentos!A396&amp;"")</f>
        <v/>
      </c>
      <c r="C396" s="11" t="str">
        <f aca="false">IF(B396="","",IFERROR(INDEX(Execuções!$C$2:$C$97,MATCH(B396,Execuções!$A$2:$A$97,0)),"ID?"))</f>
        <v/>
      </c>
      <c r="D396" s="10" t="str">
        <f aca="false">IF(B396="","",IFERROR(INDEX(Execuções!$B$2:$B$97,MATCH(B396,Execuções!$A$2:$A$97,0)),"ID?"))</f>
        <v/>
      </c>
      <c r="E396" s="11" t="str">
        <f aca="false">IF(B396="","",Apontamentos!D396)</f>
        <v/>
      </c>
      <c r="F396" s="11" t="str">
        <f aca="false">IF(B396="","",Apontamentos!E396)</f>
        <v/>
      </c>
      <c r="G396" s="10" t="str">
        <f aca="false">IF(B396="","",Apontamentos!G396&amp;"")</f>
        <v/>
      </c>
      <c r="H396" s="14" t="str">
        <f aca="false">IF('Avaliador 1'!F396='Avaliador 2'!F396,'Avaliador 1'!F396&amp;"","")</f>
        <v/>
      </c>
      <c r="I396" s="14" t="str">
        <f aca="false">IF('Avaliador 1'!G396='Avaliador 2'!G396,'Avaliador 1'!G396&amp;"","")</f>
        <v/>
      </c>
      <c r="J396" s="14" t="str">
        <f aca="false">IF('Avaliador 1'!H396='Avaliador 2'!H396,'Avaliador 1'!H396&amp;"","")</f>
        <v/>
      </c>
      <c r="K396" s="14" t="str">
        <f aca="false">IF('Avaliador 1'!I396='Avaliador 2'!I396,'Avaliador 1'!I396&amp;"","")</f>
        <v/>
      </c>
      <c r="L396" s="13"/>
      <c r="M396" s="13" t="str">
        <f aca="false">IF('Avaliador 1'!J396='Avaliador 2'!J396,'Avaliador 1'!J396&amp;"","")</f>
        <v/>
      </c>
      <c r="N396" s="11" t="str">
        <f aca="false">IF(OR('Avaliador 1'!F396="",'Avaliador 2'!F396=""),"",IF(AND('Avaliador 1'!F396='Avaliador 2'!F396,'Avaliador 1'!G396='Avaliador 2'!G396,'Avaliador 1'!H396='Avaliador 2'!H396,'Avaliador 1'!I396='Avaliador 2'!I396),"Não","Sim"))</f>
        <v/>
      </c>
      <c r="O396" s="14"/>
      <c r="P396" s="10" t="str">
        <f aca="false">IF(LEN(H396)=3,"Defeito encontrado",IF(I396="Sim","Falso alarme",IF(H396="—","Nenhum defeito apontado","")))</f>
        <v/>
      </c>
    </row>
    <row r="397" customFormat="false" ht="15" hidden="false" customHeight="false" outlineLevel="0" collapsed="false">
      <c r="A397" s="11" t="str">
        <f aca="false">Apontamentos!C397</f>
        <v/>
      </c>
      <c r="B397" s="11" t="str">
        <f aca="false">IF(Apontamentos!$C397="","",Apontamentos!A397&amp;"")</f>
        <v/>
      </c>
      <c r="C397" s="11" t="str">
        <f aca="false">IF(B397="","",IFERROR(INDEX(Execuções!$C$2:$C$97,MATCH(B397,Execuções!$A$2:$A$97,0)),"ID?"))</f>
        <v/>
      </c>
      <c r="D397" s="10" t="str">
        <f aca="false">IF(B397="","",IFERROR(INDEX(Execuções!$B$2:$B$97,MATCH(B397,Execuções!$A$2:$A$97,0)),"ID?"))</f>
        <v/>
      </c>
      <c r="E397" s="11" t="str">
        <f aca="false">IF(B397="","",Apontamentos!D397)</f>
        <v/>
      </c>
      <c r="F397" s="11" t="str">
        <f aca="false">IF(B397="","",Apontamentos!E397)</f>
        <v/>
      </c>
      <c r="G397" s="10" t="str">
        <f aca="false">IF(B397="","",Apontamentos!G397&amp;"")</f>
        <v/>
      </c>
      <c r="H397" s="14" t="str">
        <f aca="false">IF('Avaliador 1'!F397='Avaliador 2'!F397,'Avaliador 1'!F397&amp;"","")</f>
        <v/>
      </c>
      <c r="I397" s="14" t="str">
        <f aca="false">IF('Avaliador 1'!G397='Avaliador 2'!G397,'Avaliador 1'!G397&amp;"","")</f>
        <v/>
      </c>
      <c r="J397" s="14" t="str">
        <f aca="false">IF('Avaliador 1'!H397='Avaliador 2'!H397,'Avaliador 1'!H397&amp;"","")</f>
        <v/>
      </c>
      <c r="K397" s="14" t="str">
        <f aca="false">IF('Avaliador 1'!I397='Avaliador 2'!I397,'Avaliador 1'!I397&amp;"","")</f>
        <v/>
      </c>
      <c r="L397" s="13"/>
      <c r="M397" s="13" t="str">
        <f aca="false">IF('Avaliador 1'!J397='Avaliador 2'!J397,'Avaliador 1'!J397&amp;"","")</f>
        <v/>
      </c>
      <c r="N397" s="11" t="str">
        <f aca="false">IF(OR('Avaliador 1'!F397="",'Avaliador 2'!F397=""),"",IF(AND('Avaliador 1'!F397='Avaliador 2'!F397,'Avaliador 1'!G397='Avaliador 2'!G397,'Avaliador 1'!H397='Avaliador 2'!H397,'Avaliador 1'!I397='Avaliador 2'!I397),"Não","Sim"))</f>
        <v/>
      </c>
      <c r="O397" s="14"/>
      <c r="P397" s="10" t="str">
        <f aca="false">IF(LEN(H397)=3,"Defeito encontrado",IF(I397="Sim","Falso alarme",IF(H397="—","Nenhum defeito apontado","")))</f>
        <v/>
      </c>
    </row>
    <row r="398" customFormat="false" ht="15" hidden="false" customHeight="false" outlineLevel="0" collapsed="false">
      <c r="A398" s="11" t="str">
        <f aca="false">Apontamentos!C398</f>
        <v/>
      </c>
      <c r="B398" s="11" t="str">
        <f aca="false">IF(Apontamentos!$C398="","",Apontamentos!A398&amp;"")</f>
        <v/>
      </c>
      <c r="C398" s="11" t="str">
        <f aca="false">IF(B398="","",IFERROR(INDEX(Execuções!$C$2:$C$97,MATCH(B398,Execuções!$A$2:$A$97,0)),"ID?"))</f>
        <v/>
      </c>
      <c r="D398" s="10" t="str">
        <f aca="false">IF(B398="","",IFERROR(INDEX(Execuções!$B$2:$B$97,MATCH(B398,Execuções!$A$2:$A$97,0)),"ID?"))</f>
        <v/>
      </c>
      <c r="E398" s="11" t="str">
        <f aca="false">IF(B398="","",Apontamentos!D398)</f>
        <v/>
      </c>
      <c r="F398" s="11" t="str">
        <f aca="false">IF(B398="","",Apontamentos!E398)</f>
        <v/>
      </c>
      <c r="G398" s="10" t="str">
        <f aca="false">IF(B398="","",Apontamentos!G398&amp;"")</f>
        <v/>
      </c>
      <c r="H398" s="14" t="str">
        <f aca="false">IF('Avaliador 1'!F398='Avaliador 2'!F398,'Avaliador 1'!F398&amp;"","")</f>
        <v/>
      </c>
      <c r="I398" s="14" t="str">
        <f aca="false">IF('Avaliador 1'!G398='Avaliador 2'!G398,'Avaliador 1'!G398&amp;"","")</f>
        <v/>
      </c>
      <c r="J398" s="14" t="str">
        <f aca="false">IF('Avaliador 1'!H398='Avaliador 2'!H398,'Avaliador 1'!H398&amp;"","")</f>
        <v/>
      </c>
      <c r="K398" s="14" t="str">
        <f aca="false">IF('Avaliador 1'!I398='Avaliador 2'!I398,'Avaliador 1'!I398&amp;"","")</f>
        <v/>
      </c>
      <c r="L398" s="13"/>
      <c r="M398" s="13" t="str">
        <f aca="false">IF('Avaliador 1'!J398='Avaliador 2'!J398,'Avaliador 1'!J398&amp;"","")</f>
        <v/>
      </c>
      <c r="N398" s="11" t="str">
        <f aca="false">IF(OR('Avaliador 1'!F398="",'Avaliador 2'!F398=""),"",IF(AND('Avaliador 1'!F398='Avaliador 2'!F398,'Avaliador 1'!G398='Avaliador 2'!G398,'Avaliador 1'!H398='Avaliador 2'!H398,'Avaliador 1'!I398='Avaliador 2'!I398),"Não","Sim"))</f>
        <v/>
      </c>
      <c r="O398" s="14"/>
      <c r="P398" s="10" t="str">
        <f aca="false">IF(LEN(H398)=3,"Defeito encontrado",IF(I398="Sim","Falso alarme",IF(H398="—","Nenhum defeito apontado","")))</f>
        <v/>
      </c>
    </row>
    <row r="399" customFormat="false" ht="15" hidden="false" customHeight="false" outlineLevel="0" collapsed="false">
      <c r="A399" s="11" t="str">
        <f aca="false">Apontamentos!C399</f>
        <v/>
      </c>
      <c r="B399" s="11" t="str">
        <f aca="false">IF(Apontamentos!$C399="","",Apontamentos!A399&amp;"")</f>
        <v/>
      </c>
      <c r="C399" s="11" t="str">
        <f aca="false">IF(B399="","",IFERROR(INDEX(Execuções!$C$2:$C$97,MATCH(B399,Execuções!$A$2:$A$97,0)),"ID?"))</f>
        <v/>
      </c>
      <c r="D399" s="10" t="str">
        <f aca="false">IF(B399="","",IFERROR(INDEX(Execuções!$B$2:$B$97,MATCH(B399,Execuções!$A$2:$A$97,0)),"ID?"))</f>
        <v/>
      </c>
      <c r="E399" s="11" t="str">
        <f aca="false">IF(B399="","",Apontamentos!D399)</f>
        <v/>
      </c>
      <c r="F399" s="11" t="str">
        <f aca="false">IF(B399="","",Apontamentos!E399)</f>
        <v/>
      </c>
      <c r="G399" s="10" t="str">
        <f aca="false">IF(B399="","",Apontamentos!G399&amp;"")</f>
        <v/>
      </c>
      <c r="H399" s="14" t="str">
        <f aca="false">IF('Avaliador 1'!F399='Avaliador 2'!F399,'Avaliador 1'!F399&amp;"","")</f>
        <v/>
      </c>
      <c r="I399" s="14" t="str">
        <f aca="false">IF('Avaliador 1'!G399='Avaliador 2'!G399,'Avaliador 1'!G399&amp;"","")</f>
        <v/>
      </c>
      <c r="J399" s="14" t="str">
        <f aca="false">IF('Avaliador 1'!H399='Avaliador 2'!H399,'Avaliador 1'!H399&amp;"","")</f>
        <v/>
      </c>
      <c r="K399" s="14" t="str">
        <f aca="false">IF('Avaliador 1'!I399='Avaliador 2'!I399,'Avaliador 1'!I399&amp;"","")</f>
        <v/>
      </c>
      <c r="L399" s="13"/>
      <c r="M399" s="13" t="str">
        <f aca="false">IF('Avaliador 1'!J399='Avaliador 2'!J399,'Avaliador 1'!J399&amp;"","")</f>
        <v/>
      </c>
      <c r="N399" s="11" t="str">
        <f aca="false">IF(OR('Avaliador 1'!F399="",'Avaliador 2'!F399=""),"",IF(AND('Avaliador 1'!F399='Avaliador 2'!F399,'Avaliador 1'!G399='Avaliador 2'!G399,'Avaliador 1'!H399='Avaliador 2'!H399,'Avaliador 1'!I399='Avaliador 2'!I399),"Não","Sim"))</f>
        <v/>
      </c>
      <c r="O399" s="14"/>
      <c r="P399" s="10" t="str">
        <f aca="false">IF(LEN(H399)=3,"Defeito encontrado",IF(I399="Sim","Falso alarme",IF(H399="—","Nenhum defeito apontado","")))</f>
        <v/>
      </c>
    </row>
    <row r="400" customFormat="false" ht="15" hidden="false" customHeight="false" outlineLevel="0" collapsed="false">
      <c r="A400" s="11" t="str">
        <f aca="false">Apontamentos!C400</f>
        <v/>
      </c>
      <c r="B400" s="11" t="str">
        <f aca="false">IF(Apontamentos!$C400="","",Apontamentos!A400&amp;"")</f>
        <v/>
      </c>
      <c r="C400" s="11" t="str">
        <f aca="false">IF(B400="","",IFERROR(INDEX(Execuções!$C$2:$C$97,MATCH(B400,Execuções!$A$2:$A$97,0)),"ID?"))</f>
        <v/>
      </c>
      <c r="D400" s="10" t="str">
        <f aca="false">IF(B400="","",IFERROR(INDEX(Execuções!$B$2:$B$97,MATCH(B400,Execuções!$A$2:$A$97,0)),"ID?"))</f>
        <v/>
      </c>
      <c r="E400" s="11" t="str">
        <f aca="false">IF(B400="","",Apontamentos!D400)</f>
        <v/>
      </c>
      <c r="F400" s="11" t="str">
        <f aca="false">IF(B400="","",Apontamentos!E400)</f>
        <v/>
      </c>
      <c r="G400" s="10" t="str">
        <f aca="false">IF(B400="","",Apontamentos!G400&amp;"")</f>
        <v/>
      </c>
      <c r="H400" s="14" t="str">
        <f aca="false">IF('Avaliador 1'!F400='Avaliador 2'!F400,'Avaliador 1'!F400&amp;"","")</f>
        <v/>
      </c>
      <c r="I400" s="14" t="str">
        <f aca="false">IF('Avaliador 1'!G400='Avaliador 2'!G400,'Avaliador 1'!G400&amp;"","")</f>
        <v/>
      </c>
      <c r="J400" s="14" t="str">
        <f aca="false">IF('Avaliador 1'!H400='Avaliador 2'!H400,'Avaliador 1'!H400&amp;"","")</f>
        <v/>
      </c>
      <c r="K400" s="14" t="str">
        <f aca="false">IF('Avaliador 1'!I400='Avaliador 2'!I400,'Avaliador 1'!I400&amp;"","")</f>
        <v/>
      </c>
      <c r="L400" s="13"/>
      <c r="M400" s="13" t="str">
        <f aca="false">IF('Avaliador 1'!J400='Avaliador 2'!J400,'Avaliador 1'!J400&amp;"","")</f>
        <v/>
      </c>
      <c r="N400" s="11" t="str">
        <f aca="false">IF(OR('Avaliador 1'!F400="",'Avaliador 2'!F400=""),"",IF(AND('Avaliador 1'!F400='Avaliador 2'!F400,'Avaliador 1'!G400='Avaliador 2'!G400,'Avaliador 1'!H400='Avaliador 2'!H400,'Avaliador 1'!I400='Avaliador 2'!I400),"Não","Sim"))</f>
        <v/>
      </c>
      <c r="O400" s="14"/>
      <c r="P400" s="10" t="str">
        <f aca="false">IF(LEN(H400)=3,"Defeito encontrado",IF(I400="Sim","Falso alarme",IF(H400="—","Nenhum defeito apontado","")))</f>
        <v/>
      </c>
    </row>
    <row r="401" customFormat="false" ht="15" hidden="false" customHeight="false" outlineLevel="0" collapsed="false">
      <c r="A401" s="11" t="str">
        <f aca="false">Apontamentos!C401</f>
        <v/>
      </c>
      <c r="B401" s="11" t="str">
        <f aca="false">IF(Apontamentos!$C401="","",Apontamentos!A401&amp;"")</f>
        <v/>
      </c>
      <c r="C401" s="11" t="str">
        <f aca="false">IF(B401="","",IFERROR(INDEX(Execuções!$C$2:$C$97,MATCH(B401,Execuções!$A$2:$A$97,0)),"ID?"))</f>
        <v/>
      </c>
      <c r="D401" s="10" t="str">
        <f aca="false">IF(B401="","",IFERROR(INDEX(Execuções!$B$2:$B$97,MATCH(B401,Execuções!$A$2:$A$97,0)),"ID?"))</f>
        <v/>
      </c>
      <c r="E401" s="11" t="str">
        <f aca="false">IF(B401="","",Apontamentos!D401)</f>
        <v/>
      </c>
      <c r="F401" s="11" t="str">
        <f aca="false">IF(B401="","",Apontamentos!E401)</f>
        <v/>
      </c>
      <c r="G401" s="10" t="str">
        <f aca="false">IF(B401="","",Apontamentos!G401&amp;"")</f>
        <v/>
      </c>
      <c r="H401" s="14" t="str">
        <f aca="false">IF('Avaliador 1'!F401='Avaliador 2'!F401,'Avaliador 1'!F401&amp;"","")</f>
        <v/>
      </c>
      <c r="I401" s="14" t="str">
        <f aca="false">IF('Avaliador 1'!G401='Avaliador 2'!G401,'Avaliador 1'!G401&amp;"","")</f>
        <v/>
      </c>
      <c r="J401" s="14" t="str">
        <f aca="false">IF('Avaliador 1'!H401='Avaliador 2'!H401,'Avaliador 1'!H401&amp;"","")</f>
        <v/>
      </c>
      <c r="K401" s="14" t="str">
        <f aca="false">IF('Avaliador 1'!I401='Avaliador 2'!I401,'Avaliador 1'!I401&amp;"","")</f>
        <v/>
      </c>
      <c r="L401" s="13"/>
      <c r="M401" s="13" t="str">
        <f aca="false">IF('Avaliador 1'!J401='Avaliador 2'!J401,'Avaliador 1'!J401&amp;"","")</f>
        <v/>
      </c>
      <c r="N401" s="11" t="str">
        <f aca="false">IF(OR('Avaliador 1'!F401="",'Avaliador 2'!F401=""),"",IF(AND('Avaliador 1'!F401='Avaliador 2'!F401,'Avaliador 1'!G401='Avaliador 2'!G401,'Avaliador 1'!H401='Avaliador 2'!H401,'Avaliador 1'!I401='Avaliador 2'!I401),"Não","Sim"))</f>
        <v/>
      </c>
      <c r="O401" s="14"/>
      <c r="P401" s="10" t="str">
        <f aca="false">IF(LEN(H401)=3,"Defeito encontrado",IF(I401="Sim","Falso alarme",IF(H401="—","Nenhum defeito apontado","")))</f>
        <v/>
      </c>
    </row>
    <row r="402" customFormat="false" ht="15" hidden="false" customHeight="false" outlineLevel="0" collapsed="false">
      <c r="A402" s="11" t="str">
        <f aca="false">Apontamentos!C402</f>
        <v/>
      </c>
      <c r="B402" s="11" t="str">
        <f aca="false">IF(Apontamentos!$C402="","",Apontamentos!A402&amp;"")</f>
        <v/>
      </c>
      <c r="C402" s="11" t="str">
        <f aca="false">IF(B402="","",IFERROR(INDEX(Execuções!$C$2:$C$97,MATCH(B402,Execuções!$A$2:$A$97,0)),"ID?"))</f>
        <v/>
      </c>
      <c r="D402" s="10" t="str">
        <f aca="false">IF(B402="","",IFERROR(INDEX(Execuções!$B$2:$B$97,MATCH(B402,Execuções!$A$2:$A$97,0)),"ID?"))</f>
        <v/>
      </c>
      <c r="E402" s="11" t="str">
        <f aca="false">IF(B402="","",Apontamentos!D402)</f>
        <v/>
      </c>
      <c r="F402" s="11" t="str">
        <f aca="false">IF(B402="","",Apontamentos!E402)</f>
        <v/>
      </c>
      <c r="G402" s="10" t="str">
        <f aca="false">IF(B402="","",Apontamentos!G402&amp;"")</f>
        <v/>
      </c>
      <c r="H402" s="14" t="str">
        <f aca="false">IF('Avaliador 1'!F402='Avaliador 2'!F402,'Avaliador 1'!F402&amp;"","")</f>
        <v/>
      </c>
      <c r="I402" s="14" t="str">
        <f aca="false">IF('Avaliador 1'!G402='Avaliador 2'!G402,'Avaliador 1'!G402&amp;"","")</f>
        <v/>
      </c>
      <c r="J402" s="14" t="str">
        <f aca="false">IF('Avaliador 1'!H402='Avaliador 2'!H402,'Avaliador 1'!H402&amp;"","")</f>
        <v/>
      </c>
      <c r="K402" s="14" t="str">
        <f aca="false">IF('Avaliador 1'!I402='Avaliador 2'!I402,'Avaliador 1'!I402&amp;"","")</f>
        <v/>
      </c>
      <c r="L402" s="13"/>
      <c r="M402" s="13" t="str">
        <f aca="false">IF('Avaliador 1'!J402='Avaliador 2'!J402,'Avaliador 1'!J402&amp;"","")</f>
        <v/>
      </c>
      <c r="N402" s="11" t="str">
        <f aca="false">IF(OR('Avaliador 1'!F402="",'Avaliador 2'!F402=""),"",IF(AND('Avaliador 1'!F402='Avaliador 2'!F402,'Avaliador 1'!G402='Avaliador 2'!G402,'Avaliador 1'!H402='Avaliador 2'!H402,'Avaliador 1'!I402='Avaliador 2'!I402),"Não","Sim"))</f>
        <v/>
      </c>
      <c r="O402" s="14"/>
      <c r="P402" s="10" t="str">
        <f aca="false">IF(LEN(H402)=3,"Defeito encontrado",IF(I402="Sim","Falso alarme",IF(H402="—","Nenhum defeito apontado","")))</f>
        <v/>
      </c>
    </row>
    <row r="403" customFormat="false" ht="15" hidden="false" customHeight="false" outlineLevel="0" collapsed="false">
      <c r="A403" s="11" t="str">
        <f aca="false">Apontamentos!C403</f>
        <v/>
      </c>
      <c r="B403" s="11" t="str">
        <f aca="false">IF(Apontamentos!$C403="","",Apontamentos!A403&amp;"")</f>
        <v/>
      </c>
      <c r="C403" s="11" t="str">
        <f aca="false">IF(B403="","",IFERROR(INDEX(Execuções!$C$2:$C$97,MATCH(B403,Execuções!$A$2:$A$97,0)),"ID?"))</f>
        <v/>
      </c>
      <c r="D403" s="10" t="str">
        <f aca="false">IF(B403="","",IFERROR(INDEX(Execuções!$B$2:$B$97,MATCH(B403,Execuções!$A$2:$A$97,0)),"ID?"))</f>
        <v/>
      </c>
      <c r="E403" s="11" t="str">
        <f aca="false">IF(B403="","",Apontamentos!D403)</f>
        <v/>
      </c>
      <c r="F403" s="11" t="str">
        <f aca="false">IF(B403="","",Apontamentos!E403)</f>
        <v/>
      </c>
      <c r="G403" s="10" t="str">
        <f aca="false">IF(B403="","",Apontamentos!G403&amp;"")</f>
        <v/>
      </c>
      <c r="H403" s="14" t="str">
        <f aca="false">IF('Avaliador 1'!F403='Avaliador 2'!F403,'Avaliador 1'!F403&amp;"","")</f>
        <v/>
      </c>
      <c r="I403" s="14" t="str">
        <f aca="false">IF('Avaliador 1'!G403='Avaliador 2'!G403,'Avaliador 1'!G403&amp;"","")</f>
        <v/>
      </c>
      <c r="J403" s="14" t="str">
        <f aca="false">IF('Avaliador 1'!H403='Avaliador 2'!H403,'Avaliador 1'!H403&amp;"","")</f>
        <v/>
      </c>
      <c r="K403" s="14" t="str">
        <f aca="false">IF('Avaliador 1'!I403='Avaliador 2'!I403,'Avaliador 1'!I403&amp;"","")</f>
        <v/>
      </c>
      <c r="L403" s="13"/>
      <c r="M403" s="13" t="str">
        <f aca="false">IF('Avaliador 1'!J403='Avaliador 2'!J403,'Avaliador 1'!J403&amp;"","")</f>
        <v/>
      </c>
      <c r="N403" s="11" t="str">
        <f aca="false">IF(OR('Avaliador 1'!F403="",'Avaliador 2'!F403=""),"",IF(AND('Avaliador 1'!F403='Avaliador 2'!F403,'Avaliador 1'!G403='Avaliador 2'!G403,'Avaliador 1'!H403='Avaliador 2'!H403,'Avaliador 1'!I403='Avaliador 2'!I403),"Não","Sim"))</f>
        <v/>
      </c>
      <c r="O403" s="14"/>
      <c r="P403" s="10" t="str">
        <f aca="false">IF(LEN(H403)=3,"Defeito encontrado",IF(I403="Sim","Falso alarme",IF(H403="—","Nenhum defeito apontado","")))</f>
        <v/>
      </c>
    </row>
    <row r="404" customFormat="false" ht="15" hidden="false" customHeight="false" outlineLevel="0" collapsed="false">
      <c r="A404" s="11" t="str">
        <f aca="false">Apontamentos!C404</f>
        <v/>
      </c>
      <c r="B404" s="11" t="str">
        <f aca="false">IF(Apontamentos!$C404="","",Apontamentos!A404&amp;"")</f>
        <v/>
      </c>
      <c r="C404" s="11" t="str">
        <f aca="false">IF(B404="","",IFERROR(INDEX(Execuções!$C$2:$C$97,MATCH(B404,Execuções!$A$2:$A$97,0)),"ID?"))</f>
        <v/>
      </c>
      <c r="D404" s="10" t="str">
        <f aca="false">IF(B404="","",IFERROR(INDEX(Execuções!$B$2:$B$97,MATCH(B404,Execuções!$A$2:$A$97,0)),"ID?"))</f>
        <v/>
      </c>
      <c r="E404" s="11" t="str">
        <f aca="false">IF(B404="","",Apontamentos!D404)</f>
        <v/>
      </c>
      <c r="F404" s="11" t="str">
        <f aca="false">IF(B404="","",Apontamentos!E404)</f>
        <v/>
      </c>
      <c r="G404" s="10" t="str">
        <f aca="false">IF(B404="","",Apontamentos!G404&amp;"")</f>
        <v/>
      </c>
      <c r="H404" s="14" t="str">
        <f aca="false">IF('Avaliador 1'!F404='Avaliador 2'!F404,'Avaliador 1'!F404&amp;"","")</f>
        <v/>
      </c>
      <c r="I404" s="14" t="str">
        <f aca="false">IF('Avaliador 1'!G404='Avaliador 2'!G404,'Avaliador 1'!G404&amp;"","")</f>
        <v/>
      </c>
      <c r="J404" s="14" t="str">
        <f aca="false">IF('Avaliador 1'!H404='Avaliador 2'!H404,'Avaliador 1'!H404&amp;"","")</f>
        <v/>
      </c>
      <c r="K404" s="14" t="str">
        <f aca="false">IF('Avaliador 1'!I404='Avaliador 2'!I404,'Avaliador 1'!I404&amp;"","")</f>
        <v/>
      </c>
      <c r="L404" s="13"/>
      <c r="M404" s="13" t="str">
        <f aca="false">IF('Avaliador 1'!J404='Avaliador 2'!J404,'Avaliador 1'!J404&amp;"","")</f>
        <v/>
      </c>
      <c r="N404" s="11" t="str">
        <f aca="false">IF(OR('Avaliador 1'!F404="",'Avaliador 2'!F404=""),"",IF(AND('Avaliador 1'!F404='Avaliador 2'!F404,'Avaliador 1'!G404='Avaliador 2'!G404,'Avaliador 1'!H404='Avaliador 2'!H404,'Avaliador 1'!I404='Avaliador 2'!I404),"Não","Sim"))</f>
        <v/>
      </c>
      <c r="O404" s="14"/>
      <c r="P404" s="10" t="str">
        <f aca="false">IF(LEN(H404)=3,"Defeito encontrado",IF(I404="Sim","Falso alarme",IF(H404="—","Nenhum defeito apontado","")))</f>
        <v/>
      </c>
    </row>
    <row r="405" customFormat="false" ht="15" hidden="false" customHeight="false" outlineLevel="0" collapsed="false">
      <c r="A405" s="11" t="str">
        <f aca="false">Apontamentos!C405</f>
        <v/>
      </c>
      <c r="B405" s="11" t="str">
        <f aca="false">IF(Apontamentos!$C405="","",Apontamentos!A405&amp;"")</f>
        <v/>
      </c>
      <c r="C405" s="11" t="str">
        <f aca="false">IF(B405="","",IFERROR(INDEX(Execuções!$C$2:$C$97,MATCH(B405,Execuções!$A$2:$A$97,0)),"ID?"))</f>
        <v/>
      </c>
      <c r="D405" s="10" t="str">
        <f aca="false">IF(B405="","",IFERROR(INDEX(Execuções!$B$2:$B$97,MATCH(B405,Execuções!$A$2:$A$97,0)),"ID?"))</f>
        <v/>
      </c>
      <c r="E405" s="11" t="str">
        <f aca="false">IF(B405="","",Apontamentos!D405)</f>
        <v/>
      </c>
      <c r="F405" s="11" t="str">
        <f aca="false">IF(B405="","",Apontamentos!E405)</f>
        <v/>
      </c>
      <c r="G405" s="10" t="str">
        <f aca="false">IF(B405="","",Apontamentos!G405&amp;"")</f>
        <v/>
      </c>
      <c r="H405" s="14" t="str">
        <f aca="false">IF('Avaliador 1'!F405='Avaliador 2'!F405,'Avaliador 1'!F405&amp;"","")</f>
        <v/>
      </c>
      <c r="I405" s="14" t="str">
        <f aca="false">IF('Avaliador 1'!G405='Avaliador 2'!G405,'Avaliador 1'!G405&amp;"","")</f>
        <v/>
      </c>
      <c r="J405" s="14" t="str">
        <f aca="false">IF('Avaliador 1'!H405='Avaliador 2'!H405,'Avaliador 1'!H405&amp;"","")</f>
        <v/>
      </c>
      <c r="K405" s="14" t="str">
        <f aca="false">IF('Avaliador 1'!I405='Avaliador 2'!I405,'Avaliador 1'!I405&amp;"","")</f>
        <v/>
      </c>
      <c r="L405" s="13"/>
      <c r="M405" s="13" t="str">
        <f aca="false">IF('Avaliador 1'!J405='Avaliador 2'!J405,'Avaliador 1'!J405&amp;"","")</f>
        <v/>
      </c>
      <c r="N405" s="11" t="str">
        <f aca="false">IF(OR('Avaliador 1'!F405="",'Avaliador 2'!F405=""),"",IF(AND('Avaliador 1'!F405='Avaliador 2'!F405,'Avaliador 1'!G405='Avaliador 2'!G405,'Avaliador 1'!H405='Avaliador 2'!H405,'Avaliador 1'!I405='Avaliador 2'!I405),"Não","Sim"))</f>
        <v/>
      </c>
      <c r="O405" s="14"/>
      <c r="P405" s="10" t="str">
        <f aca="false">IF(LEN(H405)=3,"Defeito encontrado",IF(I405="Sim","Falso alarme",IF(H405="—","Nenhum defeito apontado","")))</f>
        <v/>
      </c>
    </row>
    <row r="406" customFormat="false" ht="15" hidden="false" customHeight="false" outlineLevel="0" collapsed="false">
      <c r="A406" s="11" t="str">
        <f aca="false">Apontamentos!C406</f>
        <v/>
      </c>
      <c r="B406" s="11" t="str">
        <f aca="false">IF(Apontamentos!$C406="","",Apontamentos!A406&amp;"")</f>
        <v/>
      </c>
      <c r="C406" s="11" t="str">
        <f aca="false">IF(B406="","",IFERROR(INDEX(Execuções!$C$2:$C$97,MATCH(B406,Execuções!$A$2:$A$97,0)),"ID?"))</f>
        <v/>
      </c>
      <c r="D406" s="10" t="str">
        <f aca="false">IF(B406="","",IFERROR(INDEX(Execuções!$B$2:$B$97,MATCH(B406,Execuções!$A$2:$A$97,0)),"ID?"))</f>
        <v/>
      </c>
      <c r="E406" s="11" t="str">
        <f aca="false">IF(B406="","",Apontamentos!D406)</f>
        <v/>
      </c>
      <c r="F406" s="11" t="str">
        <f aca="false">IF(B406="","",Apontamentos!E406)</f>
        <v/>
      </c>
      <c r="G406" s="10" t="str">
        <f aca="false">IF(B406="","",Apontamentos!G406&amp;"")</f>
        <v/>
      </c>
      <c r="H406" s="14" t="str">
        <f aca="false">IF('Avaliador 1'!F406='Avaliador 2'!F406,'Avaliador 1'!F406&amp;"","")</f>
        <v/>
      </c>
      <c r="I406" s="14" t="str">
        <f aca="false">IF('Avaliador 1'!G406='Avaliador 2'!G406,'Avaliador 1'!G406&amp;"","")</f>
        <v/>
      </c>
      <c r="J406" s="14" t="str">
        <f aca="false">IF('Avaliador 1'!H406='Avaliador 2'!H406,'Avaliador 1'!H406&amp;"","")</f>
        <v/>
      </c>
      <c r="K406" s="14" t="str">
        <f aca="false">IF('Avaliador 1'!I406='Avaliador 2'!I406,'Avaliador 1'!I406&amp;"","")</f>
        <v/>
      </c>
      <c r="L406" s="13"/>
      <c r="M406" s="13" t="str">
        <f aca="false">IF('Avaliador 1'!J406='Avaliador 2'!J406,'Avaliador 1'!J406&amp;"","")</f>
        <v/>
      </c>
      <c r="N406" s="11" t="str">
        <f aca="false">IF(OR('Avaliador 1'!F406="",'Avaliador 2'!F406=""),"",IF(AND('Avaliador 1'!F406='Avaliador 2'!F406,'Avaliador 1'!G406='Avaliador 2'!G406,'Avaliador 1'!H406='Avaliador 2'!H406,'Avaliador 1'!I406='Avaliador 2'!I406),"Não","Sim"))</f>
        <v/>
      </c>
      <c r="O406" s="14"/>
      <c r="P406" s="10" t="str">
        <f aca="false">IF(LEN(H406)=3,"Defeito encontrado",IF(I406="Sim","Falso alarme",IF(H406="—","Nenhum defeito apontado","")))</f>
        <v/>
      </c>
    </row>
    <row r="407" customFormat="false" ht="15" hidden="false" customHeight="false" outlineLevel="0" collapsed="false">
      <c r="A407" s="11" t="str">
        <f aca="false">Apontamentos!C407</f>
        <v/>
      </c>
      <c r="B407" s="11" t="str">
        <f aca="false">IF(Apontamentos!$C407="","",Apontamentos!A407&amp;"")</f>
        <v/>
      </c>
      <c r="C407" s="11" t="str">
        <f aca="false">IF(B407="","",IFERROR(INDEX(Execuções!$C$2:$C$97,MATCH(B407,Execuções!$A$2:$A$97,0)),"ID?"))</f>
        <v/>
      </c>
      <c r="D407" s="10" t="str">
        <f aca="false">IF(B407="","",IFERROR(INDEX(Execuções!$B$2:$B$97,MATCH(B407,Execuções!$A$2:$A$97,0)),"ID?"))</f>
        <v/>
      </c>
      <c r="E407" s="11" t="str">
        <f aca="false">IF(B407="","",Apontamentos!D407)</f>
        <v/>
      </c>
      <c r="F407" s="11" t="str">
        <f aca="false">IF(B407="","",Apontamentos!E407)</f>
        <v/>
      </c>
      <c r="G407" s="10" t="str">
        <f aca="false">IF(B407="","",Apontamentos!G407&amp;"")</f>
        <v/>
      </c>
      <c r="H407" s="14" t="str">
        <f aca="false">IF('Avaliador 1'!F407='Avaliador 2'!F407,'Avaliador 1'!F407&amp;"","")</f>
        <v/>
      </c>
      <c r="I407" s="14" t="str">
        <f aca="false">IF('Avaliador 1'!G407='Avaliador 2'!G407,'Avaliador 1'!G407&amp;"","")</f>
        <v/>
      </c>
      <c r="J407" s="14" t="str">
        <f aca="false">IF('Avaliador 1'!H407='Avaliador 2'!H407,'Avaliador 1'!H407&amp;"","")</f>
        <v/>
      </c>
      <c r="K407" s="14" t="str">
        <f aca="false">IF('Avaliador 1'!I407='Avaliador 2'!I407,'Avaliador 1'!I407&amp;"","")</f>
        <v/>
      </c>
      <c r="L407" s="13"/>
      <c r="M407" s="13" t="str">
        <f aca="false">IF('Avaliador 1'!J407='Avaliador 2'!J407,'Avaliador 1'!J407&amp;"","")</f>
        <v/>
      </c>
      <c r="N407" s="11" t="str">
        <f aca="false">IF(OR('Avaliador 1'!F407="",'Avaliador 2'!F407=""),"",IF(AND('Avaliador 1'!F407='Avaliador 2'!F407,'Avaliador 1'!G407='Avaliador 2'!G407,'Avaliador 1'!H407='Avaliador 2'!H407,'Avaliador 1'!I407='Avaliador 2'!I407),"Não","Sim"))</f>
        <v/>
      </c>
      <c r="O407" s="14"/>
      <c r="P407" s="10" t="str">
        <f aca="false">IF(LEN(H407)=3,"Defeito encontrado",IF(I407="Sim","Falso alarme",IF(H407="—","Nenhum defeito apontado","")))</f>
        <v/>
      </c>
    </row>
    <row r="408" customFormat="false" ht="15" hidden="false" customHeight="false" outlineLevel="0" collapsed="false">
      <c r="A408" s="11" t="str">
        <f aca="false">Apontamentos!C408</f>
        <v/>
      </c>
      <c r="B408" s="11" t="str">
        <f aca="false">IF(Apontamentos!$C408="","",Apontamentos!A408&amp;"")</f>
        <v/>
      </c>
      <c r="C408" s="11" t="str">
        <f aca="false">IF(B408="","",IFERROR(INDEX(Execuções!$C$2:$C$97,MATCH(B408,Execuções!$A$2:$A$97,0)),"ID?"))</f>
        <v/>
      </c>
      <c r="D408" s="10" t="str">
        <f aca="false">IF(B408="","",IFERROR(INDEX(Execuções!$B$2:$B$97,MATCH(B408,Execuções!$A$2:$A$97,0)),"ID?"))</f>
        <v/>
      </c>
      <c r="E408" s="11" t="str">
        <f aca="false">IF(B408="","",Apontamentos!D408)</f>
        <v/>
      </c>
      <c r="F408" s="11" t="str">
        <f aca="false">IF(B408="","",Apontamentos!E408)</f>
        <v/>
      </c>
      <c r="G408" s="10" t="str">
        <f aca="false">IF(B408="","",Apontamentos!G408&amp;"")</f>
        <v/>
      </c>
      <c r="H408" s="14" t="str">
        <f aca="false">IF('Avaliador 1'!F408='Avaliador 2'!F408,'Avaliador 1'!F408&amp;"","")</f>
        <v/>
      </c>
      <c r="I408" s="14" t="str">
        <f aca="false">IF('Avaliador 1'!G408='Avaliador 2'!G408,'Avaliador 1'!G408&amp;"","")</f>
        <v/>
      </c>
      <c r="J408" s="14" t="str">
        <f aca="false">IF('Avaliador 1'!H408='Avaliador 2'!H408,'Avaliador 1'!H408&amp;"","")</f>
        <v/>
      </c>
      <c r="K408" s="14" t="str">
        <f aca="false">IF('Avaliador 1'!I408='Avaliador 2'!I408,'Avaliador 1'!I408&amp;"","")</f>
        <v/>
      </c>
      <c r="L408" s="13"/>
      <c r="M408" s="13" t="str">
        <f aca="false">IF('Avaliador 1'!J408='Avaliador 2'!J408,'Avaliador 1'!J408&amp;"","")</f>
        <v/>
      </c>
      <c r="N408" s="11" t="str">
        <f aca="false">IF(OR('Avaliador 1'!F408="",'Avaliador 2'!F408=""),"",IF(AND('Avaliador 1'!F408='Avaliador 2'!F408,'Avaliador 1'!G408='Avaliador 2'!G408,'Avaliador 1'!H408='Avaliador 2'!H408,'Avaliador 1'!I408='Avaliador 2'!I408),"Não","Sim"))</f>
        <v/>
      </c>
      <c r="O408" s="14"/>
      <c r="P408" s="10" t="str">
        <f aca="false">IF(LEN(H408)=3,"Defeito encontrado",IF(I408="Sim","Falso alarme",IF(H408="—","Nenhum defeito apontado","")))</f>
        <v/>
      </c>
    </row>
    <row r="409" customFormat="false" ht="15" hidden="false" customHeight="false" outlineLevel="0" collapsed="false">
      <c r="A409" s="11" t="str">
        <f aca="false">Apontamentos!C409</f>
        <v/>
      </c>
      <c r="B409" s="11" t="str">
        <f aca="false">IF(Apontamentos!$C409="","",Apontamentos!A409&amp;"")</f>
        <v/>
      </c>
      <c r="C409" s="11" t="str">
        <f aca="false">IF(B409="","",IFERROR(INDEX(Execuções!$C$2:$C$97,MATCH(B409,Execuções!$A$2:$A$97,0)),"ID?"))</f>
        <v/>
      </c>
      <c r="D409" s="10" t="str">
        <f aca="false">IF(B409="","",IFERROR(INDEX(Execuções!$B$2:$B$97,MATCH(B409,Execuções!$A$2:$A$97,0)),"ID?"))</f>
        <v/>
      </c>
      <c r="E409" s="11" t="str">
        <f aca="false">IF(B409="","",Apontamentos!D409)</f>
        <v/>
      </c>
      <c r="F409" s="11" t="str">
        <f aca="false">IF(B409="","",Apontamentos!E409)</f>
        <v/>
      </c>
      <c r="G409" s="10" t="str">
        <f aca="false">IF(B409="","",Apontamentos!G409&amp;"")</f>
        <v/>
      </c>
      <c r="H409" s="14" t="str">
        <f aca="false">IF('Avaliador 1'!F409='Avaliador 2'!F409,'Avaliador 1'!F409&amp;"","")</f>
        <v/>
      </c>
      <c r="I409" s="14" t="str">
        <f aca="false">IF('Avaliador 1'!G409='Avaliador 2'!G409,'Avaliador 1'!G409&amp;"","")</f>
        <v/>
      </c>
      <c r="J409" s="14" t="str">
        <f aca="false">IF('Avaliador 1'!H409='Avaliador 2'!H409,'Avaliador 1'!H409&amp;"","")</f>
        <v/>
      </c>
      <c r="K409" s="14" t="str">
        <f aca="false">IF('Avaliador 1'!I409='Avaliador 2'!I409,'Avaliador 1'!I409&amp;"","")</f>
        <v/>
      </c>
      <c r="L409" s="13"/>
      <c r="M409" s="13" t="str">
        <f aca="false">IF('Avaliador 1'!J409='Avaliador 2'!J409,'Avaliador 1'!J409&amp;"","")</f>
        <v/>
      </c>
      <c r="N409" s="11" t="str">
        <f aca="false">IF(OR('Avaliador 1'!F409="",'Avaliador 2'!F409=""),"",IF(AND('Avaliador 1'!F409='Avaliador 2'!F409,'Avaliador 1'!G409='Avaliador 2'!G409,'Avaliador 1'!H409='Avaliador 2'!H409,'Avaliador 1'!I409='Avaliador 2'!I409),"Não","Sim"))</f>
        <v/>
      </c>
      <c r="O409" s="14"/>
      <c r="P409" s="10" t="str">
        <f aca="false">IF(LEN(H409)=3,"Defeito encontrado",IF(I409="Sim","Falso alarme",IF(H409="—","Nenhum defeito apontado","")))</f>
        <v/>
      </c>
    </row>
    <row r="410" customFormat="false" ht="15" hidden="false" customHeight="false" outlineLevel="0" collapsed="false">
      <c r="A410" s="11" t="str">
        <f aca="false">Apontamentos!C410</f>
        <v/>
      </c>
      <c r="B410" s="11" t="str">
        <f aca="false">IF(Apontamentos!$C410="","",Apontamentos!A410&amp;"")</f>
        <v/>
      </c>
      <c r="C410" s="11" t="str">
        <f aca="false">IF(B410="","",IFERROR(INDEX(Execuções!$C$2:$C$97,MATCH(B410,Execuções!$A$2:$A$97,0)),"ID?"))</f>
        <v/>
      </c>
      <c r="D410" s="10" t="str">
        <f aca="false">IF(B410="","",IFERROR(INDEX(Execuções!$B$2:$B$97,MATCH(B410,Execuções!$A$2:$A$97,0)),"ID?"))</f>
        <v/>
      </c>
      <c r="E410" s="11" t="str">
        <f aca="false">IF(B410="","",Apontamentos!D410)</f>
        <v/>
      </c>
      <c r="F410" s="11" t="str">
        <f aca="false">IF(B410="","",Apontamentos!E410)</f>
        <v/>
      </c>
      <c r="G410" s="10" t="str">
        <f aca="false">IF(B410="","",Apontamentos!G410&amp;"")</f>
        <v/>
      </c>
      <c r="H410" s="14" t="str">
        <f aca="false">IF('Avaliador 1'!F410='Avaliador 2'!F410,'Avaliador 1'!F410&amp;"","")</f>
        <v/>
      </c>
      <c r="I410" s="14" t="str">
        <f aca="false">IF('Avaliador 1'!G410='Avaliador 2'!G410,'Avaliador 1'!G410&amp;"","")</f>
        <v/>
      </c>
      <c r="J410" s="14" t="str">
        <f aca="false">IF('Avaliador 1'!H410='Avaliador 2'!H410,'Avaliador 1'!H410&amp;"","")</f>
        <v/>
      </c>
      <c r="K410" s="14" t="str">
        <f aca="false">IF('Avaliador 1'!I410='Avaliador 2'!I410,'Avaliador 1'!I410&amp;"","")</f>
        <v/>
      </c>
      <c r="L410" s="13"/>
      <c r="M410" s="13" t="str">
        <f aca="false">IF('Avaliador 1'!J410='Avaliador 2'!J410,'Avaliador 1'!J410&amp;"","")</f>
        <v/>
      </c>
      <c r="N410" s="11" t="str">
        <f aca="false">IF(OR('Avaliador 1'!F410="",'Avaliador 2'!F410=""),"",IF(AND('Avaliador 1'!F410='Avaliador 2'!F410,'Avaliador 1'!G410='Avaliador 2'!G410,'Avaliador 1'!H410='Avaliador 2'!H410,'Avaliador 1'!I410='Avaliador 2'!I410),"Não","Sim"))</f>
        <v/>
      </c>
      <c r="O410" s="14"/>
      <c r="P410" s="10" t="str">
        <f aca="false">IF(LEN(H410)=3,"Defeito encontrado",IF(I410="Sim","Falso alarme",IF(H410="—","Nenhum defeito apontado","")))</f>
        <v/>
      </c>
    </row>
    <row r="411" customFormat="false" ht="15" hidden="false" customHeight="false" outlineLevel="0" collapsed="false">
      <c r="A411" s="11" t="str">
        <f aca="false">Apontamentos!C411</f>
        <v/>
      </c>
      <c r="B411" s="11" t="str">
        <f aca="false">IF(Apontamentos!$C411="","",Apontamentos!A411&amp;"")</f>
        <v/>
      </c>
      <c r="C411" s="11" t="str">
        <f aca="false">IF(B411="","",IFERROR(INDEX(Execuções!$C$2:$C$97,MATCH(B411,Execuções!$A$2:$A$97,0)),"ID?"))</f>
        <v/>
      </c>
      <c r="D411" s="10" t="str">
        <f aca="false">IF(B411="","",IFERROR(INDEX(Execuções!$B$2:$B$97,MATCH(B411,Execuções!$A$2:$A$97,0)),"ID?"))</f>
        <v/>
      </c>
      <c r="E411" s="11" t="str">
        <f aca="false">IF(B411="","",Apontamentos!D411)</f>
        <v/>
      </c>
      <c r="F411" s="11" t="str">
        <f aca="false">IF(B411="","",Apontamentos!E411)</f>
        <v/>
      </c>
      <c r="G411" s="10" t="str">
        <f aca="false">IF(B411="","",Apontamentos!G411&amp;"")</f>
        <v/>
      </c>
      <c r="H411" s="14" t="str">
        <f aca="false">IF('Avaliador 1'!F411='Avaliador 2'!F411,'Avaliador 1'!F411&amp;"","")</f>
        <v/>
      </c>
      <c r="I411" s="14" t="str">
        <f aca="false">IF('Avaliador 1'!G411='Avaliador 2'!G411,'Avaliador 1'!G411&amp;"","")</f>
        <v/>
      </c>
      <c r="J411" s="14" t="str">
        <f aca="false">IF('Avaliador 1'!H411='Avaliador 2'!H411,'Avaliador 1'!H411&amp;"","")</f>
        <v/>
      </c>
      <c r="K411" s="14" t="str">
        <f aca="false">IF('Avaliador 1'!I411='Avaliador 2'!I411,'Avaliador 1'!I411&amp;"","")</f>
        <v/>
      </c>
      <c r="L411" s="13"/>
      <c r="M411" s="13" t="str">
        <f aca="false">IF('Avaliador 1'!J411='Avaliador 2'!J411,'Avaliador 1'!J411&amp;"","")</f>
        <v/>
      </c>
      <c r="N411" s="11" t="str">
        <f aca="false">IF(OR('Avaliador 1'!F411="",'Avaliador 2'!F411=""),"",IF(AND('Avaliador 1'!F411='Avaliador 2'!F411,'Avaliador 1'!G411='Avaliador 2'!G411,'Avaliador 1'!H411='Avaliador 2'!H411,'Avaliador 1'!I411='Avaliador 2'!I411),"Não","Sim"))</f>
        <v/>
      </c>
      <c r="O411" s="14"/>
      <c r="P411" s="10" t="str">
        <f aca="false">IF(LEN(H411)=3,"Defeito encontrado",IF(I411="Sim","Falso alarme",IF(H411="—","Nenhum defeito apontado","")))</f>
        <v/>
      </c>
    </row>
    <row r="412" customFormat="false" ht="15" hidden="false" customHeight="false" outlineLevel="0" collapsed="false">
      <c r="A412" s="11" t="str">
        <f aca="false">Apontamentos!C412</f>
        <v/>
      </c>
      <c r="B412" s="11" t="str">
        <f aca="false">IF(Apontamentos!$C412="","",Apontamentos!A412&amp;"")</f>
        <v/>
      </c>
      <c r="C412" s="11" t="str">
        <f aca="false">IF(B412="","",IFERROR(INDEX(Execuções!$C$2:$C$97,MATCH(B412,Execuções!$A$2:$A$97,0)),"ID?"))</f>
        <v/>
      </c>
      <c r="D412" s="10" t="str">
        <f aca="false">IF(B412="","",IFERROR(INDEX(Execuções!$B$2:$B$97,MATCH(B412,Execuções!$A$2:$A$97,0)),"ID?"))</f>
        <v/>
      </c>
      <c r="E412" s="11" t="str">
        <f aca="false">IF(B412="","",Apontamentos!D412)</f>
        <v/>
      </c>
      <c r="F412" s="11" t="str">
        <f aca="false">IF(B412="","",Apontamentos!E412)</f>
        <v/>
      </c>
      <c r="G412" s="10" t="str">
        <f aca="false">IF(B412="","",Apontamentos!G412&amp;"")</f>
        <v/>
      </c>
      <c r="H412" s="14" t="str">
        <f aca="false">IF('Avaliador 1'!F412='Avaliador 2'!F412,'Avaliador 1'!F412&amp;"","")</f>
        <v/>
      </c>
      <c r="I412" s="14" t="str">
        <f aca="false">IF('Avaliador 1'!G412='Avaliador 2'!G412,'Avaliador 1'!G412&amp;"","")</f>
        <v/>
      </c>
      <c r="J412" s="14" t="str">
        <f aca="false">IF('Avaliador 1'!H412='Avaliador 2'!H412,'Avaliador 1'!H412&amp;"","")</f>
        <v/>
      </c>
      <c r="K412" s="14" t="str">
        <f aca="false">IF('Avaliador 1'!I412='Avaliador 2'!I412,'Avaliador 1'!I412&amp;"","")</f>
        <v/>
      </c>
      <c r="L412" s="13"/>
      <c r="M412" s="13" t="str">
        <f aca="false">IF('Avaliador 1'!J412='Avaliador 2'!J412,'Avaliador 1'!J412&amp;"","")</f>
        <v/>
      </c>
      <c r="N412" s="11" t="str">
        <f aca="false">IF(OR('Avaliador 1'!F412="",'Avaliador 2'!F412=""),"",IF(AND('Avaliador 1'!F412='Avaliador 2'!F412,'Avaliador 1'!G412='Avaliador 2'!G412,'Avaliador 1'!H412='Avaliador 2'!H412,'Avaliador 1'!I412='Avaliador 2'!I412),"Não","Sim"))</f>
        <v/>
      </c>
      <c r="O412" s="14"/>
      <c r="P412" s="10" t="str">
        <f aca="false">IF(LEN(H412)=3,"Defeito encontrado",IF(I412="Sim","Falso alarme",IF(H412="—","Nenhum defeito apontado","")))</f>
        <v/>
      </c>
    </row>
    <row r="413" customFormat="false" ht="15" hidden="false" customHeight="false" outlineLevel="0" collapsed="false">
      <c r="A413" s="11" t="str">
        <f aca="false">Apontamentos!C413</f>
        <v/>
      </c>
      <c r="B413" s="11" t="str">
        <f aca="false">IF(Apontamentos!$C413="","",Apontamentos!A413&amp;"")</f>
        <v/>
      </c>
      <c r="C413" s="11" t="str">
        <f aca="false">IF(B413="","",IFERROR(INDEX(Execuções!$C$2:$C$97,MATCH(B413,Execuções!$A$2:$A$97,0)),"ID?"))</f>
        <v/>
      </c>
      <c r="D413" s="10" t="str">
        <f aca="false">IF(B413="","",IFERROR(INDEX(Execuções!$B$2:$B$97,MATCH(B413,Execuções!$A$2:$A$97,0)),"ID?"))</f>
        <v/>
      </c>
      <c r="E413" s="11" t="str">
        <f aca="false">IF(B413="","",Apontamentos!D413)</f>
        <v/>
      </c>
      <c r="F413" s="11" t="str">
        <f aca="false">IF(B413="","",Apontamentos!E413)</f>
        <v/>
      </c>
      <c r="G413" s="10" t="str">
        <f aca="false">IF(B413="","",Apontamentos!G413&amp;"")</f>
        <v/>
      </c>
      <c r="H413" s="14" t="str">
        <f aca="false">IF('Avaliador 1'!F413='Avaliador 2'!F413,'Avaliador 1'!F413&amp;"","")</f>
        <v/>
      </c>
      <c r="I413" s="14" t="str">
        <f aca="false">IF('Avaliador 1'!G413='Avaliador 2'!G413,'Avaliador 1'!G413&amp;"","")</f>
        <v/>
      </c>
      <c r="J413" s="14" t="str">
        <f aca="false">IF('Avaliador 1'!H413='Avaliador 2'!H413,'Avaliador 1'!H413&amp;"","")</f>
        <v/>
      </c>
      <c r="K413" s="14" t="str">
        <f aca="false">IF('Avaliador 1'!I413='Avaliador 2'!I413,'Avaliador 1'!I413&amp;"","")</f>
        <v/>
      </c>
      <c r="L413" s="13"/>
      <c r="M413" s="13" t="str">
        <f aca="false">IF('Avaliador 1'!J413='Avaliador 2'!J413,'Avaliador 1'!J413&amp;"","")</f>
        <v/>
      </c>
      <c r="N413" s="11" t="str">
        <f aca="false">IF(OR('Avaliador 1'!F413="",'Avaliador 2'!F413=""),"",IF(AND('Avaliador 1'!F413='Avaliador 2'!F413,'Avaliador 1'!G413='Avaliador 2'!G413,'Avaliador 1'!H413='Avaliador 2'!H413,'Avaliador 1'!I413='Avaliador 2'!I413),"Não","Sim"))</f>
        <v/>
      </c>
      <c r="O413" s="14"/>
      <c r="P413" s="10" t="str">
        <f aca="false">IF(LEN(H413)=3,"Defeito encontrado",IF(I413="Sim","Falso alarme",IF(H413="—","Nenhum defeito apontado","")))</f>
        <v/>
      </c>
    </row>
    <row r="414" customFormat="false" ht="15" hidden="false" customHeight="false" outlineLevel="0" collapsed="false">
      <c r="A414" s="11" t="str">
        <f aca="false">Apontamentos!C414</f>
        <v/>
      </c>
      <c r="B414" s="11" t="str">
        <f aca="false">IF(Apontamentos!$C414="","",Apontamentos!A414&amp;"")</f>
        <v/>
      </c>
      <c r="C414" s="11" t="str">
        <f aca="false">IF(B414="","",IFERROR(INDEX(Execuções!$C$2:$C$97,MATCH(B414,Execuções!$A$2:$A$97,0)),"ID?"))</f>
        <v/>
      </c>
      <c r="D414" s="10" t="str">
        <f aca="false">IF(B414="","",IFERROR(INDEX(Execuções!$B$2:$B$97,MATCH(B414,Execuções!$A$2:$A$97,0)),"ID?"))</f>
        <v/>
      </c>
      <c r="E414" s="11" t="str">
        <f aca="false">IF(B414="","",Apontamentos!D414)</f>
        <v/>
      </c>
      <c r="F414" s="11" t="str">
        <f aca="false">IF(B414="","",Apontamentos!E414)</f>
        <v/>
      </c>
      <c r="G414" s="10" t="str">
        <f aca="false">IF(B414="","",Apontamentos!G414&amp;"")</f>
        <v/>
      </c>
      <c r="H414" s="14" t="str">
        <f aca="false">IF('Avaliador 1'!F414='Avaliador 2'!F414,'Avaliador 1'!F414&amp;"","")</f>
        <v/>
      </c>
      <c r="I414" s="14" t="str">
        <f aca="false">IF('Avaliador 1'!G414='Avaliador 2'!G414,'Avaliador 1'!G414&amp;"","")</f>
        <v/>
      </c>
      <c r="J414" s="14" t="str">
        <f aca="false">IF('Avaliador 1'!H414='Avaliador 2'!H414,'Avaliador 1'!H414&amp;"","")</f>
        <v/>
      </c>
      <c r="K414" s="14" t="str">
        <f aca="false">IF('Avaliador 1'!I414='Avaliador 2'!I414,'Avaliador 1'!I414&amp;"","")</f>
        <v/>
      </c>
      <c r="L414" s="13"/>
      <c r="M414" s="13" t="str">
        <f aca="false">IF('Avaliador 1'!J414='Avaliador 2'!J414,'Avaliador 1'!J414&amp;"","")</f>
        <v/>
      </c>
      <c r="N414" s="11" t="str">
        <f aca="false">IF(OR('Avaliador 1'!F414="",'Avaliador 2'!F414=""),"",IF(AND('Avaliador 1'!F414='Avaliador 2'!F414,'Avaliador 1'!G414='Avaliador 2'!G414,'Avaliador 1'!H414='Avaliador 2'!H414,'Avaliador 1'!I414='Avaliador 2'!I414),"Não","Sim"))</f>
        <v/>
      </c>
      <c r="O414" s="14"/>
      <c r="P414" s="10" t="str">
        <f aca="false">IF(LEN(H414)=3,"Defeito encontrado",IF(I414="Sim","Falso alarme",IF(H414="—","Nenhum defeito apontado","")))</f>
        <v/>
      </c>
    </row>
    <row r="415" customFormat="false" ht="15" hidden="false" customHeight="false" outlineLevel="0" collapsed="false">
      <c r="A415" s="11" t="str">
        <f aca="false">Apontamentos!C415</f>
        <v/>
      </c>
      <c r="B415" s="11" t="str">
        <f aca="false">IF(Apontamentos!$C415="","",Apontamentos!A415&amp;"")</f>
        <v/>
      </c>
      <c r="C415" s="11" t="str">
        <f aca="false">IF(B415="","",IFERROR(INDEX(Execuções!$C$2:$C$97,MATCH(B415,Execuções!$A$2:$A$97,0)),"ID?"))</f>
        <v/>
      </c>
      <c r="D415" s="10" t="str">
        <f aca="false">IF(B415="","",IFERROR(INDEX(Execuções!$B$2:$B$97,MATCH(B415,Execuções!$A$2:$A$97,0)),"ID?"))</f>
        <v/>
      </c>
      <c r="E415" s="11" t="str">
        <f aca="false">IF(B415="","",Apontamentos!D415)</f>
        <v/>
      </c>
      <c r="F415" s="11" t="str">
        <f aca="false">IF(B415="","",Apontamentos!E415)</f>
        <v/>
      </c>
      <c r="G415" s="10" t="str">
        <f aca="false">IF(B415="","",Apontamentos!G415&amp;"")</f>
        <v/>
      </c>
      <c r="H415" s="14" t="str">
        <f aca="false">IF('Avaliador 1'!F415='Avaliador 2'!F415,'Avaliador 1'!F415&amp;"","")</f>
        <v/>
      </c>
      <c r="I415" s="14" t="str">
        <f aca="false">IF('Avaliador 1'!G415='Avaliador 2'!G415,'Avaliador 1'!G415&amp;"","")</f>
        <v/>
      </c>
      <c r="J415" s="14" t="str">
        <f aca="false">IF('Avaliador 1'!H415='Avaliador 2'!H415,'Avaliador 1'!H415&amp;"","")</f>
        <v/>
      </c>
      <c r="K415" s="14" t="str">
        <f aca="false">IF('Avaliador 1'!I415='Avaliador 2'!I415,'Avaliador 1'!I415&amp;"","")</f>
        <v/>
      </c>
      <c r="L415" s="13"/>
      <c r="M415" s="13" t="str">
        <f aca="false">IF('Avaliador 1'!J415='Avaliador 2'!J415,'Avaliador 1'!J415&amp;"","")</f>
        <v/>
      </c>
      <c r="N415" s="11" t="str">
        <f aca="false">IF(OR('Avaliador 1'!F415="",'Avaliador 2'!F415=""),"",IF(AND('Avaliador 1'!F415='Avaliador 2'!F415,'Avaliador 1'!G415='Avaliador 2'!G415,'Avaliador 1'!H415='Avaliador 2'!H415,'Avaliador 1'!I415='Avaliador 2'!I415),"Não","Sim"))</f>
        <v/>
      </c>
      <c r="O415" s="14"/>
      <c r="P415" s="10" t="str">
        <f aca="false">IF(LEN(H415)=3,"Defeito encontrado",IF(I415="Sim","Falso alarme",IF(H415="—","Nenhum defeito apontado","")))</f>
        <v/>
      </c>
    </row>
    <row r="416" customFormat="false" ht="15" hidden="false" customHeight="false" outlineLevel="0" collapsed="false">
      <c r="A416" s="11" t="str">
        <f aca="false">Apontamentos!C416</f>
        <v/>
      </c>
      <c r="B416" s="11" t="str">
        <f aca="false">IF(Apontamentos!$C416="","",Apontamentos!A416&amp;"")</f>
        <v/>
      </c>
      <c r="C416" s="11" t="str">
        <f aca="false">IF(B416="","",IFERROR(INDEX(Execuções!$C$2:$C$97,MATCH(B416,Execuções!$A$2:$A$97,0)),"ID?"))</f>
        <v/>
      </c>
      <c r="D416" s="10" t="str">
        <f aca="false">IF(B416="","",IFERROR(INDEX(Execuções!$B$2:$B$97,MATCH(B416,Execuções!$A$2:$A$97,0)),"ID?"))</f>
        <v/>
      </c>
      <c r="E416" s="11" t="str">
        <f aca="false">IF(B416="","",Apontamentos!D416)</f>
        <v/>
      </c>
      <c r="F416" s="11" t="str">
        <f aca="false">IF(B416="","",Apontamentos!E416)</f>
        <v/>
      </c>
      <c r="G416" s="10" t="str">
        <f aca="false">IF(B416="","",Apontamentos!G416&amp;"")</f>
        <v/>
      </c>
      <c r="H416" s="14" t="str">
        <f aca="false">IF('Avaliador 1'!F416='Avaliador 2'!F416,'Avaliador 1'!F416&amp;"","")</f>
        <v/>
      </c>
      <c r="I416" s="14" t="str">
        <f aca="false">IF('Avaliador 1'!G416='Avaliador 2'!G416,'Avaliador 1'!G416&amp;"","")</f>
        <v/>
      </c>
      <c r="J416" s="14" t="str">
        <f aca="false">IF('Avaliador 1'!H416='Avaliador 2'!H416,'Avaliador 1'!H416&amp;"","")</f>
        <v/>
      </c>
      <c r="K416" s="14" t="str">
        <f aca="false">IF('Avaliador 1'!I416='Avaliador 2'!I416,'Avaliador 1'!I416&amp;"","")</f>
        <v/>
      </c>
      <c r="L416" s="13"/>
      <c r="M416" s="13" t="str">
        <f aca="false">IF('Avaliador 1'!J416='Avaliador 2'!J416,'Avaliador 1'!J416&amp;"","")</f>
        <v/>
      </c>
      <c r="N416" s="11" t="str">
        <f aca="false">IF(OR('Avaliador 1'!F416="",'Avaliador 2'!F416=""),"",IF(AND('Avaliador 1'!F416='Avaliador 2'!F416,'Avaliador 1'!G416='Avaliador 2'!G416,'Avaliador 1'!H416='Avaliador 2'!H416,'Avaliador 1'!I416='Avaliador 2'!I416),"Não","Sim"))</f>
        <v/>
      </c>
      <c r="O416" s="14"/>
      <c r="P416" s="10" t="str">
        <f aca="false">IF(LEN(H416)=3,"Defeito encontrado",IF(I416="Sim","Falso alarme",IF(H416="—","Nenhum defeito apontado","")))</f>
        <v/>
      </c>
    </row>
    <row r="417" customFormat="false" ht="15" hidden="false" customHeight="false" outlineLevel="0" collapsed="false">
      <c r="A417" s="11" t="str">
        <f aca="false">Apontamentos!C417</f>
        <v/>
      </c>
      <c r="B417" s="11" t="str">
        <f aca="false">IF(Apontamentos!$C417="","",Apontamentos!A417&amp;"")</f>
        <v/>
      </c>
      <c r="C417" s="11" t="str">
        <f aca="false">IF(B417="","",IFERROR(INDEX(Execuções!$C$2:$C$97,MATCH(B417,Execuções!$A$2:$A$97,0)),"ID?"))</f>
        <v/>
      </c>
      <c r="D417" s="10" t="str">
        <f aca="false">IF(B417="","",IFERROR(INDEX(Execuções!$B$2:$B$97,MATCH(B417,Execuções!$A$2:$A$97,0)),"ID?"))</f>
        <v/>
      </c>
      <c r="E417" s="11" t="str">
        <f aca="false">IF(B417="","",Apontamentos!D417)</f>
        <v/>
      </c>
      <c r="F417" s="11" t="str">
        <f aca="false">IF(B417="","",Apontamentos!E417)</f>
        <v/>
      </c>
      <c r="G417" s="10" t="str">
        <f aca="false">IF(B417="","",Apontamentos!G417&amp;"")</f>
        <v/>
      </c>
      <c r="H417" s="14" t="str">
        <f aca="false">IF('Avaliador 1'!F417='Avaliador 2'!F417,'Avaliador 1'!F417&amp;"","")</f>
        <v/>
      </c>
      <c r="I417" s="14" t="str">
        <f aca="false">IF('Avaliador 1'!G417='Avaliador 2'!G417,'Avaliador 1'!G417&amp;"","")</f>
        <v/>
      </c>
      <c r="J417" s="14" t="str">
        <f aca="false">IF('Avaliador 1'!H417='Avaliador 2'!H417,'Avaliador 1'!H417&amp;"","")</f>
        <v/>
      </c>
      <c r="K417" s="14" t="str">
        <f aca="false">IF('Avaliador 1'!I417='Avaliador 2'!I417,'Avaliador 1'!I417&amp;"","")</f>
        <v/>
      </c>
      <c r="L417" s="13"/>
      <c r="M417" s="13" t="str">
        <f aca="false">IF('Avaliador 1'!J417='Avaliador 2'!J417,'Avaliador 1'!J417&amp;"","")</f>
        <v/>
      </c>
      <c r="N417" s="11" t="str">
        <f aca="false">IF(OR('Avaliador 1'!F417="",'Avaliador 2'!F417=""),"",IF(AND('Avaliador 1'!F417='Avaliador 2'!F417,'Avaliador 1'!G417='Avaliador 2'!G417,'Avaliador 1'!H417='Avaliador 2'!H417,'Avaliador 1'!I417='Avaliador 2'!I417),"Não","Sim"))</f>
        <v/>
      </c>
      <c r="O417" s="14"/>
      <c r="P417" s="10" t="str">
        <f aca="false">IF(LEN(H417)=3,"Defeito encontrado",IF(I417="Sim","Falso alarme",IF(H417="—","Nenhum defeito apontado","")))</f>
        <v/>
      </c>
    </row>
    <row r="418" customFormat="false" ht="15" hidden="false" customHeight="false" outlineLevel="0" collapsed="false">
      <c r="A418" s="11" t="str">
        <f aca="false">Apontamentos!C418</f>
        <v/>
      </c>
      <c r="B418" s="11" t="str">
        <f aca="false">IF(Apontamentos!$C418="","",Apontamentos!A418&amp;"")</f>
        <v/>
      </c>
      <c r="C418" s="11" t="str">
        <f aca="false">IF(B418="","",IFERROR(INDEX(Execuções!$C$2:$C$97,MATCH(B418,Execuções!$A$2:$A$97,0)),"ID?"))</f>
        <v/>
      </c>
      <c r="D418" s="10" t="str">
        <f aca="false">IF(B418="","",IFERROR(INDEX(Execuções!$B$2:$B$97,MATCH(B418,Execuções!$A$2:$A$97,0)),"ID?"))</f>
        <v/>
      </c>
      <c r="E418" s="11" t="str">
        <f aca="false">IF(B418="","",Apontamentos!D418)</f>
        <v/>
      </c>
      <c r="F418" s="11" t="str">
        <f aca="false">IF(B418="","",Apontamentos!E418)</f>
        <v/>
      </c>
      <c r="G418" s="10" t="str">
        <f aca="false">IF(B418="","",Apontamentos!G418&amp;"")</f>
        <v/>
      </c>
      <c r="H418" s="14" t="str">
        <f aca="false">IF('Avaliador 1'!F418='Avaliador 2'!F418,'Avaliador 1'!F418&amp;"","")</f>
        <v/>
      </c>
      <c r="I418" s="14" t="str">
        <f aca="false">IF('Avaliador 1'!G418='Avaliador 2'!G418,'Avaliador 1'!G418&amp;"","")</f>
        <v/>
      </c>
      <c r="J418" s="14" t="str">
        <f aca="false">IF('Avaliador 1'!H418='Avaliador 2'!H418,'Avaliador 1'!H418&amp;"","")</f>
        <v/>
      </c>
      <c r="K418" s="14" t="str">
        <f aca="false">IF('Avaliador 1'!I418='Avaliador 2'!I418,'Avaliador 1'!I418&amp;"","")</f>
        <v/>
      </c>
      <c r="L418" s="13"/>
      <c r="M418" s="13" t="str">
        <f aca="false">IF('Avaliador 1'!J418='Avaliador 2'!J418,'Avaliador 1'!J418&amp;"","")</f>
        <v/>
      </c>
      <c r="N418" s="11" t="str">
        <f aca="false">IF(OR('Avaliador 1'!F418="",'Avaliador 2'!F418=""),"",IF(AND('Avaliador 1'!F418='Avaliador 2'!F418,'Avaliador 1'!G418='Avaliador 2'!G418,'Avaliador 1'!H418='Avaliador 2'!H418,'Avaliador 1'!I418='Avaliador 2'!I418),"Não","Sim"))</f>
        <v/>
      </c>
      <c r="O418" s="14"/>
      <c r="P418" s="10" t="str">
        <f aca="false">IF(LEN(H418)=3,"Defeito encontrado",IF(I418="Sim","Falso alarme",IF(H418="—","Nenhum defeito apontado","")))</f>
        <v/>
      </c>
    </row>
    <row r="419" customFormat="false" ht="15" hidden="false" customHeight="false" outlineLevel="0" collapsed="false">
      <c r="A419" s="11" t="str">
        <f aca="false">Apontamentos!C419</f>
        <v/>
      </c>
      <c r="B419" s="11" t="str">
        <f aca="false">IF(Apontamentos!$C419="","",Apontamentos!A419&amp;"")</f>
        <v/>
      </c>
      <c r="C419" s="11" t="str">
        <f aca="false">IF(B419="","",IFERROR(INDEX(Execuções!$C$2:$C$97,MATCH(B419,Execuções!$A$2:$A$97,0)),"ID?"))</f>
        <v/>
      </c>
      <c r="D419" s="10" t="str">
        <f aca="false">IF(B419="","",IFERROR(INDEX(Execuções!$B$2:$B$97,MATCH(B419,Execuções!$A$2:$A$97,0)),"ID?"))</f>
        <v/>
      </c>
      <c r="E419" s="11" t="str">
        <f aca="false">IF(B419="","",Apontamentos!D419)</f>
        <v/>
      </c>
      <c r="F419" s="11" t="str">
        <f aca="false">IF(B419="","",Apontamentos!E419)</f>
        <v/>
      </c>
      <c r="G419" s="10" t="str">
        <f aca="false">IF(B419="","",Apontamentos!G419&amp;"")</f>
        <v/>
      </c>
      <c r="H419" s="14" t="str">
        <f aca="false">IF('Avaliador 1'!F419='Avaliador 2'!F419,'Avaliador 1'!F419&amp;"","")</f>
        <v/>
      </c>
      <c r="I419" s="14" t="str">
        <f aca="false">IF('Avaliador 1'!G419='Avaliador 2'!G419,'Avaliador 1'!G419&amp;"","")</f>
        <v/>
      </c>
      <c r="J419" s="14" t="str">
        <f aca="false">IF('Avaliador 1'!H419='Avaliador 2'!H419,'Avaliador 1'!H419&amp;"","")</f>
        <v/>
      </c>
      <c r="K419" s="14" t="str">
        <f aca="false">IF('Avaliador 1'!I419='Avaliador 2'!I419,'Avaliador 1'!I419&amp;"","")</f>
        <v/>
      </c>
      <c r="L419" s="13"/>
      <c r="M419" s="13" t="str">
        <f aca="false">IF('Avaliador 1'!J419='Avaliador 2'!J419,'Avaliador 1'!J419&amp;"","")</f>
        <v/>
      </c>
      <c r="N419" s="11" t="str">
        <f aca="false">IF(OR('Avaliador 1'!F419="",'Avaliador 2'!F419=""),"",IF(AND('Avaliador 1'!F419='Avaliador 2'!F419,'Avaliador 1'!G419='Avaliador 2'!G419,'Avaliador 1'!H419='Avaliador 2'!H419,'Avaliador 1'!I419='Avaliador 2'!I419),"Não","Sim"))</f>
        <v/>
      </c>
      <c r="O419" s="14"/>
      <c r="P419" s="10" t="str">
        <f aca="false">IF(LEN(H419)=3,"Defeito encontrado",IF(I419="Sim","Falso alarme",IF(H419="—","Nenhum defeito apontado","")))</f>
        <v/>
      </c>
    </row>
    <row r="420" customFormat="false" ht="15" hidden="false" customHeight="false" outlineLevel="0" collapsed="false">
      <c r="A420" s="11" t="str">
        <f aca="false">Apontamentos!C420</f>
        <v/>
      </c>
      <c r="B420" s="11" t="str">
        <f aca="false">IF(Apontamentos!$C420="","",Apontamentos!A420&amp;"")</f>
        <v/>
      </c>
      <c r="C420" s="11" t="str">
        <f aca="false">IF(B420="","",IFERROR(INDEX(Execuções!$C$2:$C$97,MATCH(B420,Execuções!$A$2:$A$97,0)),"ID?"))</f>
        <v/>
      </c>
      <c r="D420" s="10" t="str">
        <f aca="false">IF(B420="","",IFERROR(INDEX(Execuções!$B$2:$B$97,MATCH(B420,Execuções!$A$2:$A$97,0)),"ID?"))</f>
        <v/>
      </c>
      <c r="E420" s="11" t="str">
        <f aca="false">IF(B420="","",Apontamentos!D420)</f>
        <v/>
      </c>
      <c r="F420" s="11" t="str">
        <f aca="false">IF(B420="","",Apontamentos!E420)</f>
        <v/>
      </c>
      <c r="G420" s="10" t="str">
        <f aca="false">IF(B420="","",Apontamentos!G420&amp;"")</f>
        <v/>
      </c>
      <c r="H420" s="14" t="str">
        <f aca="false">IF('Avaliador 1'!F420='Avaliador 2'!F420,'Avaliador 1'!F420&amp;"","")</f>
        <v/>
      </c>
      <c r="I420" s="14" t="str">
        <f aca="false">IF('Avaliador 1'!G420='Avaliador 2'!G420,'Avaliador 1'!G420&amp;"","")</f>
        <v/>
      </c>
      <c r="J420" s="14" t="str">
        <f aca="false">IF('Avaliador 1'!H420='Avaliador 2'!H420,'Avaliador 1'!H420&amp;"","")</f>
        <v/>
      </c>
      <c r="K420" s="14" t="str">
        <f aca="false">IF('Avaliador 1'!I420='Avaliador 2'!I420,'Avaliador 1'!I420&amp;"","")</f>
        <v/>
      </c>
      <c r="L420" s="13"/>
      <c r="M420" s="13" t="str">
        <f aca="false">IF('Avaliador 1'!J420='Avaliador 2'!J420,'Avaliador 1'!J420&amp;"","")</f>
        <v/>
      </c>
      <c r="N420" s="11" t="str">
        <f aca="false">IF(OR('Avaliador 1'!F420="",'Avaliador 2'!F420=""),"",IF(AND('Avaliador 1'!F420='Avaliador 2'!F420,'Avaliador 1'!G420='Avaliador 2'!G420,'Avaliador 1'!H420='Avaliador 2'!H420,'Avaliador 1'!I420='Avaliador 2'!I420),"Não","Sim"))</f>
        <v/>
      </c>
      <c r="O420" s="14"/>
      <c r="P420" s="10" t="str">
        <f aca="false">IF(LEN(H420)=3,"Defeito encontrado",IF(I420="Sim","Falso alarme",IF(H420="—","Nenhum defeito apontado","")))</f>
        <v/>
      </c>
    </row>
    <row r="421" customFormat="false" ht="15" hidden="false" customHeight="false" outlineLevel="0" collapsed="false">
      <c r="A421" s="11" t="str">
        <f aca="false">Apontamentos!C421</f>
        <v/>
      </c>
      <c r="B421" s="11" t="str">
        <f aca="false">IF(Apontamentos!$C421="","",Apontamentos!A421&amp;"")</f>
        <v/>
      </c>
      <c r="C421" s="11" t="str">
        <f aca="false">IF(B421="","",IFERROR(INDEX(Execuções!$C$2:$C$97,MATCH(B421,Execuções!$A$2:$A$97,0)),"ID?"))</f>
        <v/>
      </c>
      <c r="D421" s="10" t="str">
        <f aca="false">IF(B421="","",IFERROR(INDEX(Execuções!$B$2:$B$97,MATCH(B421,Execuções!$A$2:$A$97,0)),"ID?"))</f>
        <v/>
      </c>
      <c r="E421" s="11" t="str">
        <f aca="false">IF(B421="","",Apontamentos!D421)</f>
        <v/>
      </c>
      <c r="F421" s="11" t="str">
        <f aca="false">IF(B421="","",Apontamentos!E421)</f>
        <v/>
      </c>
      <c r="G421" s="10" t="str">
        <f aca="false">IF(B421="","",Apontamentos!G421&amp;"")</f>
        <v/>
      </c>
      <c r="H421" s="14" t="str">
        <f aca="false">IF('Avaliador 1'!F421='Avaliador 2'!F421,'Avaliador 1'!F421&amp;"","")</f>
        <v/>
      </c>
      <c r="I421" s="14" t="str">
        <f aca="false">IF('Avaliador 1'!G421='Avaliador 2'!G421,'Avaliador 1'!G421&amp;"","")</f>
        <v/>
      </c>
      <c r="J421" s="14" t="str">
        <f aca="false">IF('Avaliador 1'!H421='Avaliador 2'!H421,'Avaliador 1'!H421&amp;"","")</f>
        <v/>
      </c>
      <c r="K421" s="14" t="str">
        <f aca="false">IF('Avaliador 1'!I421='Avaliador 2'!I421,'Avaliador 1'!I421&amp;"","")</f>
        <v/>
      </c>
      <c r="L421" s="13"/>
      <c r="M421" s="13" t="str">
        <f aca="false">IF('Avaliador 1'!J421='Avaliador 2'!J421,'Avaliador 1'!J421&amp;"","")</f>
        <v/>
      </c>
      <c r="N421" s="11" t="str">
        <f aca="false">IF(OR('Avaliador 1'!F421="",'Avaliador 2'!F421=""),"",IF(AND('Avaliador 1'!F421='Avaliador 2'!F421,'Avaliador 1'!G421='Avaliador 2'!G421,'Avaliador 1'!H421='Avaliador 2'!H421,'Avaliador 1'!I421='Avaliador 2'!I421),"Não","Sim"))</f>
        <v/>
      </c>
      <c r="O421" s="14"/>
      <c r="P421" s="10" t="str">
        <f aca="false">IF(LEN(H421)=3,"Defeito encontrado",IF(I421="Sim","Falso alarme",IF(H421="—","Nenhum defeito apontado","")))</f>
        <v/>
      </c>
    </row>
    <row r="422" customFormat="false" ht="15" hidden="false" customHeight="false" outlineLevel="0" collapsed="false">
      <c r="A422" s="11" t="str">
        <f aca="false">Apontamentos!C422</f>
        <v/>
      </c>
      <c r="B422" s="11" t="str">
        <f aca="false">IF(Apontamentos!$C422="","",Apontamentos!A422&amp;"")</f>
        <v/>
      </c>
      <c r="C422" s="11" t="str">
        <f aca="false">IF(B422="","",IFERROR(INDEX(Execuções!$C$2:$C$97,MATCH(B422,Execuções!$A$2:$A$97,0)),"ID?"))</f>
        <v/>
      </c>
      <c r="D422" s="10" t="str">
        <f aca="false">IF(B422="","",IFERROR(INDEX(Execuções!$B$2:$B$97,MATCH(B422,Execuções!$A$2:$A$97,0)),"ID?"))</f>
        <v/>
      </c>
      <c r="E422" s="11" t="str">
        <f aca="false">IF(B422="","",Apontamentos!D422)</f>
        <v/>
      </c>
      <c r="F422" s="11" t="str">
        <f aca="false">IF(B422="","",Apontamentos!E422)</f>
        <v/>
      </c>
      <c r="G422" s="10" t="str">
        <f aca="false">IF(B422="","",Apontamentos!G422&amp;"")</f>
        <v/>
      </c>
      <c r="H422" s="14" t="str">
        <f aca="false">IF('Avaliador 1'!F422='Avaliador 2'!F422,'Avaliador 1'!F422&amp;"","")</f>
        <v/>
      </c>
      <c r="I422" s="14" t="str">
        <f aca="false">IF('Avaliador 1'!G422='Avaliador 2'!G422,'Avaliador 1'!G422&amp;"","")</f>
        <v/>
      </c>
      <c r="J422" s="14" t="str">
        <f aca="false">IF('Avaliador 1'!H422='Avaliador 2'!H422,'Avaliador 1'!H422&amp;"","")</f>
        <v/>
      </c>
      <c r="K422" s="14" t="str">
        <f aca="false">IF('Avaliador 1'!I422='Avaliador 2'!I422,'Avaliador 1'!I422&amp;"","")</f>
        <v/>
      </c>
      <c r="L422" s="13"/>
      <c r="M422" s="13" t="str">
        <f aca="false">IF('Avaliador 1'!J422='Avaliador 2'!J422,'Avaliador 1'!J422&amp;"","")</f>
        <v/>
      </c>
      <c r="N422" s="11" t="str">
        <f aca="false">IF(OR('Avaliador 1'!F422="",'Avaliador 2'!F422=""),"",IF(AND('Avaliador 1'!F422='Avaliador 2'!F422,'Avaliador 1'!G422='Avaliador 2'!G422,'Avaliador 1'!H422='Avaliador 2'!H422,'Avaliador 1'!I422='Avaliador 2'!I422),"Não","Sim"))</f>
        <v/>
      </c>
      <c r="O422" s="14"/>
      <c r="P422" s="10" t="str">
        <f aca="false">IF(LEN(H422)=3,"Defeito encontrado",IF(I422="Sim","Falso alarme",IF(H422="—","Nenhum defeito apontado","")))</f>
        <v/>
      </c>
    </row>
    <row r="423" customFormat="false" ht="15" hidden="false" customHeight="false" outlineLevel="0" collapsed="false">
      <c r="A423" s="11" t="str">
        <f aca="false">Apontamentos!C423</f>
        <v/>
      </c>
      <c r="B423" s="11" t="str">
        <f aca="false">IF(Apontamentos!$C423="","",Apontamentos!A423&amp;"")</f>
        <v/>
      </c>
      <c r="C423" s="11" t="str">
        <f aca="false">IF(B423="","",IFERROR(INDEX(Execuções!$C$2:$C$97,MATCH(B423,Execuções!$A$2:$A$97,0)),"ID?"))</f>
        <v/>
      </c>
      <c r="D423" s="10" t="str">
        <f aca="false">IF(B423="","",IFERROR(INDEX(Execuções!$B$2:$B$97,MATCH(B423,Execuções!$A$2:$A$97,0)),"ID?"))</f>
        <v/>
      </c>
      <c r="E423" s="11" t="str">
        <f aca="false">IF(B423="","",Apontamentos!D423)</f>
        <v/>
      </c>
      <c r="F423" s="11" t="str">
        <f aca="false">IF(B423="","",Apontamentos!E423)</f>
        <v/>
      </c>
      <c r="G423" s="10" t="str">
        <f aca="false">IF(B423="","",Apontamentos!G423&amp;"")</f>
        <v/>
      </c>
      <c r="H423" s="14" t="str">
        <f aca="false">IF('Avaliador 1'!F423='Avaliador 2'!F423,'Avaliador 1'!F423&amp;"","")</f>
        <v/>
      </c>
      <c r="I423" s="14" t="str">
        <f aca="false">IF('Avaliador 1'!G423='Avaliador 2'!G423,'Avaliador 1'!G423&amp;"","")</f>
        <v/>
      </c>
      <c r="J423" s="14" t="str">
        <f aca="false">IF('Avaliador 1'!H423='Avaliador 2'!H423,'Avaliador 1'!H423&amp;"","")</f>
        <v/>
      </c>
      <c r="K423" s="14" t="str">
        <f aca="false">IF('Avaliador 1'!I423='Avaliador 2'!I423,'Avaliador 1'!I423&amp;"","")</f>
        <v/>
      </c>
      <c r="L423" s="13"/>
      <c r="M423" s="13" t="str">
        <f aca="false">IF('Avaliador 1'!J423='Avaliador 2'!J423,'Avaliador 1'!J423&amp;"","")</f>
        <v/>
      </c>
      <c r="N423" s="11" t="str">
        <f aca="false">IF(OR('Avaliador 1'!F423="",'Avaliador 2'!F423=""),"",IF(AND('Avaliador 1'!F423='Avaliador 2'!F423,'Avaliador 1'!G423='Avaliador 2'!G423,'Avaliador 1'!H423='Avaliador 2'!H423,'Avaliador 1'!I423='Avaliador 2'!I423),"Não","Sim"))</f>
        <v/>
      </c>
      <c r="O423" s="14"/>
      <c r="P423" s="10" t="str">
        <f aca="false">IF(LEN(H423)=3,"Defeito encontrado",IF(I423="Sim","Falso alarme",IF(H423="—","Nenhum defeito apontado","")))</f>
        <v/>
      </c>
    </row>
    <row r="424" customFormat="false" ht="15" hidden="false" customHeight="false" outlineLevel="0" collapsed="false">
      <c r="A424" s="11" t="str">
        <f aca="false">Apontamentos!C424</f>
        <v/>
      </c>
      <c r="B424" s="11" t="str">
        <f aca="false">IF(Apontamentos!$C424="","",Apontamentos!A424&amp;"")</f>
        <v/>
      </c>
      <c r="C424" s="11" t="str">
        <f aca="false">IF(B424="","",IFERROR(INDEX(Execuções!$C$2:$C$97,MATCH(B424,Execuções!$A$2:$A$97,0)),"ID?"))</f>
        <v/>
      </c>
      <c r="D424" s="10" t="str">
        <f aca="false">IF(B424="","",IFERROR(INDEX(Execuções!$B$2:$B$97,MATCH(B424,Execuções!$A$2:$A$97,0)),"ID?"))</f>
        <v/>
      </c>
      <c r="E424" s="11" t="str">
        <f aca="false">IF(B424="","",Apontamentos!D424)</f>
        <v/>
      </c>
      <c r="F424" s="11" t="str">
        <f aca="false">IF(B424="","",Apontamentos!E424)</f>
        <v/>
      </c>
      <c r="G424" s="10" t="str">
        <f aca="false">IF(B424="","",Apontamentos!G424&amp;"")</f>
        <v/>
      </c>
      <c r="H424" s="14" t="str">
        <f aca="false">IF('Avaliador 1'!F424='Avaliador 2'!F424,'Avaliador 1'!F424&amp;"","")</f>
        <v/>
      </c>
      <c r="I424" s="14" t="str">
        <f aca="false">IF('Avaliador 1'!G424='Avaliador 2'!G424,'Avaliador 1'!G424&amp;"","")</f>
        <v/>
      </c>
      <c r="J424" s="14" t="str">
        <f aca="false">IF('Avaliador 1'!H424='Avaliador 2'!H424,'Avaliador 1'!H424&amp;"","")</f>
        <v/>
      </c>
      <c r="K424" s="14" t="str">
        <f aca="false">IF('Avaliador 1'!I424='Avaliador 2'!I424,'Avaliador 1'!I424&amp;"","")</f>
        <v/>
      </c>
      <c r="L424" s="13"/>
      <c r="M424" s="13" t="str">
        <f aca="false">IF('Avaliador 1'!J424='Avaliador 2'!J424,'Avaliador 1'!J424&amp;"","")</f>
        <v/>
      </c>
      <c r="N424" s="11" t="str">
        <f aca="false">IF(OR('Avaliador 1'!F424="",'Avaliador 2'!F424=""),"",IF(AND('Avaliador 1'!F424='Avaliador 2'!F424,'Avaliador 1'!G424='Avaliador 2'!G424,'Avaliador 1'!H424='Avaliador 2'!H424,'Avaliador 1'!I424='Avaliador 2'!I424),"Não","Sim"))</f>
        <v/>
      </c>
      <c r="O424" s="14"/>
      <c r="P424" s="10" t="str">
        <f aca="false">IF(LEN(H424)=3,"Defeito encontrado",IF(I424="Sim","Falso alarme",IF(H424="—","Nenhum defeito apontado","")))</f>
        <v/>
      </c>
    </row>
    <row r="425" customFormat="false" ht="15" hidden="false" customHeight="false" outlineLevel="0" collapsed="false">
      <c r="A425" s="11" t="str">
        <f aca="false">Apontamentos!C425</f>
        <v/>
      </c>
      <c r="B425" s="11" t="str">
        <f aca="false">IF(Apontamentos!$C425="","",Apontamentos!A425&amp;"")</f>
        <v/>
      </c>
      <c r="C425" s="11" t="str">
        <f aca="false">IF(B425="","",IFERROR(INDEX(Execuções!$C$2:$C$97,MATCH(B425,Execuções!$A$2:$A$97,0)),"ID?"))</f>
        <v/>
      </c>
      <c r="D425" s="10" t="str">
        <f aca="false">IF(B425="","",IFERROR(INDEX(Execuções!$B$2:$B$97,MATCH(B425,Execuções!$A$2:$A$97,0)),"ID?"))</f>
        <v/>
      </c>
      <c r="E425" s="11" t="str">
        <f aca="false">IF(B425="","",Apontamentos!D425)</f>
        <v/>
      </c>
      <c r="F425" s="11" t="str">
        <f aca="false">IF(B425="","",Apontamentos!E425)</f>
        <v/>
      </c>
      <c r="G425" s="10" t="str">
        <f aca="false">IF(B425="","",Apontamentos!G425&amp;"")</f>
        <v/>
      </c>
      <c r="H425" s="14" t="str">
        <f aca="false">IF('Avaliador 1'!F425='Avaliador 2'!F425,'Avaliador 1'!F425&amp;"","")</f>
        <v/>
      </c>
      <c r="I425" s="14" t="str">
        <f aca="false">IF('Avaliador 1'!G425='Avaliador 2'!G425,'Avaliador 1'!G425&amp;"","")</f>
        <v/>
      </c>
      <c r="J425" s="14" t="str">
        <f aca="false">IF('Avaliador 1'!H425='Avaliador 2'!H425,'Avaliador 1'!H425&amp;"","")</f>
        <v/>
      </c>
      <c r="K425" s="14" t="str">
        <f aca="false">IF('Avaliador 1'!I425='Avaliador 2'!I425,'Avaliador 1'!I425&amp;"","")</f>
        <v/>
      </c>
      <c r="L425" s="13"/>
      <c r="M425" s="13" t="str">
        <f aca="false">IF('Avaliador 1'!J425='Avaliador 2'!J425,'Avaliador 1'!J425&amp;"","")</f>
        <v/>
      </c>
      <c r="N425" s="11" t="str">
        <f aca="false">IF(OR('Avaliador 1'!F425="",'Avaliador 2'!F425=""),"",IF(AND('Avaliador 1'!F425='Avaliador 2'!F425,'Avaliador 1'!G425='Avaliador 2'!G425,'Avaliador 1'!H425='Avaliador 2'!H425,'Avaliador 1'!I425='Avaliador 2'!I425),"Não","Sim"))</f>
        <v/>
      </c>
      <c r="O425" s="14"/>
      <c r="P425" s="10" t="str">
        <f aca="false">IF(LEN(H425)=3,"Defeito encontrado",IF(I425="Sim","Falso alarme",IF(H425="—","Nenhum defeito apontado","")))</f>
        <v/>
      </c>
    </row>
    <row r="426" customFormat="false" ht="15" hidden="false" customHeight="false" outlineLevel="0" collapsed="false">
      <c r="A426" s="11" t="str">
        <f aca="false">Apontamentos!C426</f>
        <v/>
      </c>
      <c r="B426" s="11" t="str">
        <f aca="false">IF(Apontamentos!$C426="","",Apontamentos!A426&amp;"")</f>
        <v/>
      </c>
      <c r="C426" s="11" t="str">
        <f aca="false">IF(B426="","",IFERROR(INDEX(Execuções!$C$2:$C$97,MATCH(B426,Execuções!$A$2:$A$97,0)),"ID?"))</f>
        <v/>
      </c>
      <c r="D426" s="10" t="str">
        <f aca="false">IF(B426="","",IFERROR(INDEX(Execuções!$B$2:$B$97,MATCH(B426,Execuções!$A$2:$A$97,0)),"ID?"))</f>
        <v/>
      </c>
      <c r="E426" s="11" t="str">
        <f aca="false">IF(B426="","",Apontamentos!D426)</f>
        <v/>
      </c>
      <c r="F426" s="11" t="str">
        <f aca="false">IF(B426="","",Apontamentos!E426)</f>
        <v/>
      </c>
      <c r="G426" s="10" t="str">
        <f aca="false">IF(B426="","",Apontamentos!G426&amp;"")</f>
        <v/>
      </c>
      <c r="H426" s="14" t="str">
        <f aca="false">IF('Avaliador 1'!F426='Avaliador 2'!F426,'Avaliador 1'!F426&amp;"","")</f>
        <v/>
      </c>
      <c r="I426" s="14" t="str">
        <f aca="false">IF('Avaliador 1'!G426='Avaliador 2'!G426,'Avaliador 1'!G426&amp;"","")</f>
        <v/>
      </c>
      <c r="J426" s="14" t="str">
        <f aca="false">IF('Avaliador 1'!H426='Avaliador 2'!H426,'Avaliador 1'!H426&amp;"","")</f>
        <v/>
      </c>
      <c r="K426" s="14" t="str">
        <f aca="false">IF('Avaliador 1'!I426='Avaliador 2'!I426,'Avaliador 1'!I426&amp;"","")</f>
        <v/>
      </c>
      <c r="L426" s="13"/>
      <c r="M426" s="13" t="str">
        <f aca="false">IF('Avaliador 1'!J426='Avaliador 2'!J426,'Avaliador 1'!J426&amp;"","")</f>
        <v/>
      </c>
      <c r="N426" s="11" t="str">
        <f aca="false">IF(OR('Avaliador 1'!F426="",'Avaliador 2'!F426=""),"",IF(AND('Avaliador 1'!F426='Avaliador 2'!F426,'Avaliador 1'!G426='Avaliador 2'!G426,'Avaliador 1'!H426='Avaliador 2'!H426,'Avaliador 1'!I426='Avaliador 2'!I426),"Não","Sim"))</f>
        <v/>
      </c>
      <c r="O426" s="14"/>
      <c r="P426" s="10" t="str">
        <f aca="false">IF(LEN(H426)=3,"Defeito encontrado",IF(I426="Sim","Falso alarme",IF(H426="—","Nenhum defeito apontado","")))</f>
        <v/>
      </c>
    </row>
    <row r="427" customFormat="false" ht="15" hidden="false" customHeight="false" outlineLevel="0" collapsed="false">
      <c r="A427" s="11" t="str">
        <f aca="false">Apontamentos!C427</f>
        <v/>
      </c>
      <c r="B427" s="11" t="str">
        <f aca="false">IF(Apontamentos!$C427="","",Apontamentos!A427&amp;"")</f>
        <v/>
      </c>
      <c r="C427" s="11" t="str">
        <f aca="false">IF(B427="","",IFERROR(INDEX(Execuções!$C$2:$C$97,MATCH(B427,Execuções!$A$2:$A$97,0)),"ID?"))</f>
        <v/>
      </c>
      <c r="D427" s="10" t="str">
        <f aca="false">IF(B427="","",IFERROR(INDEX(Execuções!$B$2:$B$97,MATCH(B427,Execuções!$A$2:$A$97,0)),"ID?"))</f>
        <v/>
      </c>
      <c r="E427" s="11" t="str">
        <f aca="false">IF(B427="","",Apontamentos!D427)</f>
        <v/>
      </c>
      <c r="F427" s="11" t="str">
        <f aca="false">IF(B427="","",Apontamentos!E427)</f>
        <v/>
      </c>
      <c r="G427" s="10" t="str">
        <f aca="false">IF(B427="","",Apontamentos!G427&amp;"")</f>
        <v/>
      </c>
      <c r="H427" s="14" t="str">
        <f aca="false">IF('Avaliador 1'!F427='Avaliador 2'!F427,'Avaliador 1'!F427&amp;"","")</f>
        <v/>
      </c>
      <c r="I427" s="14" t="str">
        <f aca="false">IF('Avaliador 1'!G427='Avaliador 2'!G427,'Avaliador 1'!G427&amp;"","")</f>
        <v/>
      </c>
      <c r="J427" s="14" t="str">
        <f aca="false">IF('Avaliador 1'!H427='Avaliador 2'!H427,'Avaliador 1'!H427&amp;"","")</f>
        <v/>
      </c>
      <c r="K427" s="14" t="str">
        <f aca="false">IF('Avaliador 1'!I427='Avaliador 2'!I427,'Avaliador 1'!I427&amp;"","")</f>
        <v/>
      </c>
      <c r="L427" s="13"/>
      <c r="M427" s="13" t="str">
        <f aca="false">IF('Avaliador 1'!J427='Avaliador 2'!J427,'Avaliador 1'!J427&amp;"","")</f>
        <v/>
      </c>
      <c r="N427" s="11" t="str">
        <f aca="false">IF(OR('Avaliador 1'!F427="",'Avaliador 2'!F427=""),"",IF(AND('Avaliador 1'!F427='Avaliador 2'!F427,'Avaliador 1'!G427='Avaliador 2'!G427,'Avaliador 1'!H427='Avaliador 2'!H427,'Avaliador 1'!I427='Avaliador 2'!I427),"Não","Sim"))</f>
        <v/>
      </c>
      <c r="O427" s="14"/>
      <c r="P427" s="10" t="str">
        <f aca="false">IF(LEN(H427)=3,"Defeito encontrado",IF(I427="Sim","Falso alarme",IF(H427="—","Nenhum defeito apontado","")))</f>
        <v/>
      </c>
    </row>
    <row r="428" customFormat="false" ht="15" hidden="false" customHeight="false" outlineLevel="0" collapsed="false">
      <c r="A428" s="11" t="str">
        <f aca="false">Apontamentos!C428</f>
        <v/>
      </c>
      <c r="B428" s="11" t="str">
        <f aca="false">IF(Apontamentos!$C428="","",Apontamentos!A428&amp;"")</f>
        <v/>
      </c>
      <c r="C428" s="11" t="str">
        <f aca="false">IF(B428="","",IFERROR(INDEX(Execuções!$C$2:$C$97,MATCH(B428,Execuções!$A$2:$A$97,0)),"ID?"))</f>
        <v/>
      </c>
      <c r="D428" s="10" t="str">
        <f aca="false">IF(B428="","",IFERROR(INDEX(Execuções!$B$2:$B$97,MATCH(B428,Execuções!$A$2:$A$97,0)),"ID?"))</f>
        <v/>
      </c>
      <c r="E428" s="11" t="str">
        <f aca="false">IF(B428="","",Apontamentos!D428)</f>
        <v/>
      </c>
      <c r="F428" s="11" t="str">
        <f aca="false">IF(B428="","",Apontamentos!E428)</f>
        <v/>
      </c>
      <c r="G428" s="10" t="str">
        <f aca="false">IF(B428="","",Apontamentos!G428&amp;"")</f>
        <v/>
      </c>
      <c r="H428" s="14" t="str">
        <f aca="false">IF('Avaliador 1'!F428='Avaliador 2'!F428,'Avaliador 1'!F428&amp;"","")</f>
        <v/>
      </c>
      <c r="I428" s="14" t="str">
        <f aca="false">IF('Avaliador 1'!G428='Avaliador 2'!G428,'Avaliador 1'!G428&amp;"","")</f>
        <v/>
      </c>
      <c r="J428" s="14" t="str">
        <f aca="false">IF('Avaliador 1'!H428='Avaliador 2'!H428,'Avaliador 1'!H428&amp;"","")</f>
        <v/>
      </c>
      <c r="K428" s="14" t="str">
        <f aca="false">IF('Avaliador 1'!I428='Avaliador 2'!I428,'Avaliador 1'!I428&amp;"","")</f>
        <v/>
      </c>
      <c r="L428" s="13"/>
      <c r="M428" s="13" t="str">
        <f aca="false">IF('Avaliador 1'!J428='Avaliador 2'!J428,'Avaliador 1'!J428&amp;"","")</f>
        <v/>
      </c>
      <c r="N428" s="11" t="str">
        <f aca="false">IF(OR('Avaliador 1'!F428="",'Avaliador 2'!F428=""),"",IF(AND('Avaliador 1'!F428='Avaliador 2'!F428,'Avaliador 1'!G428='Avaliador 2'!G428,'Avaliador 1'!H428='Avaliador 2'!H428,'Avaliador 1'!I428='Avaliador 2'!I428),"Não","Sim"))</f>
        <v/>
      </c>
      <c r="O428" s="14"/>
      <c r="P428" s="10" t="str">
        <f aca="false">IF(LEN(H428)=3,"Defeito encontrado",IF(I428="Sim","Falso alarme",IF(H428="—","Nenhum defeito apontado","")))</f>
        <v/>
      </c>
    </row>
    <row r="429" customFormat="false" ht="15" hidden="false" customHeight="false" outlineLevel="0" collapsed="false">
      <c r="A429" s="11" t="str">
        <f aca="false">Apontamentos!C429</f>
        <v/>
      </c>
      <c r="B429" s="11" t="str">
        <f aca="false">IF(Apontamentos!$C429="","",Apontamentos!A429&amp;"")</f>
        <v/>
      </c>
      <c r="C429" s="11" t="str">
        <f aca="false">IF(B429="","",IFERROR(INDEX(Execuções!$C$2:$C$97,MATCH(B429,Execuções!$A$2:$A$97,0)),"ID?"))</f>
        <v/>
      </c>
      <c r="D429" s="10" t="str">
        <f aca="false">IF(B429="","",IFERROR(INDEX(Execuções!$B$2:$B$97,MATCH(B429,Execuções!$A$2:$A$97,0)),"ID?"))</f>
        <v/>
      </c>
      <c r="E429" s="11" t="str">
        <f aca="false">IF(B429="","",Apontamentos!D429)</f>
        <v/>
      </c>
      <c r="F429" s="11" t="str">
        <f aca="false">IF(B429="","",Apontamentos!E429)</f>
        <v/>
      </c>
      <c r="G429" s="10" t="str">
        <f aca="false">IF(B429="","",Apontamentos!G429&amp;"")</f>
        <v/>
      </c>
      <c r="H429" s="14" t="str">
        <f aca="false">IF('Avaliador 1'!F429='Avaliador 2'!F429,'Avaliador 1'!F429&amp;"","")</f>
        <v/>
      </c>
      <c r="I429" s="14" t="str">
        <f aca="false">IF('Avaliador 1'!G429='Avaliador 2'!G429,'Avaliador 1'!G429&amp;"","")</f>
        <v/>
      </c>
      <c r="J429" s="14" t="str">
        <f aca="false">IF('Avaliador 1'!H429='Avaliador 2'!H429,'Avaliador 1'!H429&amp;"","")</f>
        <v/>
      </c>
      <c r="K429" s="14" t="str">
        <f aca="false">IF('Avaliador 1'!I429='Avaliador 2'!I429,'Avaliador 1'!I429&amp;"","")</f>
        <v/>
      </c>
      <c r="L429" s="13"/>
      <c r="M429" s="13" t="str">
        <f aca="false">IF('Avaliador 1'!J429='Avaliador 2'!J429,'Avaliador 1'!J429&amp;"","")</f>
        <v/>
      </c>
      <c r="N429" s="11" t="str">
        <f aca="false">IF(OR('Avaliador 1'!F429="",'Avaliador 2'!F429=""),"",IF(AND('Avaliador 1'!F429='Avaliador 2'!F429,'Avaliador 1'!G429='Avaliador 2'!G429,'Avaliador 1'!H429='Avaliador 2'!H429,'Avaliador 1'!I429='Avaliador 2'!I429),"Não","Sim"))</f>
        <v/>
      </c>
      <c r="O429" s="14"/>
      <c r="P429" s="10" t="str">
        <f aca="false">IF(LEN(H429)=3,"Defeito encontrado",IF(I429="Sim","Falso alarme",IF(H429="—","Nenhum defeito apontado","")))</f>
        <v/>
      </c>
    </row>
    <row r="430" customFormat="false" ht="15" hidden="false" customHeight="false" outlineLevel="0" collapsed="false">
      <c r="A430" s="11" t="str">
        <f aca="false">Apontamentos!C430</f>
        <v/>
      </c>
      <c r="B430" s="11" t="str">
        <f aca="false">IF(Apontamentos!$C430="","",Apontamentos!A430&amp;"")</f>
        <v/>
      </c>
      <c r="C430" s="11" t="str">
        <f aca="false">IF(B430="","",IFERROR(INDEX(Execuções!$C$2:$C$97,MATCH(B430,Execuções!$A$2:$A$97,0)),"ID?"))</f>
        <v/>
      </c>
      <c r="D430" s="10" t="str">
        <f aca="false">IF(B430="","",IFERROR(INDEX(Execuções!$B$2:$B$97,MATCH(B430,Execuções!$A$2:$A$97,0)),"ID?"))</f>
        <v/>
      </c>
      <c r="E430" s="11" t="str">
        <f aca="false">IF(B430="","",Apontamentos!D430)</f>
        <v/>
      </c>
      <c r="F430" s="11" t="str">
        <f aca="false">IF(B430="","",Apontamentos!E430)</f>
        <v/>
      </c>
      <c r="G430" s="10" t="str">
        <f aca="false">IF(B430="","",Apontamentos!G430&amp;"")</f>
        <v/>
      </c>
      <c r="H430" s="14" t="str">
        <f aca="false">IF('Avaliador 1'!F430='Avaliador 2'!F430,'Avaliador 1'!F430&amp;"","")</f>
        <v/>
      </c>
      <c r="I430" s="14" t="str">
        <f aca="false">IF('Avaliador 1'!G430='Avaliador 2'!G430,'Avaliador 1'!G430&amp;"","")</f>
        <v/>
      </c>
      <c r="J430" s="14" t="str">
        <f aca="false">IF('Avaliador 1'!H430='Avaliador 2'!H430,'Avaliador 1'!H430&amp;"","")</f>
        <v/>
      </c>
      <c r="K430" s="14" t="str">
        <f aca="false">IF('Avaliador 1'!I430='Avaliador 2'!I430,'Avaliador 1'!I430&amp;"","")</f>
        <v/>
      </c>
      <c r="L430" s="13"/>
      <c r="M430" s="13" t="str">
        <f aca="false">IF('Avaliador 1'!J430='Avaliador 2'!J430,'Avaliador 1'!J430&amp;"","")</f>
        <v/>
      </c>
      <c r="N430" s="11" t="str">
        <f aca="false">IF(OR('Avaliador 1'!F430="",'Avaliador 2'!F430=""),"",IF(AND('Avaliador 1'!F430='Avaliador 2'!F430,'Avaliador 1'!G430='Avaliador 2'!G430,'Avaliador 1'!H430='Avaliador 2'!H430,'Avaliador 1'!I430='Avaliador 2'!I430),"Não","Sim"))</f>
        <v/>
      </c>
      <c r="O430" s="14"/>
      <c r="P430" s="10" t="str">
        <f aca="false">IF(LEN(H430)=3,"Defeito encontrado",IF(I430="Sim","Falso alarme",IF(H430="—","Nenhum defeito apontado","")))</f>
        <v/>
      </c>
    </row>
    <row r="431" customFormat="false" ht="15" hidden="false" customHeight="false" outlineLevel="0" collapsed="false">
      <c r="A431" s="11" t="str">
        <f aca="false">Apontamentos!C431</f>
        <v/>
      </c>
      <c r="B431" s="11" t="str">
        <f aca="false">IF(Apontamentos!$C431="","",Apontamentos!A431&amp;"")</f>
        <v/>
      </c>
      <c r="C431" s="11" t="str">
        <f aca="false">IF(B431="","",IFERROR(INDEX(Execuções!$C$2:$C$97,MATCH(B431,Execuções!$A$2:$A$97,0)),"ID?"))</f>
        <v/>
      </c>
      <c r="D431" s="10" t="str">
        <f aca="false">IF(B431="","",IFERROR(INDEX(Execuções!$B$2:$B$97,MATCH(B431,Execuções!$A$2:$A$97,0)),"ID?"))</f>
        <v/>
      </c>
      <c r="E431" s="11" t="str">
        <f aca="false">IF(B431="","",Apontamentos!D431)</f>
        <v/>
      </c>
      <c r="F431" s="11" t="str">
        <f aca="false">IF(B431="","",Apontamentos!E431)</f>
        <v/>
      </c>
      <c r="G431" s="10" t="str">
        <f aca="false">IF(B431="","",Apontamentos!G431&amp;"")</f>
        <v/>
      </c>
      <c r="H431" s="14" t="str">
        <f aca="false">IF('Avaliador 1'!F431='Avaliador 2'!F431,'Avaliador 1'!F431&amp;"","")</f>
        <v/>
      </c>
      <c r="I431" s="14" t="str">
        <f aca="false">IF('Avaliador 1'!G431='Avaliador 2'!G431,'Avaliador 1'!G431&amp;"","")</f>
        <v/>
      </c>
      <c r="J431" s="14" t="str">
        <f aca="false">IF('Avaliador 1'!H431='Avaliador 2'!H431,'Avaliador 1'!H431&amp;"","")</f>
        <v/>
      </c>
      <c r="K431" s="14" t="str">
        <f aca="false">IF('Avaliador 1'!I431='Avaliador 2'!I431,'Avaliador 1'!I431&amp;"","")</f>
        <v/>
      </c>
      <c r="L431" s="13"/>
      <c r="M431" s="13" t="str">
        <f aca="false">IF('Avaliador 1'!J431='Avaliador 2'!J431,'Avaliador 1'!J431&amp;"","")</f>
        <v/>
      </c>
      <c r="N431" s="11" t="str">
        <f aca="false">IF(OR('Avaliador 1'!F431="",'Avaliador 2'!F431=""),"",IF(AND('Avaliador 1'!F431='Avaliador 2'!F431,'Avaliador 1'!G431='Avaliador 2'!G431,'Avaliador 1'!H431='Avaliador 2'!H431,'Avaliador 1'!I431='Avaliador 2'!I431),"Não","Sim"))</f>
        <v/>
      </c>
      <c r="O431" s="14"/>
      <c r="P431" s="10" t="str">
        <f aca="false">IF(LEN(H431)=3,"Defeito encontrado",IF(I431="Sim","Falso alarme",IF(H431="—","Nenhum defeito apontado","")))</f>
        <v/>
      </c>
    </row>
    <row r="432" customFormat="false" ht="15" hidden="false" customHeight="false" outlineLevel="0" collapsed="false">
      <c r="A432" s="11" t="str">
        <f aca="false">Apontamentos!C432</f>
        <v/>
      </c>
      <c r="B432" s="11" t="str">
        <f aca="false">IF(Apontamentos!$C432="","",Apontamentos!A432&amp;"")</f>
        <v/>
      </c>
      <c r="C432" s="11" t="str">
        <f aca="false">IF(B432="","",IFERROR(INDEX(Execuções!$C$2:$C$97,MATCH(B432,Execuções!$A$2:$A$97,0)),"ID?"))</f>
        <v/>
      </c>
      <c r="D432" s="10" t="str">
        <f aca="false">IF(B432="","",IFERROR(INDEX(Execuções!$B$2:$B$97,MATCH(B432,Execuções!$A$2:$A$97,0)),"ID?"))</f>
        <v/>
      </c>
      <c r="E432" s="11" t="str">
        <f aca="false">IF(B432="","",Apontamentos!D432)</f>
        <v/>
      </c>
      <c r="F432" s="11" t="str">
        <f aca="false">IF(B432="","",Apontamentos!E432)</f>
        <v/>
      </c>
      <c r="G432" s="10" t="str">
        <f aca="false">IF(B432="","",Apontamentos!G432&amp;"")</f>
        <v/>
      </c>
      <c r="H432" s="14" t="str">
        <f aca="false">IF('Avaliador 1'!F432='Avaliador 2'!F432,'Avaliador 1'!F432&amp;"","")</f>
        <v/>
      </c>
      <c r="I432" s="14" t="str">
        <f aca="false">IF('Avaliador 1'!G432='Avaliador 2'!G432,'Avaliador 1'!G432&amp;"","")</f>
        <v/>
      </c>
      <c r="J432" s="14" t="str">
        <f aca="false">IF('Avaliador 1'!H432='Avaliador 2'!H432,'Avaliador 1'!H432&amp;"","")</f>
        <v/>
      </c>
      <c r="K432" s="14" t="str">
        <f aca="false">IF('Avaliador 1'!I432='Avaliador 2'!I432,'Avaliador 1'!I432&amp;"","")</f>
        <v/>
      </c>
      <c r="L432" s="13"/>
      <c r="M432" s="13" t="str">
        <f aca="false">IF('Avaliador 1'!J432='Avaliador 2'!J432,'Avaliador 1'!J432&amp;"","")</f>
        <v/>
      </c>
      <c r="N432" s="11" t="str">
        <f aca="false">IF(OR('Avaliador 1'!F432="",'Avaliador 2'!F432=""),"",IF(AND('Avaliador 1'!F432='Avaliador 2'!F432,'Avaliador 1'!G432='Avaliador 2'!G432,'Avaliador 1'!H432='Avaliador 2'!H432,'Avaliador 1'!I432='Avaliador 2'!I432),"Não","Sim"))</f>
        <v/>
      </c>
      <c r="O432" s="14"/>
      <c r="P432" s="10" t="str">
        <f aca="false">IF(LEN(H432)=3,"Defeito encontrado",IF(I432="Sim","Falso alarme",IF(H432="—","Nenhum defeito apontado","")))</f>
        <v/>
      </c>
    </row>
    <row r="433" customFormat="false" ht="15" hidden="false" customHeight="false" outlineLevel="0" collapsed="false">
      <c r="A433" s="11" t="str">
        <f aca="false">Apontamentos!C433</f>
        <v/>
      </c>
      <c r="B433" s="11" t="str">
        <f aca="false">IF(Apontamentos!$C433="","",Apontamentos!A433&amp;"")</f>
        <v/>
      </c>
      <c r="C433" s="11" t="str">
        <f aca="false">IF(B433="","",IFERROR(INDEX(Execuções!$C$2:$C$97,MATCH(B433,Execuções!$A$2:$A$97,0)),"ID?"))</f>
        <v/>
      </c>
      <c r="D433" s="10" t="str">
        <f aca="false">IF(B433="","",IFERROR(INDEX(Execuções!$B$2:$B$97,MATCH(B433,Execuções!$A$2:$A$97,0)),"ID?"))</f>
        <v/>
      </c>
      <c r="E433" s="11" t="str">
        <f aca="false">IF(B433="","",Apontamentos!D433)</f>
        <v/>
      </c>
      <c r="F433" s="11" t="str">
        <f aca="false">IF(B433="","",Apontamentos!E433)</f>
        <v/>
      </c>
      <c r="G433" s="10" t="str">
        <f aca="false">IF(B433="","",Apontamentos!G433&amp;"")</f>
        <v/>
      </c>
      <c r="H433" s="14" t="str">
        <f aca="false">IF('Avaliador 1'!F433='Avaliador 2'!F433,'Avaliador 1'!F433&amp;"","")</f>
        <v/>
      </c>
      <c r="I433" s="14" t="str">
        <f aca="false">IF('Avaliador 1'!G433='Avaliador 2'!G433,'Avaliador 1'!G433&amp;"","")</f>
        <v/>
      </c>
      <c r="J433" s="14" t="str">
        <f aca="false">IF('Avaliador 1'!H433='Avaliador 2'!H433,'Avaliador 1'!H433&amp;"","")</f>
        <v/>
      </c>
      <c r="K433" s="14" t="str">
        <f aca="false">IF('Avaliador 1'!I433='Avaliador 2'!I433,'Avaliador 1'!I433&amp;"","")</f>
        <v/>
      </c>
      <c r="L433" s="13"/>
      <c r="M433" s="13" t="str">
        <f aca="false">IF('Avaliador 1'!J433='Avaliador 2'!J433,'Avaliador 1'!J433&amp;"","")</f>
        <v/>
      </c>
      <c r="N433" s="11" t="str">
        <f aca="false">IF(OR('Avaliador 1'!F433="",'Avaliador 2'!F433=""),"",IF(AND('Avaliador 1'!F433='Avaliador 2'!F433,'Avaliador 1'!G433='Avaliador 2'!G433,'Avaliador 1'!H433='Avaliador 2'!H433,'Avaliador 1'!I433='Avaliador 2'!I433),"Não","Sim"))</f>
        <v/>
      </c>
      <c r="O433" s="14"/>
      <c r="P433" s="10" t="str">
        <f aca="false">IF(LEN(H433)=3,"Defeito encontrado",IF(I433="Sim","Falso alarme",IF(H433="—","Nenhum defeito apontado","")))</f>
        <v/>
      </c>
    </row>
    <row r="434" customFormat="false" ht="15" hidden="false" customHeight="false" outlineLevel="0" collapsed="false">
      <c r="A434" s="11" t="str">
        <f aca="false">Apontamentos!C434</f>
        <v/>
      </c>
      <c r="B434" s="11" t="str">
        <f aca="false">IF(Apontamentos!$C434="","",Apontamentos!A434&amp;"")</f>
        <v/>
      </c>
      <c r="C434" s="11" t="str">
        <f aca="false">IF(B434="","",IFERROR(INDEX(Execuções!$C$2:$C$97,MATCH(B434,Execuções!$A$2:$A$97,0)),"ID?"))</f>
        <v/>
      </c>
      <c r="D434" s="10" t="str">
        <f aca="false">IF(B434="","",IFERROR(INDEX(Execuções!$B$2:$B$97,MATCH(B434,Execuções!$A$2:$A$97,0)),"ID?"))</f>
        <v/>
      </c>
      <c r="E434" s="11" t="str">
        <f aca="false">IF(B434="","",Apontamentos!D434)</f>
        <v/>
      </c>
      <c r="F434" s="11" t="str">
        <f aca="false">IF(B434="","",Apontamentos!E434)</f>
        <v/>
      </c>
      <c r="G434" s="10" t="str">
        <f aca="false">IF(B434="","",Apontamentos!G434&amp;"")</f>
        <v/>
      </c>
      <c r="H434" s="14" t="str">
        <f aca="false">IF('Avaliador 1'!F434='Avaliador 2'!F434,'Avaliador 1'!F434&amp;"","")</f>
        <v/>
      </c>
      <c r="I434" s="14" t="str">
        <f aca="false">IF('Avaliador 1'!G434='Avaliador 2'!G434,'Avaliador 1'!G434&amp;"","")</f>
        <v/>
      </c>
      <c r="J434" s="14" t="str">
        <f aca="false">IF('Avaliador 1'!H434='Avaliador 2'!H434,'Avaliador 1'!H434&amp;"","")</f>
        <v/>
      </c>
      <c r="K434" s="14" t="str">
        <f aca="false">IF('Avaliador 1'!I434='Avaliador 2'!I434,'Avaliador 1'!I434&amp;"","")</f>
        <v/>
      </c>
      <c r="L434" s="13"/>
      <c r="M434" s="13" t="str">
        <f aca="false">IF('Avaliador 1'!J434='Avaliador 2'!J434,'Avaliador 1'!J434&amp;"","")</f>
        <v/>
      </c>
      <c r="N434" s="11" t="str">
        <f aca="false">IF(OR('Avaliador 1'!F434="",'Avaliador 2'!F434=""),"",IF(AND('Avaliador 1'!F434='Avaliador 2'!F434,'Avaliador 1'!G434='Avaliador 2'!G434,'Avaliador 1'!H434='Avaliador 2'!H434,'Avaliador 1'!I434='Avaliador 2'!I434),"Não","Sim"))</f>
        <v/>
      </c>
      <c r="O434" s="14"/>
      <c r="P434" s="10" t="str">
        <f aca="false">IF(LEN(H434)=3,"Defeito encontrado",IF(I434="Sim","Falso alarme",IF(H434="—","Nenhum defeito apontado","")))</f>
        <v/>
      </c>
    </row>
    <row r="435" customFormat="false" ht="15" hidden="false" customHeight="false" outlineLevel="0" collapsed="false">
      <c r="A435" s="11" t="str">
        <f aca="false">Apontamentos!C435</f>
        <v/>
      </c>
      <c r="B435" s="11" t="str">
        <f aca="false">IF(Apontamentos!$C435="","",Apontamentos!A435&amp;"")</f>
        <v/>
      </c>
      <c r="C435" s="11" t="str">
        <f aca="false">IF(B435="","",IFERROR(INDEX(Execuções!$C$2:$C$97,MATCH(B435,Execuções!$A$2:$A$97,0)),"ID?"))</f>
        <v/>
      </c>
      <c r="D435" s="10" t="str">
        <f aca="false">IF(B435="","",IFERROR(INDEX(Execuções!$B$2:$B$97,MATCH(B435,Execuções!$A$2:$A$97,0)),"ID?"))</f>
        <v/>
      </c>
      <c r="E435" s="11" t="str">
        <f aca="false">IF(B435="","",Apontamentos!D435)</f>
        <v/>
      </c>
      <c r="F435" s="11" t="str">
        <f aca="false">IF(B435="","",Apontamentos!E435)</f>
        <v/>
      </c>
      <c r="G435" s="10" t="str">
        <f aca="false">IF(B435="","",Apontamentos!G435&amp;"")</f>
        <v/>
      </c>
      <c r="H435" s="14" t="str">
        <f aca="false">IF('Avaliador 1'!F435='Avaliador 2'!F435,'Avaliador 1'!F435&amp;"","")</f>
        <v/>
      </c>
      <c r="I435" s="14" t="str">
        <f aca="false">IF('Avaliador 1'!G435='Avaliador 2'!G435,'Avaliador 1'!G435&amp;"","")</f>
        <v/>
      </c>
      <c r="J435" s="14" t="str">
        <f aca="false">IF('Avaliador 1'!H435='Avaliador 2'!H435,'Avaliador 1'!H435&amp;"","")</f>
        <v/>
      </c>
      <c r="K435" s="14" t="str">
        <f aca="false">IF('Avaliador 1'!I435='Avaliador 2'!I435,'Avaliador 1'!I435&amp;"","")</f>
        <v/>
      </c>
      <c r="L435" s="13"/>
      <c r="M435" s="13" t="str">
        <f aca="false">IF('Avaliador 1'!J435='Avaliador 2'!J435,'Avaliador 1'!J435&amp;"","")</f>
        <v/>
      </c>
      <c r="N435" s="11" t="str">
        <f aca="false">IF(OR('Avaliador 1'!F435="",'Avaliador 2'!F435=""),"",IF(AND('Avaliador 1'!F435='Avaliador 2'!F435,'Avaliador 1'!G435='Avaliador 2'!G435,'Avaliador 1'!H435='Avaliador 2'!H435,'Avaliador 1'!I435='Avaliador 2'!I435),"Não","Sim"))</f>
        <v/>
      </c>
      <c r="O435" s="14"/>
      <c r="P435" s="10" t="str">
        <f aca="false">IF(LEN(H435)=3,"Defeito encontrado",IF(I435="Sim","Falso alarme",IF(H435="—","Nenhum defeito apontado","")))</f>
        <v/>
      </c>
    </row>
    <row r="436" customFormat="false" ht="15" hidden="false" customHeight="false" outlineLevel="0" collapsed="false">
      <c r="A436" s="11" t="str">
        <f aca="false">Apontamentos!C436</f>
        <v/>
      </c>
      <c r="B436" s="11" t="str">
        <f aca="false">IF(Apontamentos!$C436="","",Apontamentos!A436&amp;"")</f>
        <v/>
      </c>
      <c r="C436" s="11" t="str">
        <f aca="false">IF(B436="","",IFERROR(INDEX(Execuções!$C$2:$C$97,MATCH(B436,Execuções!$A$2:$A$97,0)),"ID?"))</f>
        <v/>
      </c>
      <c r="D436" s="10" t="str">
        <f aca="false">IF(B436="","",IFERROR(INDEX(Execuções!$B$2:$B$97,MATCH(B436,Execuções!$A$2:$A$97,0)),"ID?"))</f>
        <v/>
      </c>
      <c r="E436" s="11" t="str">
        <f aca="false">IF(B436="","",Apontamentos!D436)</f>
        <v/>
      </c>
      <c r="F436" s="11" t="str">
        <f aca="false">IF(B436="","",Apontamentos!E436)</f>
        <v/>
      </c>
      <c r="G436" s="10" t="str">
        <f aca="false">IF(B436="","",Apontamentos!G436&amp;"")</f>
        <v/>
      </c>
      <c r="H436" s="14" t="str">
        <f aca="false">IF('Avaliador 1'!F436='Avaliador 2'!F436,'Avaliador 1'!F436&amp;"","")</f>
        <v/>
      </c>
      <c r="I436" s="14" t="str">
        <f aca="false">IF('Avaliador 1'!G436='Avaliador 2'!G436,'Avaliador 1'!G436&amp;"","")</f>
        <v/>
      </c>
      <c r="J436" s="14" t="str">
        <f aca="false">IF('Avaliador 1'!H436='Avaliador 2'!H436,'Avaliador 1'!H436&amp;"","")</f>
        <v/>
      </c>
      <c r="K436" s="14" t="str">
        <f aca="false">IF('Avaliador 1'!I436='Avaliador 2'!I436,'Avaliador 1'!I436&amp;"","")</f>
        <v/>
      </c>
      <c r="L436" s="13"/>
      <c r="M436" s="13" t="str">
        <f aca="false">IF('Avaliador 1'!J436='Avaliador 2'!J436,'Avaliador 1'!J436&amp;"","")</f>
        <v/>
      </c>
      <c r="N436" s="11" t="str">
        <f aca="false">IF(OR('Avaliador 1'!F436="",'Avaliador 2'!F436=""),"",IF(AND('Avaliador 1'!F436='Avaliador 2'!F436,'Avaliador 1'!G436='Avaliador 2'!G436,'Avaliador 1'!H436='Avaliador 2'!H436,'Avaliador 1'!I436='Avaliador 2'!I436),"Não","Sim"))</f>
        <v/>
      </c>
      <c r="O436" s="14"/>
      <c r="P436" s="10" t="str">
        <f aca="false">IF(LEN(H436)=3,"Defeito encontrado",IF(I436="Sim","Falso alarme",IF(H436="—","Nenhum defeito apontado","")))</f>
        <v/>
      </c>
    </row>
    <row r="437" customFormat="false" ht="15" hidden="false" customHeight="false" outlineLevel="0" collapsed="false">
      <c r="A437" s="11" t="str">
        <f aca="false">Apontamentos!C437</f>
        <v/>
      </c>
      <c r="B437" s="11" t="str">
        <f aca="false">IF(Apontamentos!$C437="","",Apontamentos!A437&amp;"")</f>
        <v/>
      </c>
      <c r="C437" s="11" t="str">
        <f aca="false">IF(B437="","",IFERROR(INDEX(Execuções!$C$2:$C$97,MATCH(B437,Execuções!$A$2:$A$97,0)),"ID?"))</f>
        <v/>
      </c>
      <c r="D437" s="10" t="str">
        <f aca="false">IF(B437="","",IFERROR(INDEX(Execuções!$B$2:$B$97,MATCH(B437,Execuções!$A$2:$A$97,0)),"ID?"))</f>
        <v/>
      </c>
      <c r="E437" s="11" t="str">
        <f aca="false">IF(B437="","",Apontamentos!D437)</f>
        <v/>
      </c>
      <c r="F437" s="11" t="str">
        <f aca="false">IF(B437="","",Apontamentos!E437)</f>
        <v/>
      </c>
      <c r="G437" s="10" t="str">
        <f aca="false">IF(B437="","",Apontamentos!G437&amp;"")</f>
        <v/>
      </c>
      <c r="H437" s="14" t="str">
        <f aca="false">IF('Avaliador 1'!F437='Avaliador 2'!F437,'Avaliador 1'!F437&amp;"","")</f>
        <v/>
      </c>
      <c r="I437" s="14" t="str">
        <f aca="false">IF('Avaliador 1'!G437='Avaliador 2'!G437,'Avaliador 1'!G437&amp;"","")</f>
        <v/>
      </c>
      <c r="J437" s="14" t="str">
        <f aca="false">IF('Avaliador 1'!H437='Avaliador 2'!H437,'Avaliador 1'!H437&amp;"","")</f>
        <v/>
      </c>
      <c r="K437" s="14" t="str">
        <f aca="false">IF('Avaliador 1'!I437='Avaliador 2'!I437,'Avaliador 1'!I437&amp;"","")</f>
        <v/>
      </c>
      <c r="L437" s="13"/>
      <c r="M437" s="13" t="str">
        <f aca="false">IF('Avaliador 1'!J437='Avaliador 2'!J437,'Avaliador 1'!J437&amp;"","")</f>
        <v/>
      </c>
      <c r="N437" s="11" t="str">
        <f aca="false">IF(OR('Avaliador 1'!F437="",'Avaliador 2'!F437=""),"",IF(AND('Avaliador 1'!F437='Avaliador 2'!F437,'Avaliador 1'!G437='Avaliador 2'!G437,'Avaliador 1'!H437='Avaliador 2'!H437,'Avaliador 1'!I437='Avaliador 2'!I437),"Não","Sim"))</f>
        <v/>
      </c>
      <c r="O437" s="14"/>
      <c r="P437" s="10" t="str">
        <f aca="false">IF(LEN(H437)=3,"Defeito encontrado",IF(I437="Sim","Falso alarme",IF(H437="—","Nenhum defeito apontado","")))</f>
        <v/>
      </c>
    </row>
    <row r="438" customFormat="false" ht="15" hidden="false" customHeight="false" outlineLevel="0" collapsed="false">
      <c r="A438" s="11" t="str">
        <f aca="false">Apontamentos!C438</f>
        <v/>
      </c>
      <c r="B438" s="11" t="str">
        <f aca="false">IF(Apontamentos!$C438="","",Apontamentos!A438&amp;"")</f>
        <v/>
      </c>
      <c r="C438" s="11" t="str">
        <f aca="false">IF(B438="","",IFERROR(INDEX(Execuções!$C$2:$C$97,MATCH(B438,Execuções!$A$2:$A$97,0)),"ID?"))</f>
        <v/>
      </c>
      <c r="D438" s="10" t="str">
        <f aca="false">IF(B438="","",IFERROR(INDEX(Execuções!$B$2:$B$97,MATCH(B438,Execuções!$A$2:$A$97,0)),"ID?"))</f>
        <v/>
      </c>
      <c r="E438" s="11" t="str">
        <f aca="false">IF(B438="","",Apontamentos!D438)</f>
        <v/>
      </c>
      <c r="F438" s="11" t="str">
        <f aca="false">IF(B438="","",Apontamentos!E438)</f>
        <v/>
      </c>
      <c r="G438" s="10" t="str">
        <f aca="false">IF(B438="","",Apontamentos!G438&amp;"")</f>
        <v/>
      </c>
      <c r="H438" s="14" t="str">
        <f aca="false">IF('Avaliador 1'!F438='Avaliador 2'!F438,'Avaliador 1'!F438&amp;"","")</f>
        <v/>
      </c>
      <c r="I438" s="14" t="str">
        <f aca="false">IF('Avaliador 1'!G438='Avaliador 2'!G438,'Avaliador 1'!G438&amp;"","")</f>
        <v/>
      </c>
      <c r="J438" s="14" t="str">
        <f aca="false">IF('Avaliador 1'!H438='Avaliador 2'!H438,'Avaliador 1'!H438&amp;"","")</f>
        <v/>
      </c>
      <c r="K438" s="14" t="str">
        <f aca="false">IF('Avaliador 1'!I438='Avaliador 2'!I438,'Avaliador 1'!I438&amp;"","")</f>
        <v/>
      </c>
      <c r="L438" s="13"/>
      <c r="M438" s="13" t="str">
        <f aca="false">IF('Avaliador 1'!J438='Avaliador 2'!J438,'Avaliador 1'!J438&amp;"","")</f>
        <v/>
      </c>
      <c r="N438" s="11" t="str">
        <f aca="false">IF(OR('Avaliador 1'!F438="",'Avaliador 2'!F438=""),"",IF(AND('Avaliador 1'!F438='Avaliador 2'!F438,'Avaliador 1'!G438='Avaliador 2'!G438,'Avaliador 1'!H438='Avaliador 2'!H438,'Avaliador 1'!I438='Avaliador 2'!I438),"Não","Sim"))</f>
        <v/>
      </c>
      <c r="O438" s="14"/>
      <c r="P438" s="10" t="str">
        <f aca="false">IF(LEN(H438)=3,"Defeito encontrado",IF(I438="Sim","Falso alarme",IF(H438="—","Nenhum defeito apontado","")))</f>
        <v/>
      </c>
    </row>
    <row r="439" customFormat="false" ht="15" hidden="false" customHeight="false" outlineLevel="0" collapsed="false">
      <c r="A439" s="11" t="str">
        <f aca="false">Apontamentos!C439</f>
        <v/>
      </c>
      <c r="B439" s="11" t="str">
        <f aca="false">IF(Apontamentos!$C439="","",Apontamentos!A439&amp;"")</f>
        <v/>
      </c>
      <c r="C439" s="11" t="str">
        <f aca="false">IF(B439="","",IFERROR(INDEX(Execuções!$C$2:$C$97,MATCH(B439,Execuções!$A$2:$A$97,0)),"ID?"))</f>
        <v/>
      </c>
      <c r="D439" s="10" t="str">
        <f aca="false">IF(B439="","",IFERROR(INDEX(Execuções!$B$2:$B$97,MATCH(B439,Execuções!$A$2:$A$97,0)),"ID?"))</f>
        <v/>
      </c>
      <c r="E439" s="11" t="str">
        <f aca="false">IF(B439="","",Apontamentos!D439)</f>
        <v/>
      </c>
      <c r="F439" s="11" t="str">
        <f aca="false">IF(B439="","",Apontamentos!E439)</f>
        <v/>
      </c>
      <c r="G439" s="10" t="str">
        <f aca="false">IF(B439="","",Apontamentos!G439&amp;"")</f>
        <v/>
      </c>
      <c r="H439" s="14" t="str">
        <f aca="false">IF('Avaliador 1'!F439='Avaliador 2'!F439,'Avaliador 1'!F439&amp;"","")</f>
        <v/>
      </c>
      <c r="I439" s="14" t="str">
        <f aca="false">IF('Avaliador 1'!G439='Avaliador 2'!G439,'Avaliador 1'!G439&amp;"","")</f>
        <v/>
      </c>
      <c r="J439" s="14" t="str">
        <f aca="false">IF('Avaliador 1'!H439='Avaliador 2'!H439,'Avaliador 1'!H439&amp;"","")</f>
        <v/>
      </c>
      <c r="K439" s="14" t="str">
        <f aca="false">IF('Avaliador 1'!I439='Avaliador 2'!I439,'Avaliador 1'!I439&amp;"","")</f>
        <v/>
      </c>
      <c r="L439" s="13"/>
      <c r="M439" s="13" t="str">
        <f aca="false">IF('Avaliador 1'!J439='Avaliador 2'!J439,'Avaliador 1'!J439&amp;"","")</f>
        <v/>
      </c>
      <c r="N439" s="11" t="str">
        <f aca="false">IF(OR('Avaliador 1'!F439="",'Avaliador 2'!F439=""),"",IF(AND('Avaliador 1'!F439='Avaliador 2'!F439,'Avaliador 1'!G439='Avaliador 2'!G439,'Avaliador 1'!H439='Avaliador 2'!H439,'Avaliador 1'!I439='Avaliador 2'!I439),"Não","Sim"))</f>
        <v/>
      </c>
      <c r="O439" s="14"/>
      <c r="P439" s="10" t="str">
        <f aca="false">IF(LEN(H439)=3,"Defeito encontrado",IF(I439="Sim","Falso alarme",IF(H439="—","Nenhum defeito apontado","")))</f>
        <v/>
      </c>
    </row>
    <row r="440" customFormat="false" ht="15" hidden="false" customHeight="false" outlineLevel="0" collapsed="false">
      <c r="A440" s="11" t="str">
        <f aca="false">Apontamentos!C440</f>
        <v/>
      </c>
      <c r="B440" s="11" t="str">
        <f aca="false">IF(Apontamentos!$C440="","",Apontamentos!A440&amp;"")</f>
        <v/>
      </c>
      <c r="C440" s="11" t="str">
        <f aca="false">IF(B440="","",IFERROR(INDEX(Execuções!$C$2:$C$97,MATCH(B440,Execuções!$A$2:$A$97,0)),"ID?"))</f>
        <v/>
      </c>
      <c r="D440" s="10" t="str">
        <f aca="false">IF(B440="","",IFERROR(INDEX(Execuções!$B$2:$B$97,MATCH(B440,Execuções!$A$2:$A$97,0)),"ID?"))</f>
        <v/>
      </c>
      <c r="E440" s="11" t="str">
        <f aca="false">IF(B440="","",Apontamentos!D440)</f>
        <v/>
      </c>
      <c r="F440" s="11" t="str">
        <f aca="false">IF(B440="","",Apontamentos!E440)</f>
        <v/>
      </c>
      <c r="G440" s="10" t="str">
        <f aca="false">IF(B440="","",Apontamentos!G440&amp;"")</f>
        <v/>
      </c>
      <c r="H440" s="14" t="str">
        <f aca="false">IF('Avaliador 1'!F440='Avaliador 2'!F440,'Avaliador 1'!F440&amp;"","")</f>
        <v/>
      </c>
      <c r="I440" s="14" t="str">
        <f aca="false">IF('Avaliador 1'!G440='Avaliador 2'!G440,'Avaliador 1'!G440&amp;"","")</f>
        <v/>
      </c>
      <c r="J440" s="14" t="str">
        <f aca="false">IF('Avaliador 1'!H440='Avaliador 2'!H440,'Avaliador 1'!H440&amp;"","")</f>
        <v/>
      </c>
      <c r="K440" s="14" t="str">
        <f aca="false">IF('Avaliador 1'!I440='Avaliador 2'!I440,'Avaliador 1'!I440&amp;"","")</f>
        <v/>
      </c>
      <c r="L440" s="13"/>
      <c r="M440" s="13" t="str">
        <f aca="false">IF('Avaliador 1'!J440='Avaliador 2'!J440,'Avaliador 1'!J440&amp;"","")</f>
        <v/>
      </c>
      <c r="N440" s="11" t="str">
        <f aca="false">IF(OR('Avaliador 1'!F440="",'Avaliador 2'!F440=""),"",IF(AND('Avaliador 1'!F440='Avaliador 2'!F440,'Avaliador 1'!G440='Avaliador 2'!G440,'Avaliador 1'!H440='Avaliador 2'!H440,'Avaliador 1'!I440='Avaliador 2'!I440),"Não","Sim"))</f>
        <v/>
      </c>
      <c r="O440" s="14"/>
      <c r="P440" s="10" t="str">
        <f aca="false">IF(LEN(H440)=3,"Defeito encontrado",IF(I440="Sim","Falso alarme",IF(H440="—","Nenhum defeito apontado","")))</f>
        <v/>
      </c>
    </row>
    <row r="441" customFormat="false" ht="15" hidden="false" customHeight="false" outlineLevel="0" collapsed="false">
      <c r="A441" s="11" t="str">
        <f aca="false">Apontamentos!C441</f>
        <v/>
      </c>
      <c r="B441" s="11" t="str">
        <f aca="false">IF(Apontamentos!$C441="","",Apontamentos!A441&amp;"")</f>
        <v/>
      </c>
      <c r="C441" s="11" t="str">
        <f aca="false">IF(B441="","",IFERROR(INDEX(Execuções!$C$2:$C$97,MATCH(B441,Execuções!$A$2:$A$97,0)),"ID?"))</f>
        <v/>
      </c>
      <c r="D441" s="10" t="str">
        <f aca="false">IF(B441="","",IFERROR(INDEX(Execuções!$B$2:$B$97,MATCH(B441,Execuções!$A$2:$A$97,0)),"ID?"))</f>
        <v/>
      </c>
      <c r="E441" s="11" t="str">
        <f aca="false">IF(B441="","",Apontamentos!D441)</f>
        <v/>
      </c>
      <c r="F441" s="11" t="str">
        <f aca="false">IF(B441="","",Apontamentos!E441)</f>
        <v/>
      </c>
      <c r="G441" s="10" t="str">
        <f aca="false">IF(B441="","",Apontamentos!G441&amp;"")</f>
        <v/>
      </c>
      <c r="H441" s="14" t="str">
        <f aca="false">IF('Avaliador 1'!F441='Avaliador 2'!F441,'Avaliador 1'!F441&amp;"","")</f>
        <v/>
      </c>
      <c r="I441" s="14" t="str">
        <f aca="false">IF('Avaliador 1'!G441='Avaliador 2'!G441,'Avaliador 1'!G441&amp;"","")</f>
        <v/>
      </c>
      <c r="J441" s="14" t="str">
        <f aca="false">IF('Avaliador 1'!H441='Avaliador 2'!H441,'Avaliador 1'!H441&amp;"","")</f>
        <v/>
      </c>
      <c r="K441" s="14" t="str">
        <f aca="false">IF('Avaliador 1'!I441='Avaliador 2'!I441,'Avaliador 1'!I441&amp;"","")</f>
        <v/>
      </c>
      <c r="L441" s="13"/>
      <c r="M441" s="13" t="str">
        <f aca="false">IF('Avaliador 1'!J441='Avaliador 2'!J441,'Avaliador 1'!J441&amp;"","")</f>
        <v/>
      </c>
      <c r="N441" s="11" t="str">
        <f aca="false">IF(OR('Avaliador 1'!F441="",'Avaliador 2'!F441=""),"",IF(AND('Avaliador 1'!F441='Avaliador 2'!F441,'Avaliador 1'!G441='Avaliador 2'!G441,'Avaliador 1'!H441='Avaliador 2'!H441,'Avaliador 1'!I441='Avaliador 2'!I441),"Não","Sim"))</f>
        <v/>
      </c>
      <c r="O441" s="14"/>
      <c r="P441" s="10" t="str">
        <f aca="false">IF(LEN(H441)=3,"Defeito encontrado",IF(I441="Sim","Falso alarme",IF(H441="—","Nenhum defeito apontado","")))</f>
        <v/>
      </c>
    </row>
    <row r="442" customFormat="false" ht="15" hidden="false" customHeight="false" outlineLevel="0" collapsed="false">
      <c r="A442" s="11" t="str">
        <f aca="false">Apontamentos!C442</f>
        <v/>
      </c>
      <c r="B442" s="11" t="str">
        <f aca="false">IF(Apontamentos!$C442="","",Apontamentos!A442&amp;"")</f>
        <v/>
      </c>
      <c r="C442" s="11" t="str">
        <f aca="false">IF(B442="","",IFERROR(INDEX(Execuções!$C$2:$C$97,MATCH(B442,Execuções!$A$2:$A$97,0)),"ID?"))</f>
        <v/>
      </c>
      <c r="D442" s="10" t="str">
        <f aca="false">IF(B442="","",IFERROR(INDEX(Execuções!$B$2:$B$97,MATCH(B442,Execuções!$A$2:$A$97,0)),"ID?"))</f>
        <v/>
      </c>
      <c r="E442" s="11" t="str">
        <f aca="false">IF(B442="","",Apontamentos!D442)</f>
        <v/>
      </c>
      <c r="F442" s="11" t="str">
        <f aca="false">IF(B442="","",Apontamentos!E442)</f>
        <v/>
      </c>
      <c r="G442" s="10" t="str">
        <f aca="false">IF(B442="","",Apontamentos!G442&amp;"")</f>
        <v/>
      </c>
      <c r="H442" s="14" t="str">
        <f aca="false">IF('Avaliador 1'!F442='Avaliador 2'!F442,'Avaliador 1'!F442&amp;"","")</f>
        <v/>
      </c>
      <c r="I442" s="14" t="str">
        <f aca="false">IF('Avaliador 1'!G442='Avaliador 2'!G442,'Avaliador 1'!G442&amp;"","")</f>
        <v/>
      </c>
      <c r="J442" s="14" t="str">
        <f aca="false">IF('Avaliador 1'!H442='Avaliador 2'!H442,'Avaliador 1'!H442&amp;"","")</f>
        <v/>
      </c>
      <c r="K442" s="14" t="str">
        <f aca="false">IF('Avaliador 1'!I442='Avaliador 2'!I442,'Avaliador 1'!I442&amp;"","")</f>
        <v/>
      </c>
      <c r="L442" s="13"/>
      <c r="M442" s="13" t="str">
        <f aca="false">IF('Avaliador 1'!J442='Avaliador 2'!J442,'Avaliador 1'!J442&amp;"","")</f>
        <v/>
      </c>
      <c r="N442" s="11" t="str">
        <f aca="false">IF(OR('Avaliador 1'!F442="",'Avaliador 2'!F442=""),"",IF(AND('Avaliador 1'!F442='Avaliador 2'!F442,'Avaliador 1'!G442='Avaliador 2'!G442,'Avaliador 1'!H442='Avaliador 2'!H442,'Avaliador 1'!I442='Avaliador 2'!I442),"Não","Sim"))</f>
        <v/>
      </c>
      <c r="O442" s="14"/>
      <c r="P442" s="10" t="str">
        <f aca="false">IF(LEN(H442)=3,"Defeito encontrado",IF(I442="Sim","Falso alarme",IF(H442="—","Nenhum defeito apontado","")))</f>
        <v/>
      </c>
    </row>
    <row r="443" customFormat="false" ht="15" hidden="false" customHeight="false" outlineLevel="0" collapsed="false">
      <c r="A443" s="11" t="str">
        <f aca="false">Apontamentos!C443</f>
        <v/>
      </c>
      <c r="B443" s="11" t="str">
        <f aca="false">IF(Apontamentos!$C443="","",Apontamentos!A443&amp;"")</f>
        <v/>
      </c>
      <c r="C443" s="11" t="str">
        <f aca="false">IF(B443="","",IFERROR(INDEX(Execuções!$C$2:$C$97,MATCH(B443,Execuções!$A$2:$A$97,0)),"ID?"))</f>
        <v/>
      </c>
      <c r="D443" s="10" t="str">
        <f aca="false">IF(B443="","",IFERROR(INDEX(Execuções!$B$2:$B$97,MATCH(B443,Execuções!$A$2:$A$97,0)),"ID?"))</f>
        <v/>
      </c>
      <c r="E443" s="11" t="str">
        <f aca="false">IF(B443="","",Apontamentos!D443)</f>
        <v/>
      </c>
      <c r="F443" s="11" t="str">
        <f aca="false">IF(B443="","",Apontamentos!E443)</f>
        <v/>
      </c>
      <c r="G443" s="10" t="str">
        <f aca="false">IF(B443="","",Apontamentos!G443&amp;"")</f>
        <v/>
      </c>
      <c r="H443" s="14" t="str">
        <f aca="false">IF('Avaliador 1'!F443='Avaliador 2'!F443,'Avaliador 1'!F443&amp;"","")</f>
        <v/>
      </c>
      <c r="I443" s="14" t="str">
        <f aca="false">IF('Avaliador 1'!G443='Avaliador 2'!G443,'Avaliador 1'!G443&amp;"","")</f>
        <v/>
      </c>
      <c r="J443" s="14" t="str">
        <f aca="false">IF('Avaliador 1'!H443='Avaliador 2'!H443,'Avaliador 1'!H443&amp;"","")</f>
        <v/>
      </c>
      <c r="K443" s="14" t="str">
        <f aca="false">IF('Avaliador 1'!I443='Avaliador 2'!I443,'Avaliador 1'!I443&amp;"","")</f>
        <v/>
      </c>
      <c r="L443" s="13"/>
      <c r="M443" s="13" t="str">
        <f aca="false">IF('Avaliador 1'!J443='Avaliador 2'!J443,'Avaliador 1'!J443&amp;"","")</f>
        <v/>
      </c>
      <c r="N443" s="11" t="str">
        <f aca="false">IF(OR('Avaliador 1'!F443="",'Avaliador 2'!F443=""),"",IF(AND('Avaliador 1'!F443='Avaliador 2'!F443,'Avaliador 1'!G443='Avaliador 2'!G443,'Avaliador 1'!H443='Avaliador 2'!H443,'Avaliador 1'!I443='Avaliador 2'!I443),"Não","Sim"))</f>
        <v/>
      </c>
      <c r="O443" s="14"/>
      <c r="P443" s="10" t="str">
        <f aca="false">IF(LEN(H443)=3,"Defeito encontrado",IF(I443="Sim","Falso alarme",IF(H443="—","Nenhum defeito apontado","")))</f>
        <v/>
      </c>
    </row>
    <row r="444" customFormat="false" ht="15" hidden="false" customHeight="false" outlineLevel="0" collapsed="false">
      <c r="A444" s="11" t="str">
        <f aca="false">Apontamentos!C444</f>
        <v/>
      </c>
      <c r="B444" s="11" t="str">
        <f aca="false">IF(Apontamentos!$C444="","",Apontamentos!A444&amp;"")</f>
        <v/>
      </c>
      <c r="C444" s="11" t="str">
        <f aca="false">IF(B444="","",IFERROR(INDEX(Execuções!$C$2:$C$97,MATCH(B444,Execuções!$A$2:$A$97,0)),"ID?"))</f>
        <v/>
      </c>
      <c r="D444" s="10" t="str">
        <f aca="false">IF(B444="","",IFERROR(INDEX(Execuções!$B$2:$B$97,MATCH(B444,Execuções!$A$2:$A$97,0)),"ID?"))</f>
        <v/>
      </c>
      <c r="E444" s="11" t="str">
        <f aca="false">IF(B444="","",Apontamentos!D444)</f>
        <v/>
      </c>
      <c r="F444" s="11" t="str">
        <f aca="false">IF(B444="","",Apontamentos!E444)</f>
        <v/>
      </c>
      <c r="G444" s="10" t="str">
        <f aca="false">IF(B444="","",Apontamentos!G444&amp;"")</f>
        <v/>
      </c>
      <c r="H444" s="14" t="str">
        <f aca="false">IF('Avaliador 1'!F444='Avaliador 2'!F444,'Avaliador 1'!F444&amp;"","")</f>
        <v/>
      </c>
      <c r="I444" s="14" t="str">
        <f aca="false">IF('Avaliador 1'!G444='Avaliador 2'!G444,'Avaliador 1'!G444&amp;"","")</f>
        <v/>
      </c>
      <c r="J444" s="14" t="str">
        <f aca="false">IF('Avaliador 1'!H444='Avaliador 2'!H444,'Avaliador 1'!H444&amp;"","")</f>
        <v/>
      </c>
      <c r="K444" s="14" t="str">
        <f aca="false">IF('Avaliador 1'!I444='Avaliador 2'!I444,'Avaliador 1'!I444&amp;"","")</f>
        <v/>
      </c>
      <c r="L444" s="13"/>
      <c r="M444" s="13" t="str">
        <f aca="false">IF('Avaliador 1'!J444='Avaliador 2'!J444,'Avaliador 1'!J444&amp;"","")</f>
        <v/>
      </c>
      <c r="N444" s="11" t="str">
        <f aca="false">IF(OR('Avaliador 1'!F444="",'Avaliador 2'!F444=""),"",IF(AND('Avaliador 1'!F444='Avaliador 2'!F444,'Avaliador 1'!G444='Avaliador 2'!G444,'Avaliador 1'!H444='Avaliador 2'!H444,'Avaliador 1'!I444='Avaliador 2'!I444),"Não","Sim"))</f>
        <v/>
      </c>
      <c r="O444" s="14"/>
      <c r="P444" s="10" t="str">
        <f aca="false">IF(LEN(H444)=3,"Defeito encontrado",IF(I444="Sim","Falso alarme",IF(H444="—","Nenhum defeito apontado","")))</f>
        <v/>
      </c>
    </row>
    <row r="445" customFormat="false" ht="15" hidden="false" customHeight="false" outlineLevel="0" collapsed="false">
      <c r="A445" s="11" t="str">
        <f aca="false">Apontamentos!C445</f>
        <v/>
      </c>
      <c r="B445" s="11" t="str">
        <f aca="false">IF(Apontamentos!$C445="","",Apontamentos!A445&amp;"")</f>
        <v/>
      </c>
      <c r="C445" s="11" t="str">
        <f aca="false">IF(B445="","",IFERROR(INDEX(Execuções!$C$2:$C$97,MATCH(B445,Execuções!$A$2:$A$97,0)),"ID?"))</f>
        <v/>
      </c>
      <c r="D445" s="10" t="str">
        <f aca="false">IF(B445="","",IFERROR(INDEX(Execuções!$B$2:$B$97,MATCH(B445,Execuções!$A$2:$A$97,0)),"ID?"))</f>
        <v/>
      </c>
      <c r="E445" s="11" t="str">
        <f aca="false">IF(B445="","",Apontamentos!D445)</f>
        <v/>
      </c>
      <c r="F445" s="11" t="str">
        <f aca="false">IF(B445="","",Apontamentos!E445)</f>
        <v/>
      </c>
      <c r="G445" s="10" t="str">
        <f aca="false">IF(B445="","",Apontamentos!G445&amp;"")</f>
        <v/>
      </c>
      <c r="H445" s="14" t="str">
        <f aca="false">IF('Avaliador 1'!F445='Avaliador 2'!F445,'Avaliador 1'!F445&amp;"","")</f>
        <v/>
      </c>
      <c r="I445" s="14" t="str">
        <f aca="false">IF('Avaliador 1'!G445='Avaliador 2'!G445,'Avaliador 1'!G445&amp;"","")</f>
        <v/>
      </c>
      <c r="J445" s="14" t="str">
        <f aca="false">IF('Avaliador 1'!H445='Avaliador 2'!H445,'Avaliador 1'!H445&amp;"","")</f>
        <v/>
      </c>
      <c r="K445" s="14" t="str">
        <f aca="false">IF('Avaliador 1'!I445='Avaliador 2'!I445,'Avaliador 1'!I445&amp;"","")</f>
        <v/>
      </c>
      <c r="L445" s="13"/>
      <c r="M445" s="13" t="str">
        <f aca="false">IF('Avaliador 1'!J445='Avaliador 2'!J445,'Avaliador 1'!J445&amp;"","")</f>
        <v/>
      </c>
      <c r="N445" s="11" t="str">
        <f aca="false">IF(OR('Avaliador 1'!F445="",'Avaliador 2'!F445=""),"",IF(AND('Avaliador 1'!F445='Avaliador 2'!F445,'Avaliador 1'!G445='Avaliador 2'!G445,'Avaliador 1'!H445='Avaliador 2'!H445,'Avaliador 1'!I445='Avaliador 2'!I445),"Não","Sim"))</f>
        <v/>
      </c>
      <c r="O445" s="14"/>
      <c r="P445" s="10" t="str">
        <f aca="false">IF(LEN(H445)=3,"Defeito encontrado",IF(I445="Sim","Falso alarme",IF(H445="—","Nenhum defeito apontado","")))</f>
        <v/>
      </c>
    </row>
    <row r="446" customFormat="false" ht="15" hidden="false" customHeight="false" outlineLevel="0" collapsed="false">
      <c r="A446" s="11" t="str">
        <f aca="false">Apontamentos!C446</f>
        <v/>
      </c>
      <c r="B446" s="11" t="str">
        <f aca="false">IF(Apontamentos!$C446="","",Apontamentos!A446&amp;"")</f>
        <v/>
      </c>
      <c r="C446" s="11" t="str">
        <f aca="false">IF(B446="","",IFERROR(INDEX(Execuções!$C$2:$C$97,MATCH(B446,Execuções!$A$2:$A$97,0)),"ID?"))</f>
        <v/>
      </c>
      <c r="D446" s="10" t="str">
        <f aca="false">IF(B446="","",IFERROR(INDEX(Execuções!$B$2:$B$97,MATCH(B446,Execuções!$A$2:$A$97,0)),"ID?"))</f>
        <v/>
      </c>
      <c r="E446" s="11" t="str">
        <f aca="false">IF(B446="","",Apontamentos!D446)</f>
        <v/>
      </c>
      <c r="F446" s="11" t="str">
        <f aca="false">IF(B446="","",Apontamentos!E446)</f>
        <v/>
      </c>
      <c r="G446" s="10" t="str">
        <f aca="false">IF(B446="","",Apontamentos!G446&amp;"")</f>
        <v/>
      </c>
      <c r="H446" s="14" t="str">
        <f aca="false">IF('Avaliador 1'!F446='Avaliador 2'!F446,'Avaliador 1'!F446&amp;"","")</f>
        <v/>
      </c>
      <c r="I446" s="14" t="str">
        <f aca="false">IF('Avaliador 1'!G446='Avaliador 2'!G446,'Avaliador 1'!G446&amp;"","")</f>
        <v/>
      </c>
      <c r="J446" s="14" t="str">
        <f aca="false">IF('Avaliador 1'!H446='Avaliador 2'!H446,'Avaliador 1'!H446&amp;"","")</f>
        <v/>
      </c>
      <c r="K446" s="14" t="str">
        <f aca="false">IF('Avaliador 1'!I446='Avaliador 2'!I446,'Avaliador 1'!I446&amp;"","")</f>
        <v/>
      </c>
      <c r="L446" s="13"/>
      <c r="M446" s="13" t="str">
        <f aca="false">IF('Avaliador 1'!J446='Avaliador 2'!J446,'Avaliador 1'!J446&amp;"","")</f>
        <v/>
      </c>
      <c r="N446" s="11" t="str">
        <f aca="false">IF(OR('Avaliador 1'!F446="",'Avaliador 2'!F446=""),"",IF(AND('Avaliador 1'!F446='Avaliador 2'!F446,'Avaliador 1'!G446='Avaliador 2'!G446,'Avaliador 1'!H446='Avaliador 2'!H446,'Avaliador 1'!I446='Avaliador 2'!I446),"Não","Sim"))</f>
        <v/>
      </c>
      <c r="O446" s="14"/>
      <c r="P446" s="10" t="str">
        <f aca="false">IF(LEN(H446)=3,"Defeito encontrado",IF(I446="Sim","Falso alarme",IF(H446="—","Nenhum defeito apontado","")))</f>
        <v/>
      </c>
    </row>
    <row r="447" customFormat="false" ht="15" hidden="false" customHeight="false" outlineLevel="0" collapsed="false">
      <c r="A447" s="11" t="str">
        <f aca="false">Apontamentos!C447</f>
        <v/>
      </c>
      <c r="B447" s="11" t="str">
        <f aca="false">IF(Apontamentos!$C447="","",Apontamentos!A447&amp;"")</f>
        <v/>
      </c>
      <c r="C447" s="11" t="str">
        <f aca="false">IF(B447="","",IFERROR(INDEX(Execuções!$C$2:$C$97,MATCH(B447,Execuções!$A$2:$A$97,0)),"ID?"))</f>
        <v/>
      </c>
      <c r="D447" s="10" t="str">
        <f aca="false">IF(B447="","",IFERROR(INDEX(Execuções!$B$2:$B$97,MATCH(B447,Execuções!$A$2:$A$97,0)),"ID?"))</f>
        <v/>
      </c>
      <c r="E447" s="11" t="str">
        <f aca="false">IF(B447="","",Apontamentos!D447)</f>
        <v/>
      </c>
      <c r="F447" s="11" t="str">
        <f aca="false">IF(B447="","",Apontamentos!E447)</f>
        <v/>
      </c>
      <c r="G447" s="10" t="str">
        <f aca="false">IF(B447="","",Apontamentos!G447&amp;"")</f>
        <v/>
      </c>
      <c r="H447" s="14" t="str">
        <f aca="false">IF('Avaliador 1'!F447='Avaliador 2'!F447,'Avaliador 1'!F447&amp;"","")</f>
        <v/>
      </c>
      <c r="I447" s="14" t="str">
        <f aca="false">IF('Avaliador 1'!G447='Avaliador 2'!G447,'Avaliador 1'!G447&amp;"","")</f>
        <v/>
      </c>
      <c r="J447" s="14" t="str">
        <f aca="false">IF('Avaliador 1'!H447='Avaliador 2'!H447,'Avaliador 1'!H447&amp;"","")</f>
        <v/>
      </c>
      <c r="K447" s="14" t="str">
        <f aca="false">IF('Avaliador 1'!I447='Avaliador 2'!I447,'Avaliador 1'!I447&amp;"","")</f>
        <v/>
      </c>
      <c r="L447" s="13"/>
      <c r="M447" s="13" t="str">
        <f aca="false">IF('Avaliador 1'!J447='Avaliador 2'!J447,'Avaliador 1'!J447&amp;"","")</f>
        <v/>
      </c>
      <c r="N447" s="11" t="str">
        <f aca="false">IF(OR('Avaliador 1'!F447="",'Avaliador 2'!F447=""),"",IF(AND('Avaliador 1'!F447='Avaliador 2'!F447,'Avaliador 1'!G447='Avaliador 2'!G447,'Avaliador 1'!H447='Avaliador 2'!H447,'Avaliador 1'!I447='Avaliador 2'!I447),"Não","Sim"))</f>
        <v/>
      </c>
      <c r="O447" s="14"/>
      <c r="P447" s="10" t="str">
        <f aca="false">IF(LEN(H447)=3,"Defeito encontrado",IF(I447="Sim","Falso alarme",IF(H447="—","Nenhum defeito apontado","")))</f>
        <v/>
      </c>
    </row>
    <row r="448" customFormat="false" ht="15" hidden="false" customHeight="false" outlineLevel="0" collapsed="false">
      <c r="A448" s="11" t="str">
        <f aca="false">Apontamentos!C448</f>
        <v/>
      </c>
      <c r="B448" s="11" t="str">
        <f aca="false">IF(Apontamentos!$C448="","",Apontamentos!A448&amp;"")</f>
        <v/>
      </c>
      <c r="C448" s="11" t="str">
        <f aca="false">IF(B448="","",IFERROR(INDEX(Execuções!$C$2:$C$97,MATCH(B448,Execuções!$A$2:$A$97,0)),"ID?"))</f>
        <v/>
      </c>
      <c r="D448" s="10" t="str">
        <f aca="false">IF(B448="","",IFERROR(INDEX(Execuções!$B$2:$B$97,MATCH(B448,Execuções!$A$2:$A$97,0)),"ID?"))</f>
        <v/>
      </c>
      <c r="E448" s="11" t="str">
        <f aca="false">IF(B448="","",Apontamentos!D448)</f>
        <v/>
      </c>
      <c r="F448" s="11" t="str">
        <f aca="false">IF(B448="","",Apontamentos!E448)</f>
        <v/>
      </c>
      <c r="G448" s="10" t="str">
        <f aca="false">IF(B448="","",Apontamentos!G448&amp;"")</f>
        <v/>
      </c>
      <c r="H448" s="14" t="str">
        <f aca="false">IF('Avaliador 1'!F448='Avaliador 2'!F448,'Avaliador 1'!F448&amp;"","")</f>
        <v/>
      </c>
      <c r="I448" s="14" t="str">
        <f aca="false">IF('Avaliador 1'!G448='Avaliador 2'!G448,'Avaliador 1'!G448&amp;"","")</f>
        <v/>
      </c>
      <c r="J448" s="14" t="str">
        <f aca="false">IF('Avaliador 1'!H448='Avaliador 2'!H448,'Avaliador 1'!H448&amp;"","")</f>
        <v/>
      </c>
      <c r="K448" s="14" t="str">
        <f aca="false">IF('Avaliador 1'!I448='Avaliador 2'!I448,'Avaliador 1'!I448&amp;"","")</f>
        <v/>
      </c>
      <c r="L448" s="13"/>
      <c r="M448" s="13" t="str">
        <f aca="false">IF('Avaliador 1'!J448='Avaliador 2'!J448,'Avaliador 1'!J448&amp;"","")</f>
        <v/>
      </c>
      <c r="N448" s="11" t="str">
        <f aca="false">IF(OR('Avaliador 1'!F448="",'Avaliador 2'!F448=""),"",IF(AND('Avaliador 1'!F448='Avaliador 2'!F448,'Avaliador 1'!G448='Avaliador 2'!G448,'Avaliador 1'!H448='Avaliador 2'!H448,'Avaliador 1'!I448='Avaliador 2'!I448),"Não","Sim"))</f>
        <v/>
      </c>
      <c r="O448" s="14"/>
      <c r="P448" s="10" t="str">
        <f aca="false">IF(LEN(H448)=3,"Defeito encontrado",IF(I448="Sim","Falso alarme",IF(H448="—","Nenhum defeito apontado","")))</f>
        <v/>
      </c>
    </row>
    <row r="449" customFormat="false" ht="15" hidden="false" customHeight="false" outlineLevel="0" collapsed="false">
      <c r="A449" s="11" t="str">
        <f aca="false">Apontamentos!C449</f>
        <v/>
      </c>
      <c r="B449" s="11" t="str">
        <f aca="false">IF(Apontamentos!$C449="","",Apontamentos!A449&amp;"")</f>
        <v/>
      </c>
      <c r="C449" s="11" t="str">
        <f aca="false">IF(B449="","",IFERROR(INDEX(Execuções!$C$2:$C$97,MATCH(B449,Execuções!$A$2:$A$97,0)),"ID?"))</f>
        <v/>
      </c>
      <c r="D449" s="10" t="str">
        <f aca="false">IF(B449="","",IFERROR(INDEX(Execuções!$B$2:$B$97,MATCH(B449,Execuções!$A$2:$A$97,0)),"ID?"))</f>
        <v/>
      </c>
      <c r="E449" s="11" t="str">
        <f aca="false">IF(B449="","",Apontamentos!D449)</f>
        <v/>
      </c>
      <c r="F449" s="11" t="str">
        <f aca="false">IF(B449="","",Apontamentos!E449)</f>
        <v/>
      </c>
      <c r="G449" s="10" t="str">
        <f aca="false">IF(B449="","",Apontamentos!G449&amp;"")</f>
        <v/>
      </c>
      <c r="H449" s="14" t="str">
        <f aca="false">IF('Avaliador 1'!F449='Avaliador 2'!F449,'Avaliador 1'!F449&amp;"","")</f>
        <v/>
      </c>
      <c r="I449" s="14" t="str">
        <f aca="false">IF('Avaliador 1'!G449='Avaliador 2'!G449,'Avaliador 1'!G449&amp;"","")</f>
        <v/>
      </c>
      <c r="J449" s="14" t="str">
        <f aca="false">IF('Avaliador 1'!H449='Avaliador 2'!H449,'Avaliador 1'!H449&amp;"","")</f>
        <v/>
      </c>
      <c r="K449" s="14" t="str">
        <f aca="false">IF('Avaliador 1'!I449='Avaliador 2'!I449,'Avaliador 1'!I449&amp;"","")</f>
        <v/>
      </c>
      <c r="L449" s="13"/>
      <c r="M449" s="13" t="str">
        <f aca="false">IF('Avaliador 1'!J449='Avaliador 2'!J449,'Avaliador 1'!J449&amp;"","")</f>
        <v/>
      </c>
      <c r="N449" s="11" t="str">
        <f aca="false">IF(OR('Avaliador 1'!F449="",'Avaliador 2'!F449=""),"",IF(AND('Avaliador 1'!F449='Avaliador 2'!F449,'Avaliador 1'!G449='Avaliador 2'!G449,'Avaliador 1'!H449='Avaliador 2'!H449,'Avaliador 1'!I449='Avaliador 2'!I449),"Não","Sim"))</f>
        <v/>
      </c>
      <c r="O449" s="14"/>
      <c r="P449" s="10" t="str">
        <f aca="false">IF(LEN(H449)=3,"Defeito encontrado",IF(I449="Sim","Falso alarme",IF(H449="—","Nenhum defeito apontado","")))</f>
        <v/>
      </c>
    </row>
    <row r="450" customFormat="false" ht="15" hidden="false" customHeight="false" outlineLevel="0" collapsed="false">
      <c r="A450" s="11" t="str">
        <f aca="false">Apontamentos!C450</f>
        <v/>
      </c>
      <c r="B450" s="11" t="str">
        <f aca="false">IF(Apontamentos!$C450="","",Apontamentos!A450&amp;"")</f>
        <v/>
      </c>
      <c r="C450" s="11" t="str">
        <f aca="false">IF(B450="","",IFERROR(INDEX(Execuções!$C$2:$C$97,MATCH(B450,Execuções!$A$2:$A$97,0)),"ID?"))</f>
        <v/>
      </c>
      <c r="D450" s="10" t="str">
        <f aca="false">IF(B450="","",IFERROR(INDEX(Execuções!$B$2:$B$97,MATCH(B450,Execuções!$A$2:$A$97,0)),"ID?"))</f>
        <v/>
      </c>
      <c r="E450" s="11" t="str">
        <f aca="false">IF(B450="","",Apontamentos!D450)</f>
        <v/>
      </c>
      <c r="F450" s="11" t="str">
        <f aca="false">IF(B450="","",Apontamentos!E450)</f>
        <v/>
      </c>
      <c r="G450" s="10" t="str">
        <f aca="false">IF(B450="","",Apontamentos!G450&amp;"")</f>
        <v/>
      </c>
      <c r="H450" s="14" t="str">
        <f aca="false">IF('Avaliador 1'!F450='Avaliador 2'!F450,'Avaliador 1'!F450&amp;"","")</f>
        <v/>
      </c>
      <c r="I450" s="14" t="str">
        <f aca="false">IF('Avaliador 1'!G450='Avaliador 2'!G450,'Avaliador 1'!G450&amp;"","")</f>
        <v/>
      </c>
      <c r="J450" s="14" t="str">
        <f aca="false">IF('Avaliador 1'!H450='Avaliador 2'!H450,'Avaliador 1'!H450&amp;"","")</f>
        <v/>
      </c>
      <c r="K450" s="14" t="str">
        <f aca="false">IF('Avaliador 1'!I450='Avaliador 2'!I450,'Avaliador 1'!I450&amp;"","")</f>
        <v/>
      </c>
      <c r="L450" s="13"/>
      <c r="M450" s="13" t="str">
        <f aca="false">IF('Avaliador 1'!J450='Avaliador 2'!J450,'Avaliador 1'!J450&amp;"","")</f>
        <v/>
      </c>
      <c r="N450" s="11" t="str">
        <f aca="false">IF(OR('Avaliador 1'!F450="",'Avaliador 2'!F450=""),"",IF(AND('Avaliador 1'!F450='Avaliador 2'!F450,'Avaliador 1'!G450='Avaliador 2'!G450,'Avaliador 1'!H450='Avaliador 2'!H450,'Avaliador 1'!I450='Avaliador 2'!I450),"Não","Sim"))</f>
        <v/>
      </c>
      <c r="O450" s="14"/>
      <c r="P450" s="10" t="str">
        <f aca="false">IF(LEN(H450)=3,"Defeito encontrado",IF(I450="Sim","Falso alarme",IF(H450="—","Nenhum defeito apontado","")))</f>
        <v/>
      </c>
    </row>
    <row r="451" customFormat="false" ht="15" hidden="false" customHeight="false" outlineLevel="0" collapsed="false">
      <c r="A451" s="11" t="str">
        <f aca="false">Apontamentos!C451</f>
        <v/>
      </c>
      <c r="B451" s="11" t="str">
        <f aca="false">IF(Apontamentos!$C451="","",Apontamentos!A451&amp;"")</f>
        <v/>
      </c>
      <c r="C451" s="11" t="str">
        <f aca="false">IF(B451="","",IFERROR(INDEX(Execuções!$C$2:$C$97,MATCH(B451,Execuções!$A$2:$A$97,0)),"ID?"))</f>
        <v/>
      </c>
      <c r="D451" s="10" t="str">
        <f aca="false">IF(B451="","",IFERROR(INDEX(Execuções!$B$2:$B$97,MATCH(B451,Execuções!$A$2:$A$97,0)),"ID?"))</f>
        <v/>
      </c>
      <c r="E451" s="11" t="str">
        <f aca="false">IF(B451="","",Apontamentos!D451)</f>
        <v/>
      </c>
      <c r="F451" s="11" t="str">
        <f aca="false">IF(B451="","",Apontamentos!E451)</f>
        <v/>
      </c>
      <c r="G451" s="10" t="str">
        <f aca="false">IF(B451="","",Apontamentos!G451&amp;"")</f>
        <v/>
      </c>
      <c r="H451" s="14" t="str">
        <f aca="false">IF('Avaliador 1'!F451='Avaliador 2'!F451,'Avaliador 1'!F451&amp;"","")</f>
        <v/>
      </c>
      <c r="I451" s="14" t="str">
        <f aca="false">IF('Avaliador 1'!G451='Avaliador 2'!G451,'Avaliador 1'!G451&amp;"","")</f>
        <v/>
      </c>
      <c r="J451" s="14" t="str">
        <f aca="false">IF('Avaliador 1'!H451='Avaliador 2'!H451,'Avaliador 1'!H451&amp;"","")</f>
        <v/>
      </c>
      <c r="K451" s="14" t="str">
        <f aca="false">IF('Avaliador 1'!I451='Avaliador 2'!I451,'Avaliador 1'!I451&amp;"","")</f>
        <v/>
      </c>
      <c r="L451" s="13"/>
      <c r="M451" s="13" t="str">
        <f aca="false">IF('Avaliador 1'!J451='Avaliador 2'!J451,'Avaliador 1'!J451&amp;"","")</f>
        <v/>
      </c>
      <c r="N451" s="11" t="str">
        <f aca="false">IF(OR('Avaliador 1'!F451="",'Avaliador 2'!F451=""),"",IF(AND('Avaliador 1'!F451='Avaliador 2'!F451,'Avaliador 1'!G451='Avaliador 2'!G451,'Avaliador 1'!H451='Avaliador 2'!H451,'Avaliador 1'!I451='Avaliador 2'!I451),"Não","Sim"))</f>
        <v/>
      </c>
      <c r="O451" s="14"/>
      <c r="P451" s="10" t="str">
        <f aca="false">IF(LEN(H451)=3,"Defeito encontrado",IF(I451="Sim","Falso alarme",IF(H451="—","Nenhum defeito apontado","")))</f>
        <v/>
      </c>
    </row>
    <row r="452" customFormat="false" ht="15" hidden="false" customHeight="false" outlineLevel="0" collapsed="false">
      <c r="A452" s="11" t="str">
        <f aca="false">Apontamentos!C452</f>
        <v/>
      </c>
      <c r="B452" s="11" t="str">
        <f aca="false">IF(Apontamentos!$C452="","",Apontamentos!A452&amp;"")</f>
        <v/>
      </c>
      <c r="C452" s="11" t="str">
        <f aca="false">IF(B452="","",IFERROR(INDEX(Execuções!$C$2:$C$97,MATCH(B452,Execuções!$A$2:$A$97,0)),"ID?"))</f>
        <v/>
      </c>
      <c r="D452" s="10" t="str">
        <f aca="false">IF(B452="","",IFERROR(INDEX(Execuções!$B$2:$B$97,MATCH(B452,Execuções!$A$2:$A$97,0)),"ID?"))</f>
        <v/>
      </c>
      <c r="E452" s="11" t="str">
        <f aca="false">IF(B452="","",Apontamentos!D452)</f>
        <v/>
      </c>
      <c r="F452" s="11" t="str">
        <f aca="false">IF(B452="","",Apontamentos!E452)</f>
        <v/>
      </c>
      <c r="G452" s="10" t="str">
        <f aca="false">IF(B452="","",Apontamentos!G452&amp;"")</f>
        <v/>
      </c>
      <c r="H452" s="14" t="str">
        <f aca="false">IF('Avaliador 1'!F452='Avaliador 2'!F452,'Avaliador 1'!F452&amp;"","")</f>
        <v/>
      </c>
      <c r="I452" s="14" t="str">
        <f aca="false">IF('Avaliador 1'!G452='Avaliador 2'!G452,'Avaliador 1'!G452&amp;"","")</f>
        <v/>
      </c>
      <c r="J452" s="14" t="str">
        <f aca="false">IF('Avaliador 1'!H452='Avaliador 2'!H452,'Avaliador 1'!H452&amp;"","")</f>
        <v/>
      </c>
      <c r="K452" s="14" t="str">
        <f aca="false">IF('Avaliador 1'!I452='Avaliador 2'!I452,'Avaliador 1'!I452&amp;"","")</f>
        <v/>
      </c>
      <c r="L452" s="13"/>
      <c r="M452" s="13" t="str">
        <f aca="false">IF('Avaliador 1'!J452='Avaliador 2'!J452,'Avaliador 1'!J452&amp;"","")</f>
        <v/>
      </c>
      <c r="N452" s="11" t="str">
        <f aca="false">IF(OR('Avaliador 1'!F452="",'Avaliador 2'!F452=""),"",IF(AND('Avaliador 1'!F452='Avaliador 2'!F452,'Avaliador 1'!G452='Avaliador 2'!G452,'Avaliador 1'!H452='Avaliador 2'!H452,'Avaliador 1'!I452='Avaliador 2'!I452),"Não","Sim"))</f>
        <v/>
      </c>
      <c r="O452" s="14"/>
      <c r="P452" s="10" t="str">
        <f aca="false">IF(LEN(H452)=3,"Defeito encontrado",IF(I452="Sim","Falso alarme",IF(H452="—","Nenhum defeito apontado","")))</f>
        <v/>
      </c>
    </row>
    <row r="453" customFormat="false" ht="15" hidden="false" customHeight="false" outlineLevel="0" collapsed="false">
      <c r="A453" s="11" t="str">
        <f aca="false">Apontamentos!C453</f>
        <v/>
      </c>
      <c r="B453" s="11" t="str">
        <f aca="false">IF(Apontamentos!$C453="","",Apontamentos!A453&amp;"")</f>
        <v/>
      </c>
      <c r="C453" s="11" t="str">
        <f aca="false">IF(B453="","",IFERROR(INDEX(Execuções!$C$2:$C$97,MATCH(B453,Execuções!$A$2:$A$97,0)),"ID?"))</f>
        <v/>
      </c>
      <c r="D453" s="10" t="str">
        <f aca="false">IF(B453="","",IFERROR(INDEX(Execuções!$B$2:$B$97,MATCH(B453,Execuções!$A$2:$A$97,0)),"ID?"))</f>
        <v/>
      </c>
      <c r="E453" s="11" t="str">
        <f aca="false">IF(B453="","",Apontamentos!D453)</f>
        <v/>
      </c>
      <c r="F453" s="11" t="str">
        <f aca="false">IF(B453="","",Apontamentos!E453)</f>
        <v/>
      </c>
      <c r="G453" s="10" t="str">
        <f aca="false">IF(B453="","",Apontamentos!G453&amp;"")</f>
        <v/>
      </c>
      <c r="H453" s="14" t="str">
        <f aca="false">IF('Avaliador 1'!F453='Avaliador 2'!F453,'Avaliador 1'!F453&amp;"","")</f>
        <v/>
      </c>
      <c r="I453" s="14" t="str">
        <f aca="false">IF('Avaliador 1'!G453='Avaliador 2'!G453,'Avaliador 1'!G453&amp;"","")</f>
        <v/>
      </c>
      <c r="J453" s="14" t="str">
        <f aca="false">IF('Avaliador 1'!H453='Avaliador 2'!H453,'Avaliador 1'!H453&amp;"","")</f>
        <v/>
      </c>
      <c r="K453" s="14" t="str">
        <f aca="false">IF('Avaliador 1'!I453='Avaliador 2'!I453,'Avaliador 1'!I453&amp;"","")</f>
        <v/>
      </c>
      <c r="L453" s="13"/>
      <c r="M453" s="13" t="str">
        <f aca="false">IF('Avaliador 1'!J453='Avaliador 2'!J453,'Avaliador 1'!J453&amp;"","")</f>
        <v/>
      </c>
      <c r="N453" s="11" t="str">
        <f aca="false">IF(OR('Avaliador 1'!F453="",'Avaliador 2'!F453=""),"",IF(AND('Avaliador 1'!F453='Avaliador 2'!F453,'Avaliador 1'!G453='Avaliador 2'!G453,'Avaliador 1'!H453='Avaliador 2'!H453,'Avaliador 1'!I453='Avaliador 2'!I453),"Não","Sim"))</f>
        <v/>
      </c>
      <c r="O453" s="14"/>
      <c r="P453" s="10" t="str">
        <f aca="false">IF(LEN(H453)=3,"Defeito encontrado",IF(I453="Sim","Falso alarme",IF(H453="—","Nenhum defeito apontado","")))</f>
        <v/>
      </c>
    </row>
    <row r="454" customFormat="false" ht="15" hidden="false" customHeight="false" outlineLevel="0" collapsed="false">
      <c r="A454" s="11" t="str">
        <f aca="false">Apontamentos!C454</f>
        <v/>
      </c>
      <c r="B454" s="11" t="str">
        <f aca="false">IF(Apontamentos!$C454="","",Apontamentos!A454&amp;"")</f>
        <v/>
      </c>
      <c r="C454" s="11" t="str">
        <f aca="false">IF(B454="","",IFERROR(INDEX(Execuções!$C$2:$C$97,MATCH(B454,Execuções!$A$2:$A$97,0)),"ID?"))</f>
        <v/>
      </c>
      <c r="D454" s="10" t="str">
        <f aca="false">IF(B454="","",IFERROR(INDEX(Execuções!$B$2:$B$97,MATCH(B454,Execuções!$A$2:$A$97,0)),"ID?"))</f>
        <v/>
      </c>
      <c r="E454" s="11" t="str">
        <f aca="false">IF(B454="","",Apontamentos!D454)</f>
        <v/>
      </c>
      <c r="F454" s="11" t="str">
        <f aca="false">IF(B454="","",Apontamentos!E454)</f>
        <v/>
      </c>
      <c r="G454" s="10" t="str">
        <f aca="false">IF(B454="","",Apontamentos!G454&amp;"")</f>
        <v/>
      </c>
      <c r="H454" s="14" t="str">
        <f aca="false">IF('Avaliador 1'!F454='Avaliador 2'!F454,'Avaliador 1'!F454&amp;"","")</f>
        <v/>
      </c>
      <c r="I454" s="14" t="str">
        <f aca="false">IF('Avaliador 1'!G454='Avaliador 2'!G454,'Avaliador 1'!G454&amp;"","")</f>
        <v/>
      </c>
      <c r="J454" s="14" t="str">
        <f aca="false">IF('Avaliador 1'!H454='Avaliador 2'!H454,'Avaliador 1'!H454&amp;"","")</f>
        <v/>
      </c>
      <c r="K454" s="14" t="str">
        <f aca="false">IF('Avaliador 1'!I454='Avaliador 2'!I454,'Avaliador 1'!I454&amp;"","")</f>
        <v/>
      </c>
      <c r="L454" s="13"/>
      <c r="M454" s="13" t="str">
        <f aca="false">IF('Avaliador 1'!J454='Avaliador 2'!J454,'Avaliador 1'!J454&amp;"","")</f>
        <v/>
      </c>
      <c r="N454" s="11" t="str">
        <f aca="false">IF(OR('Avaliador 1'!F454="",'Avaliador 2'!F454=""),"",IF(AND('Avaliador 1'!F454='Avaliador 2'!F454,'Avaliador 1'!G454='Avaliador 2'!G454,'Avaliador 1'!H454='Avaliador 2'!H454,'Avaliador 1'!I454='Avaliador 2'!I454),"Não","Sim"))</f>
        <v/>
      </c>
      <c r="O454" s="14"/>
      <c r="P454" s="10" t="str">
        <f aca="false">IF(LEN(H454)=3,"Defeito encontrado",IF(I454="Sim","Falso alarme",IF(H454="—","Nenhum defeito apontado","")))</f>
        <v/>
      </c>
    </row>
    <row r="455" customFormat="false" ht="15" hidden="false" customHeight="false" outlineLevel="0" collapsed="false">
      <c r="A455" s="11" t="str">
        <f aca="false">Apontamentos!C455</f>
        <v/>
      </c>
      <c r="B455" s="11" t="str">
        <f aca="false">IF(Apontamentos!$C455="","",Apontamentos!A455&amp;"")</f>
        <v/>
      </c>
      <c r="C455" s="11" t="str">
        <f aca="false">IF(B455="","",IFERROR(INDEX(Execuções!$C$2:$C$97,MATCH(B455,Execuções!$A$2:$A$97,0)),"ID?"))</f>
        <v/>
      </c>
      <c r="D455" s="10" t="str">
        <f aca="false">IF(B455="","",IFERROR(INDEX(Execuções!$B$2:$B$97,MATCH(B455,Execuções!$A$2:$A$97,0)),"ID?"))</f>
        <v/>
      </c>
      <c r="E455" s="11" t="str">
        <f aca="false">IF(B455="","",Apontamentos!D455)</f>
        <v/>
      </c>
      <c r="F455" s="11" t="str">
        <f aca="false">IF(B455="","",Apontamentos!E455)</f>
        <v/>
      </c>
      <c r="G455" s="10" t="str">
        <f aca="false">IF(B455="","",Apontamentos!G455&amp;"")</f>
        <v/>
      </c>
      <c r="H455" s="14" t="str">
        <f aca="false">IF('Avaliador 1'!F455='Avaliador 2'!F455,'Avaliador 1'!F455&amp;"","")</f>
        <v/>
      </c>
      <c r="I455" s="14" t="str">
        <f aca="false">IF('Avaliador 1'!G455='Avaliador 2'!G455,'Avaliador 1'!G455&amp;"","")</f>
        <v/>
      </c>
      <c r="J455" s="14" t="str">
        <f aca="false">IF('Avaliador 1'!H455='Avaliador 2'!H455,'Avaliador 1'!H455&amp;"","")</f>
        <v/>
      </c>
      <c r="K455" s="14" t="str">
        <f aca="false">IF('Avaliador 1'!I455='Avaliador 2'!I455,'Avaliador 1'!I455&amp;"","")</f>
        <v/>
      </c>
      <c r="L455" s="13"/>
      <c r="M455" s="13" t="str">
        <f aca="false">IF('Avaliador 1'!J455='Avaliador 2'!J455,'Avaliador 1'!J455&amp;"","")</f>
        <v/>
      </c>
      <c r="N455" s="11" t="str">
        <f aca="false">IF(OR('Avaliador 1'!F455="",'Avaliador 2'!F455=""),"",IF(AND('Avaliador 1'!F455='Avaliador 2'!F455,'Avaliador 1'!G455='Avaliador 2'!G455,'Avaliador 1'!H455='Avaliador 2'!H455,'Avaliador 1'!I455='Avaliador 2'!I455),"Não","Sim"))</f>
        <v/>
      </c>
      <c r="O455" s="14"/>
      <c r="P455" s="10" t="str">
        <f aca="false">IF(LEN(H455)=3,"Defeito encontrado",IF(I455="Sim","Falso alarme",IF(H455="—","Nenhum defeito apontado","")))</f>
        <v/>
      </c>
    </row>
    <row r="456" customFormat="false" ht="15" hidden="false" customHeight="false" outlineLevel="0" collapsed="false">
      <c r="A456" s="11" t="str">
        <f aca="false">Apontamentos!C456</f>
        <v/>
      </c>
      <c r="B456" s="11" t="str">
        <f aca="false">IF(Apontamentos!$C456="","",Apontamentos!A456&amp;"")</f>
        <v/>
      </c>
      <c r="C456" s="11" t="str">
        <f aca="false">IF(B456="","",IFERROR(INDEX(Execuções!$C$2:$C$97,MATCH(B456,Execuções!$A$2:$A$97,0)),"ID?"))</f>
        <v/>
      </c>
      <c r="D456" s="10" t="str">
        <f aca="false">IF(B456="","",IFERROR(INDEX(Execuções!$B$2:$B$97,MATCH(B456,Execuções!$A$2:$A$97,0)),"ID?"))</f>
        <v/>
      </c>
      <c r="E456" s="11" t="str">
        <f aca="false">IF(B456="","",Apontamentos!D456)</f>
        <v/>
      </c>
      <c r="F456" s="11" t="str">
        <f aca="false">IF(B456="","",Apontamentos!E456)</f>
        <v/>
      </c>
      <c r="G456" s="10" t="str">
        <f aca="false">IF(B456="","",Apontamentos!G456&amp;"")</f>
        <v/>
      </c>
      <c r="H456" s="14" t="str">
        <f aca="false">IF('Avaliador 1'!F456='Avaliador 2'!F456,'Avaliador 1'!F456&amp;"","")</f>
        <v/>
      </c>
      <c r="I456" s="14" t="str">
        <f aca="false">IF('Avaliador 1'!G456='Avaliador 2'!G456,'Avaliador 1'!G456&amp;"","")</f>
        <v/>
      </c>
      <c r="J456" s="14" t="str">
        <f aca="false">IF('Avaliador 1'!H456='Avaliador 2'!H456,'Avaliador 1'!H456&amp;"","")</f>
        <v/>
      </c>
      <c r="K456" s="14" t="str">
        <f aca="false">IF('Avaliador 1'!I456='Avaliador 2'!I456,'Avaliador 1'!I456&amp;"","")</f>
        <v/>
      </c>
      <c r="L456" s="13"/>
      <c r="M456" s="13" t="str">
        <f aca="false">IF('Avaliador 1'!J456='Avaliador 2'!J456,'Avaliador 1'!J456&amp;"","")</f>
        <v/>
      </c>
      <c r="N456" s="11" t="str">
        <f aca="false">IF(OR('Avaliador 1'!F456="",'Avaliador 2'!F456=""),"",IF(AND('Avaliador 1'!F456='Avaliador 2'!F456,'Avaliador 1'!G456='Avaliador 2'!G456,'Avaliador 1'!H456='Avaliador 2'!H456,'Avaliador 1'!I456='Avaliador 2'!I456),"Não","Sim"))</f>
        <v/>
      </c>
      <c r="O456" s="14"/>
      <c r="P456" s="10" t="str">
        <f aca="false">IF(LEN(H456)=3,"Defeito encontrado",IF(I456="Sim","Falso alarme",IF(H456="—","Nenhum defeito apontado","")))</f>
        <v/>
      </c>
    </row>
    <row r="457" customFormat="false" ht="15" hidden="false" customHeight="false" outlineLevel="0" collapsed="false">
      <c r="A457" s="11" t="str">
        <f aca="false">Apontamentos!C457</f>
        <v/>
      </c>
      <c r="B457" s="11" t="str">
        <f aca="false">IF(Apontamentos!$C457="","",Apontamentos!A457&amp;"")</f>
        <v/>
      </c>
      <c r="C457" s="11" t="str">
        <f aca="false">IF(B457="","",IFERROR(INDEX(Execuções!$C$2:$C$97,MATCH(B457,Execuções!$A$2:$A$97,0)),"ID?"))</f>
        <v/>
      </c>
      <c r="D457" s="10" t="str">
        <f aca="false">IF(B457="","",IFERROR(INDEX(Execuções!$B$2:$B$97,MATCH(B457,Execuções!$A$2:$A$97,0)),"ID?"))</f>
        <v/>
      </c>
      <c r="E457" s="11" t="str">
        <f aca="false">IF(B457="","",Apontamentos!D457)</f>
        <v/>
      </c>
      <c r="F457" s="11" t="str">
        <f aca="false">IF(B457="","",Apontamentos!E457)</f>
        <v/>
      </c>
      <c r="G457" s="10" t="str">
        <f aca="false">IF(B457="","",Apontamentos!G457&amp;"")</f>
        <v/>
      </c>
      <c r="H457" s="14" t="str">
        <f aca="false">IF('Avaliador 1'!F457='Avaliador 2'!F457,'Avaliador 1'!F457&amp;"","")</f>
        <v/>
      </c>
      <c r="I457" s="14" t="str">
        <f aca="false">IF('Avaliador 1'!G457='Avaliador 2'!G457,'Avaliador 1'!G457&amp;"","")</f>
        <v/>
      </c>
      <c r="J457" s="14" t="str">
        <f aca="false">IF('Avaliador 1'!H457='Avaliador 2'!H457,'Avaliador 1'!H457&amp;"","")</f>
        <v/>
      </c>
      <c r="K457" s="14" t="str">
        <f aca="false">IF('Avaliador 1'!I457='Avaliador 2'!I457,'Avaliador 1'!I457&amp;"","")</f>
        <v/>
      </c>
      <c r="L457" s="13"/>
      <c r="M457" s="13" t="str">
        <f aca="false">IF('Avaliador 1'!J457='Avaliador 2'!J457,'Avaliador 1'!J457&amp;"","")</f>
        <v/>
      </c>
      <c r="N457" s="11" t="str">
        <f aca="false">IF(OR('Avaliador 1'!F457="",'Avaliador 2'!F457=""),"",IF(AND('Avaliador 1'!F457='Avaliador 2'!F457,'Avaliador 1'!G457='Avaliador 2'!G457,'Avaliador 1'!H457='Avaliador 2'!H457,'Avaliador 1'!I457='Avaliador 2'!I457),"Não","Sim"))</f>
        <v/>
      </c>
      <c r="O457" s="14"/>
      <c r="P457" s="10" t="str">
        <f aca="false">IF(LEN(H457)=3,"Defeito encontrado",IF(I457="Sim","Falso alarme",IF(H457="—","Nenhum defeito apontado","")))</f>
        <v/>
      </c>
    </row>
    <row r="458" customFormat="false" ht="15" hidden="false" customHeight="false" outlineLevel="0" collapsed="false">
      <c r="A458" s="11" t="str">
        <f aca="false">Apontamentos!C458</f>
        <v/>
      </c>
      <c r="B458" s="11" t="str">
        <f aca="false">IF(Apontamentos!$C458="","",Apontamentos!A458&amp;"")</f>
        <v/>
      </c>
      <c r="C458" s="11" t="str">
        <f aca="false">IF(B458="","",IFERROR(INDEX(Execuções!$C$2:$C$97,MATCH(B458,Execuções!$A$2:$A$97,0)),"ID?"))</f>
        <v/>
      </c>
      <c r="D458" s="10" t="str">
        <f aca="false">IF(B458="","",IFERROR(INDEX(Execuções!$B$2:$B$97,MATCH(B458,Execuções!$A$2:$A$97,0)),"ID?"))</f>
        <v/>
      </c>
      <c r="E458" s="11" t="str">
        <f aca="false">IF(B458="","",Apontamentos!D458)</f>
        <v/>
      </c>
      <c r="F458" s="11" t="str">
        <f aca="false">IF(B458="","",Apontamentos!E458)</f>
        <v/>
      </c>
      <c r="G458" s="10" t="str">
        <f aca="false">IF(B458="","",Apontamentos!G458&amp;"")</f>
        <v/>
      </c>
      <c r="H458" s="14" t="str">
        <f aca="false">IF('Avaliador 1'!F458='Avaliador 2'!F458,'Avaliador 1'!F458&amp;"","")</f>
        <v/>
      </c>
      <c r="I458" s="14" t="str">
        <f aca="false">IF('Avaliador 1'!G458='Avaliador 2'!G458,'Avaliador 1'!G458&amp;"","")</f>
        <v/>
      </c>
      <c r="J458" s="14" t="str">
        <f aca="false">IF('Avaliador 1'!H458='Avaliador 2'!H458,'Avaliador 1'!H458&amp;"","")</f>
        <v/>
      </c>
      <c r="K458" s="14" t="str">
        <f aca="false">IF('Avaliador 1'!I458='Avaliador 2'!I458,'Avaliador 1'!I458&amp;"","")</f>
        <v/>
      </c>
      <c r="L458" s="13"/>
      <c r="M458" s="13" t="str">
        <f aca="false">IF('Avaliador 1'!J458='Avaliador 2'!J458,'Avaliador 1'!J458&amp;"","")</f>
        <v/>
      </c>
      <c r="N458" s="11" t="str">
        <f aca="false">IF(OR('Avaliador 1'!F458="",'Avaliador 2'!F458=""),"",IF(AND('Avaliador 1'!F458='Avaliador 2'!F458,'Avaliador 1'!G458='Avaliador 2'!G458,'Avaliador 1'!H458='Avaliador 2'!H458,'Avaliador 1'!I458='Avaliador 2'!I458),"Não","Sim"))</f>
        <v/>
      </c>
      <c r="O458" s="14"/>
      <c r="P458" s="10" t="str">
        <f aca="false">IF(LEN(H458)=3,"Defeito encontrado",IF(I458="Sim","Falso alarme",IF(H458="—","Nenhum defeito apontado","")))</f>
        <v/>
      </c>
    </row>
    <row r="459" customFormat="false" ht="15" hidden="false" customHeight="false" outlineLevel="0" collapsed="false">
      <c r="A459" s="11" t="str">
        <f aca="false">Apontamentos!C459</f>
        <v/>
      </c>
      <c r="B459" s="11" t="str">
        <f aca="false">IF(Apontamentos!$C459="","",Apontamentos!A459&amp;"")</f>
        <v/>
      </c>
      <c r="C459" s="11" t="str">
        <f aca="false">IF(B459="","",IFERROR(INDEX(Execuções!$C$2:$C$97,MATCH(B459,Execuções!$A$2:$A$97,0)),"ID?"))</f>
        <v/>
      </c>
      <c r="D459" s="10" t="str">
        <f aca="false">IF(B459="","",IFERROR(INDEX(Execuções!$B$2:$B$97,MATCH(B459,Execuções!$A$2:$A$97,0)),"ID?"))</f>
        <v/>
      </c>
      <c r="E459" s="11" t="str">
        <f aca="false">IF(B459="","",Apontamentos!D459)</f>
        <v/>
      </c>
      <c r="F459" s="11" t="str">
        <f aca="false">IF(B459="","",Apontamentos!E459)</f>
        <v/>
      </c>
      <c r="G459" s="10" t="str">
        <f aca="false">IF(B459="","",Apontamentos!G459&amp;"")</f>
        <v/>
      </c>
      <c r="H459" s="14" t="str">
        <f aca="false">IF('Avaliador 1'!F459='Avaliador 2'!F459,'Avaliador 1'!F459&amp;"","")</f>
        <v/>
      </c>
      <c r="I459" s="14" t="str">
        <f aca="false">IF('Avaliador 1'!G459='Avaliador 2'!G459,'Avaliador 1'!G459&amp;"","")</f>
        <v/>
      </c>
      <c r="J459" s="14" t="str">
        <f aca="false">IF('Avaliador 1'!H459='Avaliador 2'!H459,'Avaliador 1'!H459&amp;"","")</f>
        <v/>
      </c>
      <c r="K459" s="14" t="str">
        <f aca="false">IF('Avaliador 1'!I459='Avaliador 2'!I459,'Avaliador 1'!I459&amp;"","")</f>
        <v/>
      </c>
      <c r="L459" s="13"/>
      <c r="M459" s="13" t="str">
        <f aca="false">IF('Avaliador 1'!J459='Avaliador 2'!J459,'Avaliador 1'!J459&amp;"","")</f>
        <v/>
      </c>
      <c r="N459" s="11" t="str">
        <f aca="false">IF(OR('Avaliador 1'!F459="",'Avaliador 2'!F459=""),"",IF(AND('Avaliador 1'!F459='Avaliador 2'!F459,'Avaliador 1'!G459='Avaliador 2'!G459,'Avaliador 1'!H459='Avaliador 2'!H459,'Avaliador 1'!I459='Avaliador 2'!I459),"Não","Sim"))</f>
        <v/>
      </c>
      <c r="O459" s="14"/>
      <c r="P459" s="10" t="str">
        <f aca="false">IF(LEN(H459)=3,"Defeito encontrado",IF(I459="Sim","Falso alarme",IF(H459="—","Nenhum defeito apontado","")))</f>
        <v/>
      </c>
    </row>
    <row r="460" customFormat="false" ht="15" hidden="false" customHeight="false" outlineLevel="0" collapsed="false">
      <c r="A460" s="11" t="str">
        <f aca="false">Apontamentos!C460</f>
        <v/>
      </c>
      <c r="B460" s="11" t="str">
        <f aca="false">IF(Apontamentos!$C460="","",Apontamentos!A460&amp;"")</f>
        <v/>
      </c>
      <c r="C460" s="11" t="str">
        <f aca="false">IF(B460="","",IFERROR(INDEX(Execuções!$C$2:$C$97,MATCH(B460,Execuções!$A$2:$A$97,0)),"ID?"))</f>
        <v/>
      </c>
      <c r="D460" s="10" t="str">
        <f aca="false">IF(B460="","",IFERROR(INDEX(Execuções!$B$2:$B$97,MATCH(B460,Execuções!$A$2:$A$97,0)),"ID?"))</f>
        <v/>
      </c>
      <c r="E460" s="11" t="str">
        <f aca="false">IF(B460="","",Apontamentos!D460)</f>
        <v/>
      </c>
      <c r="F460" s="11" t="str">
        <f aca="false">IF(B460="","",Apontamentos!E460)</f>
        <v/>
      </c>
      <c r="G460" s="10" t="str">
        <f aca="false">IF(B460="","",Apontamentos!G460&amp;"")</f>
        <v/>
      </c>
      <c r="H460" s="14" t="str">
        <f aca="false">IF('Avaliador 1'!F460='Avaliador 2'!F460,'Avaliador 1'!F460&amp;"","")</f>
        <v/>
      </c>
      <c r="I460" s="14" t="str">
        <f aca="false">IF('Avaliador 1'!G460='Avaliador 2'!G460,'Avaliador 1'!G460&amp;"","")</f>
        <v/>
      </c>
      <c r="J460" s="14" t="str">
        <f aca="false">IF('Avaliador 1'!H460='Avaliador 2'!H460,'Avaliador 1'!H460&amp;"","")</f>
        <v/>
      </c>
      <c r="K460" s="14" t="str">
        <f aca="false">IF('Avaliador 1'!I460='Avaliador 2'!I460,'Avaliador 1'!I460&amp;"","")</f>
        <v/>
      </c>
      <c r="L460" s="13"/>
      <c r="M460" s="13" t="str">
        <f aca="false">IF('Avaliador 1'!J460='Avaliador 2'!J460,'Avaliador 1'!J460&amp;"","")</f>
        <v/>
      </c>
      <c r="N460" s="11" t="str">
        <f aca="false">IF(OR('Avaliador 1'!F460="",'Avaliador 2'!F460=""),"",IF(AND('Avaliador 1'!F460='Avaliador 2'!F460,'Avaliador 1'!G460='Avaliador 2'!G460,'Avaliador 1'!H460='Avaliador 2'!H460,'Avaliador 1'!I460='Avaliador 2'!I460),"Não","Sim"))</f>
        <v/>
      </c>
      <c r="O460" s="14"/>
      <c r="P460" s="10" t="str">
        <f aca="false">IF(LEN(H460)=3,"Defeito encontrado",IF(I460="Sim","Falso alarme",IF(H460="—","Nenhum defeito apontado","")))</f>
        <v/>
      </c>
    </row>
    <row r="461" customFormat="false" ht="15" hidden="false" customHeight="false" outlineLevel="0" collapsed="false">
      <c r="A461" s="11" t="str">
        <f aca="false">Apontamentos!C461</f>
        <v/>
      </c>
      <c r="B461" s="11" t="str">
        <f aca="false">IF(Apontamentos!$C461="","",Apontamentos!A461&amp;"")</f>
        <v/>
      </c>
      <c r="C461" s="11" t="str">
        <f aca="false">IF(B461="","",IFERROR(INDEX(Execuções!$C$2:$C$97,MATCH(B461,Execuções!$A$2:$A$97,0)),"ID?"))</f>
        <v/>
      </c>
      <c r="D461" s="10" t="str">
        <f aca="false">IF(B461="","",IFERROR(INDEX(Execuções!$B$2:$B$97,MATCH(B461,Execuções!$A$2:$A$97,0)),"ID?"))</f>
        <v/>
      </c>
      <c r="E461" s="11" t="str">
        <f aca="false">IF(B461="","",Apontamentos!D461)</f>
        <v/>
      </c>
      <c r="F461" s="11" t="str">
        <f aca="false">IF(B461="","",Apontamentos!E461)</f>
        <v/>
      </c>
      <c r="G461" s="10" t="str">
        <f aca="false">IF(B461="","",Apontamentos!G461&amp;"")</f>
        <v/>
      </c>
      <c r="H461" s="14" t="str">
        <f aca="false">IF('Avaliador 1'!F461='Avaliador 2'!F461,'Avaliador 1'!F461&amp;"","")</f>
        <v/>
      </c>
      <c r="I461" s="14" t="str">
        <f aca="false">IF('Avaliador 1'!G461='Avaliador 2'!G461,'Avaliador 1'!G461&amp;"","")</f>
        <v/>
      </c>
      <c r="J461" s="14" t="str">
        <f aca="false">IF('Avaliador 1'!H461='Avaliador 2'!H461,'Avaliador 1'!H461&amp;"","")</f>
        <v/>
      </c>
      <c r="K461" s="14" t="str">
        <f aca="false">IF('Avaliador 1'!I461='Avaliador 2'!I461,'Avaliador 1'!I461&amp;"","")</f>
        <v/>
      </c>
      <c r="L461" s="13"/>
      <c r="M461" s="13" t="str">
        <f aca="false">IF('Avaliador 1'!J461='Avaliador 2'!J461,'Avaliador 1'!J461&amp;"","")</f>
        <v/>
      </c>
      <c r="N461" s="11" t="str">
        <f aca="false">IF(OR('Avaliador 1'!F461="",'Avaliador 2'!F461=""),"",IF(AND('Avaliador 1'!F461='Avaliador 2'!F461,'Avaliador 1'!G461='Avaliador 2'!G461,'Avaliador 1'!H461='Avaliador 2'!H461,'Avaliador 1'!I461='Avaliador 2'!I461),"Não","Sim"))</f>
        <v/>
      </c>
      <c r="O461" s="14"/>
      <c r="P461" s="10" t="str">
        <f aca="false">IF(LEN(H461)=3,"Defeito encontrado",IF(I461="Sim","Falso alarme",IF(H461="—","Nenhum defeito apontado","")))</f>
        <v/>
      </c>
    </row>
    <row r="462" customFormat="false" ht="15" hidden="false" customHeight="false" outlineLevel="0" collapsed="false">
      <c r="A462" s="11" t="str">
        <f aca="false">Apontamentos!C462</f>
        <v/>
      </c>
      <c r="B462" s="11" t="str">
        <f aca="false">IF(Apontamentos!$C462="","",Apontamentos!A462&amp;"")</f>
        <v/>
      </c>
      <c r="C462" s="11" t="str">
        <f aca="false">IF(B462="","",IFERROR(INDEX(Execuções!$C$2:$C$97,MATCH(B462,Execuções!$A$2:$A$97,0)),"ID?"))</f>
        <v/>
      </c>
      <c r="D462" s="10" t="str">
        <f aca="false">IF(B462="","",IFERROR(INDEX(Execuções!$B$2:$B$97,MATCH(B462,Execuções!$A$2:$A$97,0)),"ID?"))</f>
        <v/>
      </c>
      <c r="E462" s="11" t="str">
        <f aca="false">IF(B462="","",Apontamentos!D462)</f>
        <v/>
      </c>
      <c r="F462" s="11" t="str">
        <f aca="false">IF(B462="","",Apontamentos!E462)</f>
        <v/>
      </c>
      <c r="G462" s="10" t="str">
        <f aca="false">IF(B462="","",Apontamentos!G462&amp;"")</f>
        <v/>
      </c>
      <c r="H462" s="14" t="str">
        <f aca="false">IF('Avaliador 1'!F462='Avaliador 2'!F462,'Avaliador 1'!F462&amp;"","")</f>
        <v/>
      </c>
      <c r="I462" s="14" t="str">
        <f aca="false">IF('Avaliador 1'!G462='Avaliador 2'!G462,'Avaliador 1'!G462&amp;"","")</f>
        <v/>
      </c>
      <c r="J462" s="14" t="str">
        <f aca="false">IF('Avaliador 1'!H462='Avaliador 2'!H462,'Avaliador 1'!H462&amp;"","")</f>
        <v/>
      </c>
      <c r="K462" s="14" t="str">
        <f aca="false">IF('Avaliador 1'!I462='Avaliador 2'!I462,'Avaliador 1'!I462&amp;"","")</f>
        <v/>
      </c>
      <c r="L462" s="13"/>
      <c r="M462" s="13" t="str">
        <f aca="false">IF('Avaliador 1'!J462='Avaliador 2'!J462,'Avaliador 1'!J462&amp;"","")</f>
        <v/>
      </c>
      <c r="N462" s="11" t="str">
        <f aca="false">IF(OR('Avaliador 1'!F462="",'Avaliador 2'!F462=""),"",IF(AND('Avaliador 1'!F462='Avaliador 2'!F462,'Avaliador 1'!G462='Avaliador 2'!G462,'Avaliador 1'!H462='Avaliador 2'!H462,'Avaliador 1'!I462='Avaliador 2'!I462),"Não","Sim"))</f>
        <v/>
      </c>
      <c r="O462" s="14"/>
      <c r="P462" s="10" t="str">
        <f aca="false">IF(LEN(H462)=3,"Defeito encontrado",IF(I462="Sim","Falso alarme",IF(H462="—","Nenhum defeito apontado","")))</f>
        <v/>
      </c>
    </row>
    <row r="463" customFormat="false" ht="15" hidden="false" customHeight="false" outlineLevel="0" collapsed="false">
      <c r="A463" s="11" t="str">
        <f aca="false">Apontamentos!C463</f>
        <v/>
      </c>
      <c r="B463" s="11" t="str">
        <f aca="false">IF(Apontamentos!$C463="","",Apontamentos!A463&amp;"")</f>
        <v/>
      </c>
      <c r="C463" s="11" t="str">
        <f aca="false">IF(B463="","",IFERROR(INDEX(Execuções!$C$2:$C$97,MATCH(B463,Execuções!$A$2:$A$97,0)),"ID?"))</f>
        <v/>
      </c>
      <c r="D463" s="10" t="str">
        <f aca="false">IF(B463="","",IFERROR(INDEX(Execuções!$B$2:$B$97,MATCH(B463,Execuções!$A$2:$A$97,0)),"ID?"))</f>
        <v/>
      </c>
      <c r="E463" s="11" t="str">
        <f aca="false">IF(B463="","",Apontamentos!D463)</f>
        <v/>
      </c>
      <c r="F463" s="11" t="str">
        <f aca="false">IF(B463="","",Apontamentos!E463)</f>
        <v/>
      </c>
      <c r="G463" s="10" t="str">
        <f aca="false">IF(B463="","",Apontamentos!G463&amp;"")</f>
        <v/>
      </c>
      <c r="H463" s="14" t="str">
        <f aca="false">IF('Avaliador 1'!F463='Avaliador 2'!F463,'Avaliador 1'!F463&amp;"","")</f>
        <v/>
      </c>
      <c r="I463" s="14" t="str">
        <f aca="false">IF('Avaliador 1'!G463='Avaliador 2'!G463,'Avaliador 1'!G463&amp;"","")</f>
        <v/>
      </c>
      <c r="J463" s="14" t="str">
        <f aca="false">IF('Avaliador 1'!H463='Avaliador 2'!H463,'Avaliador 1'!H463&amp;"","")</f>
        <v/>
      </c>
      <c r="K463" s="14" t="str">
        <f aca="false">IF('Avaliador 1'!I463='Avaliador 2'!I463,'Avaliador 1'!I463&amp;"","")</f>
        <v/>
      </c>
      <c r="L463" s="13"/>
      <c r="M463" s="13" t="str">
        <f aca="false">IF('Avaliador 1'!J463='Avaliador 2'!J463,'Avaliador 1'!J463&amp;"","")</f>
        <v/>
      </c>
      <c r="N463" s="11" t="str">
        <f aca="false">IF(OR('Avaliador 1'!F463="",'Avaliador 2'!F463=""),"",IF(AND('Avaliador 1'!F463='Avaliador 2'!F463,'Avaliador 1'!G463='Avaliador 2'!G463,'Avaliador 1'!H463='Avaliador 2'!H463,'Avaliador 1'!I463='Avaliador 2'!I463),"Não","Sim"))</f>
        <v/>
      </c>
      <c r="O463" s="14"/>
      <c r="P463" s="10" t="str">
        <f aca="false">IF(LEN(H463)=3,"Defeito encontrado",IF(I463="Sim","Falso alarme",IF(H463="—","Nenhum defeito apontado","")))</f>
        <v/>
      </c>
    </row>
    <row r="464" customFormat="false" ht="15" hidden="false" customHeight="false" outlineLevel="0" collapsed="false">
      <c r="A464" s="11" t="str">
        <f aca="false">Apontamentos!C464</f>
        <v/>
      </c>
      <c r="B464" s="11" t="str">
        <f aca="false">IF(Apontamentos!$C464="","",Apontamentos!A464&amp;"")</f>
        <v/>
      </c>
      <c r="C464" s="11" t="str">
        <f aca="false">IF(B464="","",IFERROR(INDEX(Execuções!$C$2:$C$97,MATCH(B464,Execuções!$A$2:$A$97,0)),"ID?"))</f>
        <v/>
      </c>
      <c r="D464" s="10" t="str">
        <f aca="false">IF(B464="","",IFERROR(INDEX(Execuções!$B$2:$B$97,MATCH(B464,Execuções!$A$2:$A$97,0)),"ID?"))</f>
        <v/>
      </c>
      <c r="E464" s="11" t="str">
        <f aca="false">IF(B464="","",Apontamentos!D464)</f>
        <v/>
      </c>
      <c r="F464" s="11" t="str">
        <f aca="false">IF(B464="","",Apontamentos!E464)</f>
        <v/>
      </c>
      <c r="G464" s="10" t="str">
        <f aca="false">IF(B464="","",Apontamentos!G464&amp;"")</f>
        <v/>
      </c>
      <c r="H464" s="14" t="str">
        <f aca="false">IF('Avaliador 1'!F464='Avaliador 2'!F464,'Avaliador 1'!F464&amp;"","")</f>
        <v/>
      </c>
      <c r="I464" s="14" t="str">
        <f aca="false">IF('Avaliador 1'!G464='Avaliador 2'!G464,'Avaliador 1'!G464&amp;"","")</f>
        <v/>
      </c>
      <c r="J464" s="14" t="str">
        <f aca="false">IF('Avaliador 1'!H464='Avaliador 2'!H464,'Avaliador 1'!H464&amp;"","")</f>
        <v/>
      </c>
      <c r="K464" s="14" t="str">
        <f aca="false">IF('Avaliador 1'!I464='Avaliador 2'!I464,'Avaliador 1'!I464&amp;"","")</f>
        <v/>
      </c>
      <c r="L464" s="13"/>
      <c r="M464" s="13" t="str">
        <f aca="false">IF('Avaliador 1'!J464='Avaliador 2'!J464,'Avaliador 1'!J464&amp;"","")</f>
        <v/>
      </c>
      <c r="N464" s="11" t="str">
        <f aca="false">IF(OR('Avaliador 1'!F464="",'Avaliador 2'!F464=""),"",IF(AND('Avaliador 1'!F464='Avaliador 2'!F464,'Avaliador 1'!G464='Avaliador 2'!G464,'Avaliador 1'!H464='Avaliador 2'!H464,'Avaliador 1'!I464='Avaliador 2'!I464),"Não","Sim"))</f>
        <v/>
      </c>
      <c r="O464" s="14"/>
      <c r="P464" s="10" t="str">
        <f aca="false">IF(LEN(H464)=3,"Defeito encontrado",IF(I464="Sim","Falso alarme",IF(H464="—","Nenhum defeito apontado","")))</f>
        <v/>
      </c>
    </row>
    <row r="465" customFormat="false" ht="15" hidden="false" customHeight="false" outlineLevel="0" collapsed="false">
      <c r="A465" s="11" t="str">
        <f aca="false">Apontamentos!C465</f>
        <v/>
      </c>
      <c r="B465" s="11" t="str">
        <f aca="false">IF(Apontamentos!$C465="","",Apontamentos!A465&amp;"")</f>
        <v/>
      </c>
      <c r="C465" s="11" t="str">
        <f aca="false">IF(B465="","",IFERROR(INDEX(Execuções!$C$2:$C$97,MATCH(B465,Execuções!$A$2:$A$97,0)),"ID?"))</f>
        <v/>
      </c>
      <c r="D465" s="10" t="str">
        <f aca="false">IF(B465="","",IFERROR(INDEX(Execuções!$B$2:$B$97,MATCH(B465,Execuções!$A$2:$A$97,0)),"ID?"))</f>
        <v/>
      </c>
      <c r="E465" s="11" t="str">
        <f aca="false">IF(B465="","",Apontamentos!D465)</f>
        <v/>
      </c>
      <c r="F465" s="11" t="str">
        <f aca="false">IF(B465="","",Apontamentos!E465)</f>
        <v/>
      </c>
      <c r="G465" s="10" t="str">
        <f aca="false">IF(B465="","",Apontamentos!G465&amp;"")</f>
        <v/>
      </c>
      <c r="H465" s="14" t="str">
        <f aca="false">IF('Avaliador 1'!F465='Avaliador 2'!F465,'Avaliador 1'!F465&amp;"","")</f>
        <v/>
      </c>
      <c r="I465" s="14" t="str">
        <f aca="false">IF('Avaliador 1'!G465='Avaliador 2'!G465,'Avaliador 1'!G465&amp;"","")</f>
        <v/>
      </c>
      <c r="J465" s="14" t="str">
        <f aca="false">IF('Avaliador 1'!H465='Avaliador 2'!H465,'Avaliador 1'!H465&amp;"","")</f>
        <v/>
      </c>
      <c r="K465" s="14" t="str">
        <f aca="false">IF('Avaliador 1'!I465='Avaliador 2'!I465,'Avaliador 1'!I465&amp;"","")</f>
        <v/>
      </c>
      <c r="L465" s="13"/>
      <c r="M465" s="13" t="str">
        <f aca="false">IF('Avaliador 1'!J465='Avaliador 2'!J465,'Avaliador 1'!J465&amp;"","")</f>
        <v/>
      </c>
      <c r="N465" s="11" t="str">
        <f aca="false">IF(OR('Avaliador 1'!F465="",'Avaliador 2'!F465=""),"",IF(AND('Avaliador 1'!F465='Avaliador 2'!F465,'Avaliador 1'!G465='Avaliador 2'!G465,'Avaliador 1'!H465='Avaliador 2'!H465,'Avaliador 1'!I465='Avaliador 2'!I465),"Não","Sim"))</f>
        <v/>
      </c>
      <c r="O465" s="14"/>
      <c r="P465" s="10" t="str">
        <f aca="false">IF(LEN(H465)=3,"Defeito encontrado",IF(I465="Sim","Falso alarme",IF(H465="—","Nenhum defeito apontado","")))</f>
        <v/>
      </c>
    </row>
    <row r="466" customFormat="false" ht="15" hidden="false" customHeight="false" outlineLevel="0" collapsed="false">
      <c r="A466" s="11" t="str">
        <f aca="false">Apontamentos!C466</f>
        <v/>
      </c>
      <c r="B466" s="11" t="str">
        <f aca="false">IF(Apontamentos!$C466="","",Apontamentos!A466&amp;"")</f>
        <v/>
      </c>
      <c r="C466" s="11" t="str">
        <f aca="false">IF(B466="","",IFERROR(INDEX(Execuções!$C$2:$C$97,MATCH(B466,Execuções!$A$2:$A$97,0)),"ID?"))</f>
        <v/>
      </c>
      <c r="D466" s="10" t="str">
        <f aca="false">IF(B466="","",IFERROR(INDEX(Execuções!$B$2:$B$97,MATCH(B466,Execuções!$A$2:$A$97,0)),"ID?"))</f>
        <v/>
      </c>
      <c r="E466" s="11" t="str">
        <f aca="false">IF(B466="","",Apontamentos!D466)</f>
        <v/>
      </c>
      <c r="F466" s="11" t="str">
        <f aca="false">IF(B466="","",Apontamentos!E466)</f>
        <v/>
      </c>
      <c r="G466" s="10" t="str">
        <f aca="false">IF(B466="","",Apontamentos!G466&amp;"")</f>
        <v/>
      </c>
      <c r="H466" s="14" t="str">
        <f aca="false">IF('Avaliador 1'!F466='Avaliador 2'!F466,'Avaliador 1'!F466&amp;"","")</f>
        <v/>
      </c>
      <c r="I466" s="14" t="str">
        <f aca="false">IF('Avaliador 1'!G466='Avaliador 2'!G466,'Avaliador 1'!G466&amp;"","")</f>
        <v/>
      </c>
      <c r="J466" s="14" t="str">
        <f aca="false">IF('Avaliador 1'!H466='Avaliador 2'!H466,'Avaliador 1'!H466&amp;"","")</f>
        <v/>
      </c>
      <c r="K466" s="14" t="str">
        <f aca="false">IF('Avaliador 1'!I466='Avaliador 2'!I466,'Avaliador 1'!I466&amp;"","")</f>
        <v/>
      </c>
      <c r="L466" s="13"/>
      <c r="M466" s="13" t="str">
        <f aca="false">IF('Avaliador 1'!J466='Avaliador 2'!J466,'Avaliador 1'!J466&amp;"","")</f>
        <v/>
      </c>
      <c r="N466" s="11" t="str">
        <f aca="false">IF(OR('Avaliador 1'!F466="",'Avaliador 2'!F466=""),"",IF(AND('Avaliador 1'!F466='Avaliador 2'!F466,'Avaliador 1'!G466='Avaliador 2'!G466,'Avaliador 1'!H466='Avaliador 2'!H466,'Avaliador 1'!I466='Avaliador 2'!I466),"Não","Sim"))</f>
        <v/>
      </c>
      <c r="O466" s="14"/>
      <c r="P466" s="10" t="str">
        <f aca="false">IF(LEN(H466)=3,"Defeito encontrado",IF(I466="Sim","Falso alarme",IF(H466="—","Nenhum defeito apontado","")))</f>
        <v/>
      </c>
    </row>
    <row r="467" customFormat="false" ht="15" hidden="false" customHeight="false" outlineLevel="0" collapsed="false">
      <c r="A467" s="11" t="str">
        <f aca="false">Apontamentos!C467</f>
        <v/>
      </c>
      <c r="B467" s="11" t="str">
        <f aca="false">IF(Apontamentos!$C467="","",Apontamentos!A467&amp;"")</f>
        <v/>
      </c>
      <c r="C467" s="11" t="str">
        <f aca="false">IF(B467="","",IFERROR(INDEX(Execuções!$C$2:$C$97,MATCH(B467,Execuções!$A$2:$A$97,0)),"ID?"))</f>
        <v/>
      </c>
      <c r="D467" s="10" t="str">
        <f aca="false">IF(B467="","",IFERROR(INDEX(Execuções!$B$2:$B$97,MATCH(B467,Execuções!$A$2:$A$97,0)),"ID?"))</f>
        <v/>
      </c>
      <c r="E467" s="11" t="str">
        <f aca="false">IF(B467="","",Apontamentos!D467)</f>
        <v/>
      </c>
      <c r="F467" s="11" t="str">
        <f aca="false">IF(B467="","",Apontamentos!E467)</f>
        <v/>
      </c>
      <c r="G467" s="10" t="str">
        <f aca="false">IF(B467="","",Apontamentos!G467&amp;"")</f>
        <v/>
      </c>
      <c r="H467" s="14" t="str">
        <f aca="false">IF('Avaliador 1'!F467='Avaliador 2'!F467,'Avaliador 1'!F467&amp;"","")</f>
        <v/>
      </c>
      <c r="I467" s="14" t="str">
        <f aca="false">IF('Avaliador 1'!G467='Avaliador 2'!G467,'Avaliador 1'!G467&amp;"","")</f>
        <v/>
      </c>
      <c r="J467" s="14" t="str">
        <f aca="false">IF('Avaliador 1'!H467='Avaliador 2'!H467,'Avaliador 1'!H467&amp;"","")</f>
        <v/>
      </c>
      <c r="K467" s="14" t="str">
        <f aca="false">IF('Avaliador 1'!I467='Avaliador 2'!I467,'Avaliador 1'!I467&amp;"","")</f>
        <v/>
      </c>
      <c r="L467" s="13"/>
      <c r="M467" s="13" t="str">
        <f aca="false">IF('Avaliador 1'!J467='Avaliador 2'!J467,'Avaliador 1'!J467&amp;"","")</f>
        <v/>
      </c>
      <c r="N467" s="11" t="str">
        <f aca="false">IF(OR('Avaliador 1'!F467="",'Avaliador 2'!F467=""),"",IF(AND('Avaliador 1'!F467='Avaliador 2'!F467,'Avaliador 1'!G467='Avaliador 2'!G467,'Avaliador 1'!H467='Avaliador 2'!H467,'Avaliador 1'!I467='Avaliador 2'!I467),"Não","Sim"))</f>
        <v/>
      </c>
      <c r="O467" s="14"/>
      <c r="P467" s="10" t="str">
        <f aca="false">IF(LEN(H467)=3,"Defeito encontrado",IF(I467="Sim","Falso alarme",IF(H467="—","Nenhum defeito apontado","")))</f>
        <v/>
      </c>
    </row>
    <row r="468" customFormat="false" ht="15" hidden="false" customHeight="false" outlineLevel="0" collapsed="false">
      <c r="A468" s="11" t="str">
        <f aca="false">Apontamentos!C468</f>
        <v/>
      </c>
      <c r="B468" s="11" t="str">
        <f aca="false">IF(Apontamentos!$C468="","",Apontamentos!A468&amp;"")</f>
        <v/>
      </c>
      <c r="C468" s="11" t="str">
        <f aca="false">IF(B468="","",IFERROR(INDEX(Execuções!$C$2:$C$97,MATCH(B468,Execuções!$A$2:$A$97,0)),"ID?"))</f>
        <v/>
      </c>
      <c r="D468" s="10" t="str">
        <f aca="false">IF(B468="","",IFERROR(INDEX(Execuções!$B$2:$B$97,MATCH(B468,Execuções!$A$2:$A$97,0)),"ID?"))</f>
        <v/>
      </c>
      <c r="E468" s="11" t="str">
        <f aca="false">IF(B468="","",Apontamentos!D468)</f>
        <v/>
      </c>
      <c r="F468" s="11" t="str">
        <f aca="false">IF(B468="","",Apontamentos!E468)</f>
        <v/>
      </c>
      <c r="G468" s="10" t="str">
        <f aca="false">IF(B468="","",Apontamentos!G468&amp;"")</f>
        <v/>
      </c>
      <c r="H468" s="14" t="str">
        <f aca="false">IF('Avaliador 1'!F468='Avaliador 2'!F468,'Avaliador 1'!F468&amp;"","")</f>
        <v/>
      </c>
      <c r="I468" s="14" t="str">
        <f aca="false">IF('Avaliador 1'!G468='Avaliador 2'!G468,'Avaliador 1'!G468&amp;"","")</f>
        <v/>
      </c>
      <c r="J468" s="14" t="str">
        <f aca="false">IF('Avaliador 1'!H468='Avaliador 2'!H468,'Avaliador 1'!H468&amp;"","")</f>
        <v/>
      </c>
      <c r="K468" s="14" t="str">
        <f aca="false">IF('Avaliador 1'!I468='Avaliador 2'!I468,'Avaliador 1'!I468&amp;"","")</f>
        <v/>
      </c>
      <c r="L468" s="13"/>
      <c r="M468" s="13" t="str">
        <f aca="false">IF('Avaliador 1'!J468='Avaliador 2'!J468,'Avaliador 1'!J468&amp;"","")</f>
        <v/>
      </c>
      <c r="N468" s="11" t="str">
        <f aca="false">IF(OR('Avaliador 1'!F468="",'Avaliador 2'!F468=""),"",IF(AND('Avaliador 1'!F468='Avaliador 2'!F468,'Avaliador 1'!G468='Avaliador 2'!G468,'Avaliador 1'!H468='Avaliador 2'!H468,'Avaliador 1'!I468='Avaliador 2'!I468),"Não","Sim"))</f>
        <v/>
      </c>
      <c r="O468" s="14"/>
      <c r="P468" s="10" t="str">
        <f aca="false">IF(LEN(H468)=3,"Defeito encontrado",IF(I468="Sim","Falso alarme",IF(H468="—","Nenhum defeito apontado","")))</f>
        <v/>
      </c>
    </row>
    <row r="469" customFormat="false" ht="15" hidden="false" customHeight="false" outlineLevel="0" collapsed="false">
      <c r="A469" s="11" t="str">
        <f aca="false">Apontamentos!C469</f>
        <v/>
      </c>
      <c r="B469" s="11" t="str">
        <f aca="false">IF(Apontamentos!$C469="","",Apontamentos!A469&amp;"")</f>
        <v/>
      </c>
      <c r="C469" s="11" t="str">
        <f aca="false">IF(B469="","",IFERROR(INDEX(Execuções!$C$2:$C$97,MATCH(B469,Execuções!$A$2:$A$97,0)),"ID?"))</f>
        <v/>
      </c>
      <c r="D469" s="10" t="str">
        <f aca="false">IF(B469="","",IFERROR(INDEX(Execuções!$B$2:$B$97,MATCH(B469,Execuções!$A$2:$A$97,0)),"ID?"))</f>
        <v/>
      </c>
      <c r="E469" s="11" t="str">
        <f aca="false">IF(B469="","",Apontamentos!D469)</f>
        <v/>
      </c>
      <c r="F469" s="11" t="str">
        <f aca="false">IF(B469="","",Apontamentos!E469)</f>
        <v/>
      </c>
      <c r="G469" s="10" t="str">
        <f aca="false">IF(B469="","",Apontamentos!G469&amp;"")</f>
        <v/>
      </c>
      <c r="H469" s="14" t="str">
        <f aca="false">IF('Avaliador 1'!F469='Avaliador 2'!F469,'Avaliador 1'!F469&amp;"","")</f>
        <v/>
      </c>
      <c r="I469" s="14" t="str">
        <f aca="false">IF('Avaliador 1'!G469='Avaliador 2'!G469,'Avaliador 1'!G469&amp;"","")</f>
        <v/>
      </c>
      <c r="J469" s="14" t="str">
        <f aca="false">IF('Avaliador 1'!H469='Avaliador 2'!H469,'Avaliador 1'!H469&amp;"","")</f>
        <v/>
      </c>
      <c r="K469" s="14" t="str">
        <f aca="false">IF('Avaliador 1'!I469='Avaliador 2'!I469,'Avaliador 1'!I469&amp;"","")</f>
        <v/>
      </c>
      <c r="L469" s="13"/>
      <c r="M469" s="13" t="str">
        <f aca="false">IF('Avaliador 1'!J469='Avaliador 2'!J469,'Avaliador 1'!J469&amp;"","")</f>
        <v/>
      </c>
      <c r="N469" s="11" t="str">
        <f aca="false">IF(OR('Avaliador 1'!F469="",'Avaliador 2'!F469=""),"",IF(AND('Avaliador 1'!F469='Avaliador 2'!F469,'Avaliador 1'!G469='Avaliador 2'!G469,'Avaliador 1'!H469='Avaliador 2'!H469,'Avaliador 1'!I469='Avaliador 2'!I469),"Não","Sim"))</f>
        <v/>
      </c>
      <c r="O469" s="14"/>
      <c r="P469" s="10" t="str">
        <f aca="false">IF(LEN(H469)=3,"Defeito encontrado",IF(I469="Sim","Falso alarme",IF(H469="—","Nenhum defeito apontado","")))</f>
        <v/>
      </c>
    </row>
    <row r="470" customFormat="false" ht="15" hidden="false" customHeight="false" outlineLevel="0" collapsed="false">
      <c r="A470" s="11" t="str">
        <f aca="false">Apontamentos!C470</f>
        <v/>
      </c>
      <c r="B470" s="11" t="str">
        <f aca="false">IF(Apontamentos!$C470="","",Apontamentos!A470&amp;"")</f>
        <v/>
      </c>
      <c r="C470" s="11" t="str">
        <f aca="false">IF(B470="","",IFERROR(INDEX(Execuções!$C$2:$C$97,MATCH(B470,Execuções!$A$2:$A$97,0)),"ID?"))</f>
        <v/>
      </c>
      <c r="D470" s="10" t="str">
        <f aca="false">IF(B470="","",IFERROR(INDEX(Execuções!$B$2:$B$97,MATCH(B470,Execuções!$A$2:$A$97,0)),"ID?"))</f>
        <v/>
      </c>
      <c r="E470" s="11" t="str">
        <f aca="false">IF(B470="","",Apontamentos!D470)</f>
        <v/>
      </c>
      <c r="F470" s="11" t="str">
        <f aca="false">IF(B470="","",Apontamentos!E470)</f>
        <v/>
      </c>
      <c r="G470" s="10" t="str">
        <f aca="false">IF(B470="","",Apontamentos!G470&amp;"")</f>
        <v/>
      </c>
      <c r="H470" s="14" t="str">
        <f aca="false">IF('Avaliador 1'!F470='Avaliador 2'!F470,'Avaliador 1'!F470&amp;"","")</f>
        <v/>
      </c>
      <c r="I470" s="14" t="str">
        <f aca="false">IF('Avaliador 1'!G470='Avaliador 2'!G470,'Avaliador 1'!G470&amp;"","")</f>
        <v/>
      </c>
      <c r="J470" s="14" t="str">
        <f aca="false">IF('Avaliador 1'!H470='Avaliador 2'!H470,'Avaliador 1'!H470&amp;"","")</f>
        <v/>
      </c>
      <c r="K470" s="14" t="str">
        <f aca="false">IF('Avaliador 1'!I470='Avaliador 2'!I470,'Avaliador 1'!I470&amp;"","")</f>
        <v/>
      </c>
      <c r="L470" s="13"/>
      <c r="M470" s="13" t="str">
        <f aca="false">IF('Avaliador 1'!J470='Avaliador 2'!J470,'Avaliador 1'!J470&amp;"","")</f>
        <v/>
      </c>
      <c r="N470" s="11" t="str">
        <f aca="false">IF(OR('Avaliador 1'!F470="",'Avaliador 2'!F470=""),"",IF(AND('Avaliador 1'!F470='Avaliador 2'!F470,'Avaliador 1'!G470='Avaliador 2'!G470,'Avaliador 1'!H470='Avaliador 2'!H470,'Avaliador 1'!I470='Avaliador 2'!I470),"Não","Sim"))</f>
        <v/>
      </c>
      <c r="O470" s="14"/>
      <c r="P470" s="10" t="str">
        <f aca="false">IF(LEN(H470)=3,"Defeito encontrado",IF(I470="Sim","Falso alarme",IF(H470="—","Nenhum defeito apontado","")))</f>
        <v/>
      </c>
    </row>
    <row r="471" customFormat="false" ht="15" hidden="false" customHeight="false" outlineLevel="0" collapsed="false">
      <c r="A471" s="11" t="str">
        <f aca="false">Apontamentos!C471</f>
        <v/>
      </c>
      <c r="B471" s="11" t="str">
        <f aca="false">IF(Apontamentos!$C471="","",Apontamentos!A471&amp;"")</f>
        <v/>
      </c>
      <c r="C471" s="11" t="str">
        <f aca="false">IF(B471="","",IFERROR(INDEX(Execuções!$C$2:$C$97,MATCH(B471,Execuções!$A$2:$A$97,0)),"ID?"))</f>
        <v/>
      </c>
      <c r="D471" s="10" t="str">
        <f aca="false">IF(B471="","",IFERROR(INDEX(Execuções!$B$2:$B$97,MATCH(B471,Execuções!$A$2:$A$97,0)),"ID?"))</f>
        <v/>
      </c>
      <c r="E471" s="11" t="str">
        <f aca="false">IF(B471="","",Apontamentos!D471)</f>
        <v/>
      </c>
      <c r="F471" s="11" t="str">
        <f aca="false">IF(B471="","",Apontamentos!E471)</f>
        <v/>
      </c>
      <c r="G471" s="10" t="str">
        <f aca="false">IF(B471="","",Apontamentos!G471&amp;"")</f>
        <v/>
      </c>
      <c r="H471" s="14" t="str">
        <f aca="false">IF('Avaliador 1'!F471='Avaliador 2'!F471,'Avaliador 1'!F471&amp;"","")</f>
        <v/>
      </c>
      <c r="I471" s="14" t="str">
        <f aca="false">IF('Avaliador 1'!G471='Avaliador 2'!G471,'Avaliador 1'!G471&amp;"","")</f>
        <v/>
      </c>
      <c r="J471" s="14" t="str">
        <f aca="false">IF('Avaliador 1'!H471='Avaliador 2'!H471,'Avaliador 1'!H471&amp;"","")</f>
        <v/>
      </c>
      <c r="K471" s="14" t="str">
        <f aca="false">IF('Avaliador 1'!I471='Avaliador 2'!I471,'Avaliador 1'!I471&amp;"","")</f>
        <v/>
      </c>
      <c r="L471" s="13"/>
      <c r="M471" s="13" t="str">
        <f aca="false">IF('Avaliador 1'!J471='Avaliador 2'!J471,'Avaliador 1'!J471&amp;"","")</f>
        <v/>
      </c>
      <c r="N471" s="11" t="str">
        <f aca="false">IF(OR('Avaliador 1'!F471="",'Avaliador 2'!F471=""),"",IF(AND('Avaliador 1'!F471='Avaliador 2'!F471,'Avaliador 1'!G471='Avaliador 2'!G471,'Avaliador 1'!H471='Avaliador 2'!H471,'Avaliador 1'!I471='Avaliador 2'!I471),"Não","Sim"))</f>
        <v/>
      </c>
      <c r="O471" s="14"/>
      <c r="P471" s="10" t="str">
        <f aca="false">IF(LEN(H471)=3,"Defeito encontrado",IF(I471="Sim","Falso alarme",IF(H471="—","Nenhum defeito apontado","")))</f>
        <v/>
      </c>
    </row>
    <row r="472" customFormat="false" ht="15" hidden="false" customHeight="false" outlineLevel="0" collapsed="false">
      <c r="A472" s="11" t="str">
        <f aca="false">Apontamentos!C472</f>
        <v/>
      </c>
      <c r="B472" s="11" t="str">
        <f aca="false">IF(Apontamentos!$C472="","",Apontamentos!A472&amp;"")</f>
        <v/>
      </c>
      <c r="C472" s="11" t="str">
        <f aca="false">IF(B472="","",IFERROR(INDEX(Execuções!$C$2:$C$97,MATCH(B472,Execuções!$A$2:$A$97,0)),"ID?"))</f>
        <v/>
      </c>
      <c r="D472" s="10" t="str">
        <f aca="false">IF(B472="","",IFERROR(INDEX(Execuções!$B$2:$B$97,MATCH(B472,Execuções!$A$2:$A$97,0)),"ID?"))</f>
        <v/>
      </c>
      <c r="E472" s="11" t="str">
        <f aca="false">IF(B472="","",Apontamentos!D472)</f>
        <v/>
      </c>
      <c r="F472" s="11" t="str">
        <f aca="false">IF(B472="","",Apontamentos!E472)</f>
        <v/>
      </c>
      <c r="G472" s="10" t="str">
        <f aca="false">IF(B472="","",Apontamentos!G472&amp;"")</f>
        <v/>
      </c>
      <c r="H472" s="14" t="str">
        <f aca="false">IF('Avaliador 1'!F472='Avaliador 2'!F472,'Avaliador 1'!F472&amp;"","")</f>
        <v/>
      </c>
      <c r="I472" s="14" t="str">
        <f aca="false">IF('Avaliador 1'!G472='Avaliador 2'!G472,'Avaliador 1'!G472&amp;"","")</f>
        <v/>
      </c>
      <c r="J472" s="14" t="str">
        <f aca="false">IF('Avaliador 1'!H472='Avaliador 2'!H472,'Avaliador 1'!H472&amp;"","")</f>
        <v/>
      </c>
      <c r="K472" s="14" t="str">
        <f aca="false">IF('Avaliador 1'!I472='Avaliador 2'!I472,'Avaliador 1'!I472&amp;"","")</f>
        <v/>
      </c>
      <c r="L472" s="13"/>
      <c r="M472" s="13" t="str">
        <f aca="false">IF('Avaliador 1'!J472='Avaliador 2'!J472,'Avaliador 1'!J472&amp;"","")</f>
        <v/>
      </c>
      <c r="N472" s="11" t="str">
        <f aca="false">IF(OR('Avaliador 1'!F472="",'Avaliador 2'!F472=""),"",IF(AND('Avaliador 1'!F472='Avaliador 2'!F472,'Avaliador 1'!G472='Avaliador 2'!G472,'Avaliador 1'!H472='Avaliador 2'!H472,'Avaliador 1'!I472='Avaliador 2'!I472),"Não","Sim"))</f>
        <v/>
      </c>
      <c r="O472" s="14"/>
      <c r="P472" s="10" t="str">
        <f aca="false">IF(LEN(H472)=3,"Defeito encontrado",IF(I472="Sim","Falso alarme",IF(H472="—","Nenhum defeito apontado","")))</f>
        <v/>
      </c>
    </row>
    <row r="473" customFormat="false" ht="15" hidden="false" customHeight="false" outlineLevel="0" collapsed="false">
      <c r="A473" s="11" t="str">
        <f aca="false">Apontamentos!C473</f>
        <v/>
      </c>
      <c r="B473" s="11" t="str">
        <f aca="false">IF(Apontamentos!$C473="","",Apontamentos!A473&amp;"")</f>
        <v/>
      </c>
      <c r="C473" s="11" t="str">
        <f aca="false">IF(B473="","",IFERROR(INDEX(Execuções!$C$2:$C$97,MATCH(B473,Execuções!$A$2:$A$97,0)),"ID?"))</f>
        <v/>
      </c>
      <c r="D473" s="10" t="str">
        <f aca="false">IF(B473="","",IFERROR(INDEX(Execuções!$B$2:$B$97,MATCH(B473,Execuções!$A$2:$A$97,0)),"ID?"))</f>
        <v/>
      </c>
      <c r="E473" s="11" t="str">
        <f aca="false">IF(B473="","",Apontamentos!D473)</f>
        <v/>
      </c>
      <c r="F473" s="11" t="str">
        <f aca="false">IF(B473="","",Apontamentos!E473)</f>
        <v/>
      </c>
      <c r="G473" s="10" t="str">
        <f aca="false">IF(B473="","",Apontamentos!G473&amp;"")</f>
        <v/>
      </c>
      <c r="H473" s="14" t="str">
        <f aca="false">IF('Avaliador 1'!F473='Avaliador 2'!F473,'Avaliador 1'!F473&amp;"","")</f>
        <v/>
      </c>
      <c r="I473" s="14" t="str">
        <f aca="false">IF('Avaliador 1'!G473='Avaliador 2'!G473,'Avaliador 1'!G473&amp;"","")</f>
        <v/>
      </c>
      <c r="J473" s="14" t="str">
        <f aca="false">IF('Avaliador 1'!H473='Avaliador 2'!H473,'Avaliador 1'!H473&amp;"","")</f>
        <v/>
      </c>
      <c r="K473" s="14" t="str">
        <f aca="false">IF('Avaliador 1'!I473='Avaliador 2'!I473,'Avaliador 1'!I473&amp;"","")</f>
        <v/>
      </c>
      <c r="L473" s="13"/>
      <c r="M473" s="13" t="str">
        <f aca="false">IF('Avaliador 1'!J473='Avaliador 2'!J473,'Avaliador 1'!J473&amp;"","")</f>
        <v/>
      </c>
      <c r="N473" s="11" t="str">
        <f aca="false">IF(OR('Avaliador 1'!F473="",'Avaliador 2'!F473=""),"",IF(AND('Avaliador 1'!F473='Avaliador 2'!F473,'Avaliador 1'!G473='Avaliador 2'!G473,'Avaliador 1'!H473='Avaliador 2'!H473,'Avaliador 1'!I473='Avaliador 2'!I473),"Não","Sim"))</f>
        <v/>
      </c>
      <c r="O473" s="14"/>
      <c r="P473" s="10" t="str">
        <f aca="false">IF(LEN(H473)=3,"Defeito encontrado",IF(I473="Sim","Falso alarme",IF(H473="—","Nenhum defeito apontado","")))</f>
        <v/>
      </c>
    </row>
    <row r="474" customFormat="false" ht="15" hidden="false" customHeight="false" outlineLevel="0" collapsed="false">
      <c r="A474" s="11" t="str">
        <f aca="false">Apontamentos!C474</f>
        <v/>
      </c>
      <c r="B474" s="11" t="str">
        <f aca="false">IF(Apontamentos!$C474="","",Apontamentos!A474&amp;"")</f>
        <v/>
      </c>
      <c r="C474" s="11" t="str">
        <f aca="false">IF(B474="","",IFERROR(INDEX(Execuções!$C$2:$C$97,MATCH(B474,Execuções!$A$2:$A$97,0)),"ID?"))</f>
        <v/>
      </c>
      <c r="D474" s="10" t="str">
        <f aca="false">IF(B474="","",IFERROR(INDEX(Execuções!$B$2:$B$97,MATCH(B474,Execuções!$A$2:$A$97,0)),"ID?"))</f>
        <v/>
      </c>
      <c r="E474" s="11" t="str">
        <f aca="false">IF(B474="","",Apontamentos!D474)</f>
        <v/>
      </c>
      <c r="F474" s="11" t="str">
        <f aca="false">IF(B474="","",Apontamentos!E474)</f>
        <v/>
      </c>
      <c r="G474" s="10" t="str">
        <f aca="false">IF(B474="","",Apontamentos!G474&amp;"")</f>
        <v/>
      </c>
      <c r="H474" s="14" t="str">
        <f aca="false">IF('Avaliador 1'!F474='Avaliador 2'!F474,'Avaliador 1'!F474&amp;"","")</f>
        <v/>
      </c>
      <c r="I474" s="14" t="str">
        <f aca="false">IF('Avaliador 1'!G474='Avaliador 2'!G474,'Avaliador 1'!G474&amp;"","")</f>
        <v/>
      </c>
      <c r="J474" s="14" t="str">
        <f aca="false">IF('Avaliador 1'!H474='Avaliador 2'!H474,'Avaliador 1'!H474&amp;"","")</f>
        <v/>
      </c>
      <c r="K474" s="14" t="str">
        <f aca="false">IF('Avaliador 1'!I474='Avaliador 2'!I474,'Avaliador 1'!I474&amp;"","")</f>
        <v/>
      </c>
      <c r="L474" s="13"/>
      <c r="M474" s="13" t="str">
        <f aca="false">IF('Avaliador 1'!J474='Avaliador 2'!J474,'Avaliador 1'!J474&amp;"","")</f>
        <v/>
      </c>
      <c r="N474" s="11" t="str">
        <f aca="false">IF(OR('Avaliador 1'!F474="",'Avaliador 2'!F474=""),"",IF(AND('Avaliador 1'!F474='Avaliador 2'!F474,'Avaliador 1'!G474='Avaliador 2'!G474,'Avaliador 1'!H474='Avaliador 2'!H474,'Avaliador 1'!I474='Avaliador 2'!I474),"Não","Sim"))</f>
        <v/>
      </c>
      <c r="O474" s="14"/>
      <c r="P474" s="10" t="str">
        <f aca="false">IF(LEN(H474)=3,"Defeito encontrado",IF(I474="Sim","Falso alarme",IF(H474="—","Nenhum defeito apontado","")))</f>
        <v/>
      </c>
    </row>
    <row r="475" customFormat="false" ht="15" hidden="false" customHeight="false" outlineLevel="0" collapsed="false">
      <c r="A475" s="11" t="str">
        <f aca="false">Apontamentos!C475</f>
        <v/>
      </c>
      <c r="B475" s="11" t="str">
        <f aca="false">IF(Apontamentos!$C475="","",Apontamentos!A475&amp;"")</f>
        <v/>
      </c>
      <c r="C475" s="11" t="str">
        <f aca="false">IF(B475="","",IFERROR(INDEX(Execuções!$C$2:$C$97,MATCH(B475,Execuções!$A$2:$A$97,0)),"ID?"))</f>
        <v/>
      </c>
      <c r="D475" s="10" t="str">
        <f aca="false">IF(B475="","",IFERROR(INDEX(Execuções!$B$2:$B$97,MATCH(B475,Execuções!$A$2:$A$97,0)),"ID?"))</f>
        <v/>
      </c>
      <c r="E475" s="11" t="str">
        <f aca="false">IF(B475="","",Apontamentos!D475)</f>
        <v/>
      </c>
      <c r="F475" s="11" t="str">
        <f aca="false">IF(B475="","",Apontamentos!E475)</f>
        <v/>
      </c>
      <c r="G475" s="10" t="str">
        <f aca="false">IF(B475="","",Apontamentos!G475&amp;"")</f>
        <v/>
      </c>
      <c r="H475" s="14" t="str">
        <f aca="false">IF('Avaliador 1'!F475='Avaliador 2'!F475,'Avaliador 1'!F475&amp;"","")</f>
        <v/>
      </c>
      <c r="I475" s="14" t="str">
        <f aca="false">IF('Avaliador 1'!G475='Avaliador 2'!G475,'Avaliador 1'!G475&amp;"","")</f>
        <v/>
      </c>
      <c r="J475" s="14" t="str">
        <f aca="false">IF('Avaliador 1'!H475='Avaliador 2'!H475,'Avaliador 1'!H475&amp;"","")</f>
        <v/>
      </c>
      <c r="K475" s="14" t="str">
        <f aca="false">IF('Avaliador 1'!I475='Avaliador 2'!I475,'Avaliador 1'!I475&amp;"","")</f>
        <v/>
      </c>
      <c r="L475" s="13"/>
      <c r="M475" s="13" t="str">
        <f aca="false">IF('Avaliador 1'!J475='Avaliador 2'!J475,'Avaliador 1'!J475&amp;"","")</f>
        <v/>
      </c>
      <c r="N475" s="11" t="str">
        <f aca="false">IF(OR('Avaliador 1'!F475="",'Avaliador 2'!F475=""),"",IF(AND('Avaliador 1'!F475='Avaliador 2'!F475,'Avaliador 1'!G475='Avaliador 2'!G475,'Avaliador 1'!H475='Avaliador 2'!H475,'Avaliador 1'!I475='Avaliador 2'!I475),"Não","Sim"))</f>
        <v/>
      </c>
      <c r="O475" s="14"/>
      <c r="P475" s="10" t="str">
        <f aca="false">IF(LEN(H475)=3,"Defeito encontrado",IF(I475="Sim","Falso alarme",IF(H475="—","Nenhum defeito apontado","")))</f>
        <v/>
      </c>
    </row>
    <row r="476" customFormat="false" ht="15" hidden="false" customHeight="false" outlineLevel="0" collapsed="false">
      <c r="A476" s="11" t="str">
        <f aca="false">Apontamentos!C476</f>
        <v/>
      </c>
      <c r="B476" s="11" t="str">
        <f aca="false">IF(Apontamentos!$C476="","",Apontamentos!A476&amp;"")</f>
        <v/>
      </c>
      <c r="C476" s="11" t="str">
        <f aca="false">IF(B476="","",IFERROR(INDEX(Execuções!$C$2:$C$97,MATCH(B476,Execuções!$A$2:$A$97,0)),"ID?"))</f>
        <v/>
      </c>
      <c r="D476" s="10" t="str">
        <f aca="false">IF(B476="","",IFERROR(INDEX(Execuções!$B$2:$B$97,MATCH(B476,Execuções!$A$2:$A$97,0)),"ID?"))</f>
        <v/>
      </c>
      <c r="E476" s="11" t="str">
        <f aca="false">IF(B476="","",Apontamentos!D476)</f>
        <v/>
      </c>
      <c r="F476" s="11" t="str">
        <f aca="false">IF(B476="","",Apontamentos!E476)</f>
        <v/>
      </c>
      <c r="G476" s="10" t="str">
        <f aca="false">IF(B476="","",Apontamentos!G476&amp;"")</f>
        <v/>
      </c>
      <c r="H476" s="14" t="str">
        <f aca="false">IF('Avaliador 1'!F476='Avaliador 2'!F476,'Avaliador 1'!F476&amp;"","")</f>
        <v/>
      </c>
      <c r="I476" s="14" t="str">
        <f aca="false">IF('Avaliador 1'!G476='Avaliador 2'!G476,'Avaliador 1'!G476&amp;"","")</f>
        <v/>
      </c>
      <c r="J476" s="14" t="str">
        <f aca="false">IF('Avaliador 1'!H476='Avaliador 2'!H476,'Avaliador 1'!H476&amp;"","")</f>
        <v/>
      </c>
      <c r="K476" s="14" t="str">
        <f aca="false">IF('Avaliador 1'!I476='Avaliador 2'!I476,'Avaliador 1'!I476&amp;"","")</f>
        <v/>
      </c>
      <c r="L476" s="13"/>
      <c r="M476" s="13" t="str">
        <f aca="false">IF('Avaliador 1'!J476='Avaliador 2'!J476,'Avaliador 1'!J476&amp;"","")</f>
        <v/>
      </c>
      <c r="N476" s="11" t="str">
        <f aca="false">IF(OR('Avaliador 1'!F476="",'Avaliador 2'!F476=""),"",IF(AND('Avaliador 1'!F476='Avaliador 2'!F476,'Avaliador 1'!G476='Avaliador 2'!G476,'Avaliador 1'!H476='Avaliador 2'!H476,'Avaliador 1'!I476='Avaliador 2'!I476),"Não","Sim"))</f>
        <v/>
      </c>
      <c r="O476" s="14"/>
      <c r="P476" s="10" t="str">
        <f aca="false">IF(LEN(H476)=3,"Defeito encontrado",IF(I476="Sim","Falso alarme",IF(H476="—","Nenhum defeito apontado","")))</f>
        <v/>
      </c>
    </row>
    <row r="477" customFormat="false" ht="15" hidden="false" customHeight="false" outlineLevel="0" collapsed="false">
      <c r="A477" s="11" t="str">
        <f aca="false">Apontamentos!C477</f>
        <v/>
      </c>
      <c r="B477" s="11" t="str">
        <f aca="false">IF(Apontamentos!$C477="","",Apontamentos!A477&amp;"")</f>
        <v/>
      </c>
      <c r="C477" s="11" t="str">
        <f aca="false">IF(B477="","",IFERROR(INDEX(Execuções!$C$2:$C$97,MATCH(B477,Execuções!$A$2:$A$97,0)),"ID?"))</f>
        <v/>
      </c>
      <c r="D477" s="10" t="str">
        <f aca="false">IF(B477="","",IFERROR(INDEX(Execuções!$B$2:$B$97,MATCH(B477,Execuções!$A$2:$A$97,0)),"ID?"))</f>
        <v/>
      </c>
      <c r="E477" s="11" t="str">
        <f aca="false">IF(B477="","",Apontamentos!D477)</f>
        <v/>
      </c>
      <c r="F477" s="11" t="str">
        <f aca="false">IF(B477="","",Apontamentos!E477)</f>
        <v/>
      </c>
      <c r="G477" s="10" t="str">
        <f aca="false">IF(B477="","",Apontamentos!G477&amp;"")</f>
        <v/>
      </c>
      <c r="H477" s="14" t="str">
        <f aca="false">IF('Avaliador 1'!F477='Avaliador 2'!F477,'Avaliador 1'!F477&amp;"","")</f>
        <v/>
      </c>
      <c r="I477" s="14" t="str">
        <f aca="false">IF('Avaliador 1'!G477='Avaliador 2'!G477,'Avaliador 1'!G477&amp;"","")</f>
        <v/>
      </c>
      <c r="J477" s="14" t="str">
        <f aca="false">IF('Avaliador 1'!H477='Avaliador 2'!H477,'Avaliador 1'!H477&amp;"","")</f>
        <v/>
      </c>
      <c r="K477" s="14" t="str">
        <f aca="false">IF('Avaliador 1'!I477='Avaliador 2'!I477,'Avaliador 1'!I477&amp;"","")</f>
        <v/>
      </c>
      <c r="L477" s="13"/>
      <c r="M477" s="13" t="str">
        <f aca="false">IF('Avaliador 1'!J477='Avaliador 2'!J477,'Avaliador 1'!J477&amp;"","")</f>
        <v/>
      </c>
      <c r="N477" s="11" t="str">
        <f aca="false">IF(OR('Avaliador 1'!F477="",'Avaliador 2'!F477=""),"",IF(AND('Avaliador 1'!F477='Avaliador 2'!F477,'Avaliador 1'!G477='Avaliador 2'!G477,'Avaliador 1'!H477='Avaliador 2'!H477,'Avaliador 1'!I477='Avaliador 2'!I477),"Não","Sim"))</f>
        <v/>
      </c>
      <c r="O477" s="14"/>
      <c r="P477" s="10" t="str">
        <f aca="false">IF(LEN(H477)=3,"Defeito encontrado",IF(I477="Sim","Falso alarme",IF(H477="—","Nenhum defeito apontado","")))</f>
        <v/>
      </c>
    </row>
    <row r="478" customFormat="false" ht="15" hidden="false" customHeight="false" outlineLevel="0" collapsed="false">
      <c r="A478" s="11" t="str">
        <f aca="false">Apontamentos!C478</f>
        <v/>
      </c>
      <c r="B478" s="11" t="str">
        <f aca="false">IF(Apontamentos!$C478="","",Apontamentos!A478&amp;"")</f>
        <v/>
      </c>
      <c r="C478" s="11" t="str">
        <f aca="false">IF(B478="","",IFERROR(INDEX(Execuções!$C$2:$C$97,MATCH(B478,Execuções!$A$2:$A$97,0)),"ID?"))</f>
        <v/>
      </c>
      <c r="D478" s="10" t="str">
        <f aca="false">IF(B478="","",IFERROR(INDEX(Execuções!$B$2:$B$97,MATCH(B478,Execuções!$A$2:$A$97,0)),"ID?"))</f>
        <v/>
      </c>
      <c r="E478" s="11" t="str">
        <f aca="false">IF(B478="","",Apontamentos!D478)</f>
        <v/>
      </c>
      <c r="F478" s="11" t="str">
        <f aca="false">IF(B478="","",Apontamentos!E478)</f>
        <v/>
      </c>
      <c r="G478" s="10" t="str">
        <f aca="false">IF(B478="","",Apontamentos!G478&amp;"")</f>
        <v/>
      </c>
      <c r="H478" s="14" t="str">
        <f aca="false">IF('Avaliador 1'!F478='Avaliador 2'!F478,'Avaliador 1'!F478&amp;"","")</f>
        <v/>
      </c>
      <c r="I478" s="14" t="str">
        <f aca="false">IF('Avaliador 1'!G478='Avaliador 2'!G478,'Avaliador 1'!G478&amp;"","")</f>
        <v/>
      </c>
      <c r="J478" s="14" t="str">
        <f aca="false">IF('Avaliador 1'!H478='Avaliador 2'!H478,'Avaliador 1'!H478&amp;"","")</f>
        <v/>
      </c>
      <c r="K478" s="14" t="str">
        <f aca="false">IF('Avaliador 1'!I478='Avaliador 2'!I478,'Avaliador 1'!I478&amp;"","")</f>
        <v/>
      </c>
      <c r="L478" s="13"/>
      <c r="M478" s="13" t="str">
        <f aca="false">IF('Avaliador 1'!J478='Avaliador 2'!J478,'Avaliador 1'!J478&amp;"","")</f>
        <v/>
      </c>
      <c r="N478" s="11" t="str">
        <f aca="false">IF(OR('Avaliador 1'!F478="",'Avaliador 2'!F478=""),"",IF(AND('Avaliador 1'!F478='Avaliador 2'!F478,'Avaliador 1'!G478='Avaliador 2'!G478,'Avaliador 1'!H478='Avaliador 2'!H478,'Avaliador 1'!I478='Avaliador 2'!I478),"Não","Sim"))</f>
        <v/>
      </c>
      <c r="O478" s="14"/>
      <c r="P478" s="10" t="str">
        <f aca="false">IF(LEN(H478)=3,"Defeito encontrado",IF(I478="Sim","Falso alarme",IF(H478="—","Nenhum defeito apontado","")))</f>
        <v/>
      </c>
    </row>
    <row r="479" customFormat="false" ht="15" hidden="false" customHeight="false" outlineLevel="0" collapsed="false">
      <c r="A479" s="11" t="str">
        <f aca="false">Apontamentos!C479</f>
        <v/>
      </c>
      <c r="B479" s="11" t="str">
        <f aca="false">IF(Apontamentos!$C479="","",Apontamentos!A479&amp;"")</f>
        <v/>
      </c>
      <c r="C479" s="11" t="str">
        <f aca="false">IF(B479="","",IFERROR(INDEX(Execuções!$C$2:$C$97,MATCH(B479,Execuções!$A$2:$A$97,0)),"ID?"))</f>
        <v/>
      </c>
      <c r="D479" s="10" t="str">
        <f aca="false">IF(B479="","",IFERROR(INDEX(Execuções!$B$2:$B$97,MATCH(B479,Execuções!$A$2:$A$97,0)),"ID?"))</f>
        <v/>
      </c>
      <c r="E479" s="11" t="str">
        <f aca="false">IF(B479="","",Apontamentos!D479)</f>
        <v/>
      </c>
      <c r="F479" s="11" t="str">
        <f aca="false">IF(B479="","",Apontamentos!E479)</f>
        <v/>
      </c>
      <c r="G479" s="10" t="str">
        <f aca="false">IF(B479="","",Apontamentos!G479&amp;"")</f>
        <v/>
      </c>
      <c r="H479" s="14" t="str">
        <f aca="false">IF('Avaliador 1'!F479='Avaliador 2'!F479,'Avaliador 1'!F479&amp;"","")</f>
        <v/>
      </c>
      <c r="I479" s="14" t="str">
        <f aca="false">IF('Avaliador 1'!G479='Avaliador 2'!G479,'Avaliador 1'!G479&amp;"","")</f>
        <v/>
      </c>
      <c r="J479" s="14" t="str">
        <f aca="false">IF('Avaliador 1'!H479='Avaliador 2'!H479,'Avaliador 1'!H479&amp;"","")</f>
        <v/>
      </c>
      <c r="K479" s="14" t="str">
        <f aca="false">IF('Avaliador 1'!I479='Avaliador 2'!I479,'Avaliador 1'!I479&amp;"","")</f>
        <v/>
      </c>
      <c r="L479" s="13"/>
      <c r="M479" s="13" t="str">
        <f aca="false">IF('Avaliador 1'!J479='Avaliador 2'!J479,'Avaliador 1'!J479&amp;"","")</f>
        <v/>
      </c>
      <c r="N479" s="11" t="str">
        <f aca="false">IF(OR('Avaliador 1'!F479="",'Avaliador 2'!F479=""),"",IF(AND('Avaliador 1'!F479='Avaliador 2'!F479,'Avaliador 1'!G479='Avaliador 2'!G479,'Avaliador 1'!H479='Avaliador 2'!H479,'Avaliador 1'!I479='Avaliador 2'!I479),"Não","Sim"))</f>
        <v/>
      </c>
      <c r="O479" s="14"/>
      <c r="P479" s="10" t="str">
        <f aca="false">IF(LEN(H479)=3,"Defeito encontrado",IF(I479="Sim","Falso alarme",IF(H479="—","Nenhum defeito apontado","")))</f>
        <v/>
      </c>
    </row>
    <row r="480" customFormat="false" ht="15" hidden="false" customHeight="false" outlineLevel="0" collapsed="false">
      <c r="A480" s="11" t="str">
        <f aca="false">Apontamentos!C480</f>
        <v/>
      </c>
      <c r="B480" s="11" t="str">
        <f aca="false">IF(Apontamentos!$C480="","",Apontamentos!A480&amp;"")</f>
        <v/>
      </c>
      <c r="C480" s="11" t="str">
        <f aca="false">IF(B480="","",IFERROR(INDEX(Execuções!$C$2:$C$97,MATCH(B480,Execuções!$A$2:$A$97,0)),"ID?"))</f>
        <v/>
      </c>
      <c r="D480" s="10" t="str">
        <f aca="false">IF(B480="","",IFERROR(INDEX(Execuções!$B$2:$B$97,MATCH(B480,Execuções!$A$2:$A$97,0)),"ID?"))</f>
        <v/>
      </c>
      <c r="E480" s="11" t="str">
        <f aca="false">IF(B480="","",Apontamentos!D480)</f>
        <v/>
      </c>
      <c r="F480" s="11" t="str">
        <f aca="false">IF(B480="","",Apontamentos!E480)</f>
        <v/>
      </c>
      <c r="G480" s="10" t="str">
        <f aca="false">IF(B480="","",Apontamentos!G480&amp;"")</f>
        <v/>
      </c>
      <c r="H480" s="14" t="str">
        <f aca="false">IF('Avaliador 1'!F480='Avaliador 2'!F480,'Avaliador 1'!F480&amp;"","")</f>
        <v/>
      </c>
      <c r="I480" s="14" t="str">
        <f aca="false">IF('Avaliador 1'!G480='Avaliador 2'!G480,'Avaliador 1'!G480&amp;"","")</f>
        <v/>
      </c>
      <c r="J480" s="14" t="str">
        <f aca="false">IF('Avaliador 1'!H480='Avaliador 2'!H480,'Avaliador 1'!H480&amp;"","")</f>
        <v/>
      </c>
      <c r="K480" s="14" t="str">
        <f aca="false">IF('Avaliador 1'!I480='Avaliador 2'!I480,'Avaliador 1'!I480&amp;"","")</f>
        <v/>
      </c>
      <c r="L480" s="13"/>
      <c r="M480" s="13" t="str">
        <f aca="false">IF('Avaliador 1'!J480='Avaliador 2'!J480,'Avaliador 1'!J480&amp;"","")</f>
        <v/>
      </c>
      <c r="N480" s="11" t="str">
        <f aca="false">IF(OR('Avaliador 1'!F480="",'Avaliador 2'!F480=""),"",IF(AND('Avaliador 1'!F480='Avaliador 2'!F480,'Avaliador 1'!G480='Avaliador 2'!G480,'Avaliador 1'!H480='Avaliador 2'!H480,'Avaliador 1'!I480='Avaliador 2'!I480),"Não","Sim"))</f>
        <v/>
      </c>
      <c r="O480" s="14"/>
      <c r="P480" s="10" t="str">
        <f aca="false">IF(LEN(H480)=3,"Defeito encontrado",IF(I480="Sim","Falso alarme",IF(H480="—","Nenhum defeito apontado","")))</f>
        <v/>
      </c>
    </row>
    <row r="481" customFormat="false" ht="15" hidden="false" customHeight="false" outlineLevel="0" collapsed="false">
      <c r="A481" s="11" t="str">
        <f aca="false">Apontamentos!C481</f>
        <v/>
      </c>
      <c r="B481" s="11" t="str">
        <f aca="false">IF(Apontamentos!$C481="","",Apontamentos!A481&amp;"")</f>
        <v/>
      </c>
      <c r="C481" s="11" t="str">
        <f aca="false">IF(B481="","",IFERROR(INDEX(Execuções!$C$2:$C$97,MATCH(B481,Execuções!$A$2:$A$97,0)),"ID?"))</f>
        <v/>
      </c>
      <c r="D481" s="10" t="str">
        <f aca="false">IF(B481="","",IFERROR(INDEX(Execuções!$B$2:$B$97,MATCH(B481,Execuções!$A$2:$A$97,0)),"ID?"))</f>
        <v/>
      </c>
      <c r="E481" s="11" t="str">
        <f aca="false">IF(B481="","",Apontamentos!D481)</f>
        <v/>
      </c>
      <c r="F481" s="11" t="str">
        <f aca="false">IF(B481="","",Apontamentos!E481)</f>
        <v/>
      </c>
      <c r="G481" s="10" t="str">
        <f aca="false">IF(B481="","",Apontamentos!G481&amp;"")</f>
        <v/>
      </c>
      <c r="H481" s="14" t="str">
        <f aca="false">IF('Avaliador 1'!F481='Avaliador 2'!F481,'Avaliador 1'!F481&amp;"","")</f>
        <v/>
      </c>
      <c r="I481" s="14" t="str">
        <f aca="false">IF('Avaliador 1'!G481='Avaliador 2'!G481,'Avaliador 1'!G481&amp;"","")</f>
        <v/>
      </c>
      <c r="J481" s="14" t="str">
        <f aca="false">IF('Avaliador 1'!H481='Avaliador 2'!H481,'Avaliador 1'!H481&amp;"","")</f>
        <v/>
      </c>
      <c r="K481" s="14" t="str">
        <f aca="false">IF('Avaliador 1'!I481='Avaliador 2'!I481,'Avaliador 1'!I481&amp;"","")</f>
        <v/>
      </c>
      <c r="L481" s="13"/>
      <c r="M481" s="13" t="str">
        <f aca="false">IF('Avaliador 1'!J481='Avaliador 2'!J481,'Avaliador 1'!J481&amp;"","")</f>
        <v/>
      </c>
      <c r="N481" s="11" t="str">
        <f aca="false">IF(OR('Avaliador 1'!F481="",'Avaliador 2'!F481=""),"",IF(AND('Avaliador 1'!F481='Avaliador 2'!F481,'Avaliador 1'!G481='Avaliador 2'!G481,'Avaliador 1'!H481='Avaliador 2'!H481,'Avaliador 1'!I481='Avaliador 2'!I481),"Não","Sim"))</f>
        <v/>
      </c>
      <c r="O481" s="14"/>
      <c r="P481" s="10" t="str">
        <f aca="false">IF(LEN(H481)=3,"Defeito encontrado",IF(I481="Sim","Falso alarme",IF(H481="—","Nenhum defeito apontado","")))</f>
        <v/>
      </c>
    </row>
    <row r="482" customFormat="false" ht="15" hidden="false" customHeight="false" outlineLevel="0" collapsed="false">
      <c r="A482" s="11" t="str">
        <f aca="false">Apontamentos!C482</f>
        <v/>
      </c>
      <c r="B482" s="11" t="str">
        <f aca="false">IF(Apontamentos!$C482="","",Apontamentos!A482&amp;"")</f>
        <v/>
      </c>
      <c r="C482" s="11" t="str">
        <f aca="false">IF(B482="","",IFERROR(INDEX(Execuções!$C$2:$C$97,MATCH(B482,Execuções!$A$2:$A$97,0)),"ID?"))</f>
        <v/>
      </c>
      <c r="D482" s="10" t="str">
        <f aca="false">IF(B482="","",IFERROR(INDEX(Execuções!$B$2:$B$97,MATCH(B482,Execuções!$A$2:$A$97,0)),"ID?"))</f>
        <v/>
      </c>
      <c r="E482" s="11" t="str">
        <f aca="false">IF(B482="","",Apontamentos!D482)</f>
        <v/>
      </c>
      <c r="F482" s="11" t="str">
        <f aca="false">IF(B482="","",Apontamentos!E482)</f>
        <v/>
      </c>
      <c r="G482" s="10" t="str">
        <f aca="false">IF(B482="","",Apontamentos!G482&amp;"")</f>
        <v/>
      </c>
      <c r="H482" s="14" t="str">
        <f aca="false">IF('Avaliador 1'!F482='Avaliador 2'!F482,'Avaliador 1'!F482&amp;"","")</f>
        <v/>
      </c>
      <c r="I482" s="14" t="str">
        <f aca="false">IF('Avaliador 1'!G482='Avaliador 2'!G482,'Avaliador 1'!G482&amp;"","")</f>
        <v/>
      </c>
      <c r="J482" s="14" t="str">
        <f aca="false">IF('Avaliador 1'!H482='Avaliador 2'!H482,'Avaliador 1'!H482&amp;"","")</f>
        <v/>
      </c>
      <c r="K482" s="14" t="str">
        <f aca="false">IF('Avaliador 1'!I482='Avaliador 2'!I482,'Avaliador 1'!I482&amp;"","")</f>
        <v/>
      </c>
      <c r="L482" s="13"/>
      <c r="M482" s="13" t="str">
        <f aca="false">IF('Avaliador 1'!J482='Avaliador 2'!J482,'Avaliador 1'!J482&amp;"","")</f>
        <v/>
      </c>
      <c r="N482" s="11" t="str">
        <f aca="false">IF(OR('Avaliador 1'!F482="",'Avaliador 2'!F482=""),"",IF(AND('Avaliador 1'!F482='Avaliador 2'!F482,'Avaliador 1'!G482='Avaliador 2'!G482,'Avaliador 1'!H482='Avaliador 2'!H482,'Avaliador 1'!I482='Avaliador 2'!I482),"Não","Sim"))</f>
        <v/>
      </c>
      <c r="O482" s="14"/>
      <c r="P482" s="10" t="str">
        <f aca="false">IF(LEN(H482)=3,"Defeito encontrado",IF(I482="Sim","Falso alarme",IF(H482="—","Nenhum defeito apontado","")))</f>
        <v/>
      </c>
    </row>
    <row r="483" customFormat="false" ht="15" hidden="false" customHeight="false" outlineLevel="0" collapsed="false">
      <c r="A483" s="11" t="str">
        <f aca="false">Apontamentos!C483</f>
        <v/>
      </c>
      <c r="B483" s="11" t="str">
        <f aca="false">IF(Apontamentos!$C483="","",Apontamentos!A483&amp;"")</f>
        <v/>
      </c>
      <c r="C483" s="11" t="str">
        <f aca="false">IF(B483="","",IFERROR(INDEX(Execuções!$C$2:$C$97,MATCH(B483,Execuções!$A$2:$A$97,0)),"ID?"))</f>
        <v/>
      </c>
      <c r="D483" s="10" t="str">
        <f aca="false">IF(B483="","",IFERROR(INDEX(Execuções!$B$2:$B$97,MATCH(B483,Execuções!$A$2:$A$97,0)),"ID?"))</f>
        <v/>
      </c>
      <c r="E483" s="11" t="str">
        <f aca="false">IF(B483="","",Apontamentos!D483)</f>
        <v/>
      </c>
      <c r="F483" s="11" t="str">
        <f aca="false">IF(B483="","",Apontamentos!E483)</f>
        <v/>
      </c>
      <c r="G483" s="10" t="str">
        <f aca="false">IF(B483="","",Apontamentos!G483&amp;"")</f>
        <v/>
      </c>
      <c r="H483" s="14" t="str">
        <f aca="false">IF('Avaliador 1'!F483='Avaliador 2'!F483,'Avaliador 1'!F483&amp;"","")</f>
        <v/>
      </c>
      <c r="I483" s="14" t="str">
        <f aca="false">IF('Avaliador 1'!G483='Avaliador 2'!G483,'Avaliador 1'!G483&amp;"","")</f>
        <v/>
      </c>
      <c r="J483" s="14" t="str">
        <f aca="false">IF('Avaliador 1'!H483='Avaliador 2'!H483,'Avaliador 1'!H483&amp;"","")</f>
        <v/>
      </c>
      <c r="K483" s="14" t="str">
        <f aca="false">IF('Avaliador 1'!I483='Avaliador 2'!I483,'Avaliador 1'!I483&amp;"","")</f>
        <v/>
      </c>
      <c r="L483" s="13"/>
      <c r="M483" s="13" t="str">
        <f aca="false">IF('Avaliador 1'!J483='Avaliador 2'!J483,'Avaliador 1'!J483&amp;"","")</f>
        <v/>
      </c>
      <c r="N483" s="11" t="str">
        <f aca="false">IF(OR('Avaliador 1'!F483="",'Avaliador 2'!F483=""),"",IF(AND('Avaliador 1'!F483='Avaliador 2'!F483,'Avaliador 1'!G483='Avaliador 2'!G483,'Avaliador 1'!H483='Avaliador 2'!H483,'Avaliador 1'!I483='Avaliador 2'!I483),"Não","Sim"))</f>
        <v/>
      </c>
      <c r="O483" s="14"/>
      <c r="P483" s="10" t="str">
        <f aca="false">IF(LEN(H483)=3,"Defeito encontrado",IF(I483="Sim","Falso alarme",IF(H483="—","Nenhum defeito apontado","")))</f>
        <v/>
      </c>
    </row>
    <row r="484" customFormat="false" ht="15" hidden="false" customHeight="false" outlineLevel="0" collapsed="false">
      <c r="A484" s="11" t="str">
        <f aca="false">Apontamentos!C484</f>
        <v/>
      </c>
      <c r="B484" s="11" t="str">
        <f aca="false">IF(Apontamentos!$C484="","",Apontamentos!A484&amp;"")</f>
        <v/>
      </c>
      <c r="C484" s="11" t="str">
        <f aca="false">IF(B484="","",IFERROR(INDEX(Execuções!$C$2:$C$97,MATCH(B484,Execuções!$A$2:$A$97,0)),"ID?"))</f>
        <v/>
      </c>
      <c r="D484" s="10" t="str">
        <f aca="false">IF(B484="","",IFERROR(INDEX(Execuções!$B$2:$B$97,MATCH(B484,Execuções!$A$2:$A$97,0)),"ID?"))</f>
        <v/>
      </c>
      <c r="E484" s="11" t="str">
        <f aca="false">IF(B484="","",Apontamentos!D484)</f>
        <v/>
      </c>
      <c r="F484" s="11" t="str">
        <f aca="false">IF(B484="","",Apontamentos!E484)</f>
        <v/>
      </c>
      <c r="G484" s="10" t="str">
        <f aca="false">IF(B484="","",Apontamentos!G484&amp;"")</f>
        <v/>
      </c>
      <c r="H484" s="14" t="str">
        <f aca="false">IF('Avaliador 1'!F484='Avaliador 2'!F484,'Avaliador 1'!F484&amp;"","")</f>
        <v/>
      </c>
      <c r="I484" s="14" t="str">
        <f aca="false">IF('Avaliador 1'!G484='Avaliador 2'!G484,'Avaliador 1'!G484&amp;"","")</f>
        <v/>
      </c>
      <c r="J484" s="14" t="str">
        <f aca="false">IF('Avaliador 1'!H484='Avaliador 2'!H484,'Avaliador 1'!H484&amp;"","")</f>
        <v/>
      </c>
      <c r="K484" s="14" t="str">
        <f aca="false">IF('Avaliador 1'!I484='Avaliador 2'!I484,'Avaliador 1'!I484&amp;"","")</f>
        <v/>
      </c>
      <c r="L484" s="13"/>
      <c r="M484" s="13" t="str">
        <f aca="false">IF('Avaliador 1'!J484='Avaliador 2'!J484,'Avaliador 1'!J484&amp;"","")</f>
        <v/>
      </c>
      <c r="N484" s="11" t="str">
        <f aca="false">IF(OR('Avaliador 1'!F484="",'Avaliador 2'!F484=""),"",IF(AND('Avaliador 1'!F484='Avaliador 2'!F484,'Avaliador 1'!G484='Avaliador 2'!G484,'Avaliador 1'!H484='Avaliador 2'!H484,'Avaliador 1'!I484='Avaliador 2'!I484),"Não","Sim"))</f>
        <v/>
      </c>
      <c r="O484" s="14"/>
      <c r="P484" s="10" t="str">
        <f aca="false">IF(LEN(H484)=3,"Defeito encontrado",IF(I484="Sim","Falso alarme",IF(H484="—","Nenhum defeito apontado","")))</f>
        <v/>
      </c>
    </row>
    <row r="485" customFormat="false" ht="15" hidden="false" customHeight="false" outlineLevel="0" collapsed="false">
      <c r="A485" s="11" t="str">
        <f aca="false">Apontamentos!C485</f>
        <v/>
      </c>
      <c r="B485" s="11" t="str">
        <f aca="false">IF(Apontamentos!$C485="","",Apontamentos!A485&amp;"")</f>
        <v/>
      </c>
      <c r="C485" s="11" t="str">
        <f aca="false">IF(B485="","",IFERROR(INDEX(Execuções!$C$2:$C$97,MATCH(B485,Execuções!$A$2:$A$97,0)),"ID?"))</f>
        <v/>
      </c>
      <c r="D485" s="10" t="str">
        <f aca="false">IF(B485="","",IFERROR(INDEX(Execuções!$B$2:$B$97,MATCH(B485,Execuções!$A$2:$A$97,0)),"ID?"))</f>
        <v/>
      </c>
      <c r="E485" s="11" t="str">
        <f aca="false">IF(B485="","",Apontamentos!D485)</f>
        <v/>
      </c>
      <c r="F485" s="11" t="str">
        <f aca="false">IF(B485="","",Apontamentos!E485)</f>
        <v/>
      </c>
      <c r="G485" s="10" t="str">
        <f aca="false">IF(B485="","",Apontamentos!G485&amp;"")</f>
        <v/>
      </c>
      <c r="H485" s="14" t="str">
        <f aca="false">IF('Avaliador 1'!F485='Avaliador 2'!F485,'Avaliador 1'!F485&amp;"","")</f>
        <v/>
      </c>
      <c r="I485" s="14" t="str">
        <f aca="false">IF('Avaliador 1'!G485='Avaliador 2'!G485,'Avaliador 1'!G485&amp;"","")</f>
        <v/>
      </c>
      <c r="J485" s="14" t="str">
        <f aca="false">IF('Avaliador 1'!H485='Avaliador 2'!H485,'Avaliador 1'!H485&amp;"","")</f>
        <v/>
      </c>
      <c r="K485" s="14" t="str">
        <f aca="false">IF('Avaliador 1'!I485='Avaliador 2'!I485,'Avaliador 1'!I485&amp;"","")</f>
        <v/>
      </c>
      <c r="L485" s="13"/>
      <c r="M485" s="13" t="str">
        <f aca="false">IF('Avaliador 1'!J485='Avaliador 2'!J485,'Avaliador 1'!J485&amp;"","")</f>
        <v/>
      </c>
      <c r="N485" s="11" t="str">
        <f aca="false">IF(OR('Avaliador 1'!F485="",'Avaliador 2'!F485=""),"",IF(AND('Avaliador 1'!F485='Avaliador 2'!F485,'Avaliador 1'!G485='Avaliador 2'!G485,'Avaliador 1'!H485='Avaliador 2'!H485,'Avaliador 1'!I485='Avaliador 2'!I485),"Não","Sim"))</f>
        <v/>
      </c>
      <c r="O485" s="14"/>
      <c r="P485" s="10" t="str">
        <f aca="false">IF(LEN(H485)=3,"Defeito encontrado",IF(I485="Sim","Falso alarme",IF(H485="—","Nenhum defeito apontado","")))</f>
        <v/>
      </c>
    </row>
    <row r="486" customFormat="false" ht="15" hidden="false" customHeight="false" outlineLevel="0" collapsed="false">
      <c r="A486" s="11" t="str">
        <f aca="false">Apontamentos!C486</f>
        <v/>
      </c>
      <c r="B486" s="11" t="str">
        <f aca="false">IF(Apontamentos!$C486="","",Apontamentos!A486&amp;"")</f>
        <v/>
      </c>
      <c r="C486" s="11" t="str">
        <f aca="false">IF(B486="","",IFERROR(INDEX(Execuções!$C$2:$C$97,MATCH(B486,Execuções!$A$2:$A$97,0)),"ID?"))</f>
        <v/>
      </c>
      <c r="D486" s="10" t="str">
        <f aca="false">IF(B486="","",IFERROR(INDEX(Execuções!$B$2:$B$97,MATCH(B486,Execuções!$A$2:$A$97,0)),"ID?"))</f>
        <v/>
      </c>
      <c r="E486" s="11" t="str">
        <f aca="false">IF(B486="","",Apontamentos!D486)</f>
        <v/>
      </c>
      <c r="F486" s="11" t="str">
        <f aca="false">IF(B486="","",Apontamentos!E486)</f>
        <v/>
      </c>
      <c r="G486" s="10" t="str">
        <f aca="false">IF(B486="","",Apontamentos!G486&amp;"")</f>
        <v/>
      </c>
      <c r="H486" s="14" t="str">
        <f aca="false">IF('Avaliador 1'!F486='Avaliador 2'!F486,'Avaliador 1'!F486&amp;"","")</f>
        <v/>
      </c>
      <c r="I486" s="14" t="str">
        <f aca="false">IF('Avaliador 1'!G486='Avaliador 2'!G486,'Avaliador 1'!G486&amp;"","")</f>
        <v/>
      </c>
      <c r="J486" s="14" t="str">
        <f aca="false">IF('Avaliador 1'!H486='Avaliador 2'!H486,'Avaliador 1'!H486&amp;"","")</f>
        <v/>
      </c>
      <c r="K486" s="14" t="str">
        <f aca="false">IF('Avaliador 1'!I486='Avaliador 2'!I486,'Avaliador 1'!I486&amp;"","")</f>
        <v/>
      </c>
      <c r="L486" s="13"/>
      <c r="M486" s="13" t="str">
        <f aca="false">IF('Avaliador 1'!J486='Avaliador 2'!J486,'Avaliador 1'!J486&amp;"","")</f>
        <v/>
      </c>
      <c r="N486" s="11" t="str">
        <f aca="false">IF(OR('Avaliador 1'!F486="",'Avaliador 2'!F486=""),"",IF(AND('Avaliador 1'!F486='Avaliador 2'!F486,'Avaliador 1'!G486='Avaliador 2'!G486,'Avaliador 1'!H486='Avaliador 2'!H486,'Avaliador 1'!I486='Avaliador 2'!I486),"Não","Sim"))</f>
        <v/>
      </c>
      <c r="O486" s="14"/>
      <c r="P486" s="10" t="str">
        <f aca="false">IF(LEN(H486)=3,"Defeito encontrado",IF(I486="Sim","Falso alarme",IF(H486="—","Nenhum defeito apontado","")))</f>
        <v/>
      </c>
    </row>
    <row r="487" customFormat="false" ht="15" hidden="false" customHeight="false" outlineLevel="0" collapsed="false">
      <c r="A487" s="11" t="str">
        <f aca="false">Apontamentos!C487</f>
        <v/>
      </c>
      <c r="B487" s="11" t="str">
        <f aca="false">IF(Apontamentos!$C487="","",Apontamentos!A487&amp;"")</f>
        <v/>
      </c>
      <c r="C487" s="11" t="str">
        <f aca="false">IF(B487="","",IFERROR(INDEX(Execuções!$C$2:$C$97,MATCH(B487,Execuções!$A$2:$A$97,0)),"ID?"))</f>
        <v/>
      </c>
      <c r="D487" s="10" t="str">
        <f aca="false">IF(B487="","",IFERROR(INDEX(Execuções!$B$2:$B$97,MATCH(B487,Execuções!$A$2:$A$97,0)),"ID?"))</f>
        <v/>
      </c>
      <c r="E487" s="11" t="str">
        <f aca="false">IF(B487="","",Apontamentos!D487)</f>
        <v/>
      </c>
      <c r="F487" s="11" t="str">
        <f aca="false">IF(B487="","",Apontamentos!E487)</f>
        <v/>
      </c>
      <c r="G487" s="10" t="str">
        <f aca="false">IF(B487="","",Apontamentos!G487&amp;"")</f>
        <v/>
      </c>
      <c r="H487" s="14" t="str">
        <f aca="false">IF('Avaliador 1'!F487='Avaliador 2'!F487,'Avaliador 1'!F487&amp;"","")</f>
        <v/>
      </c>
      <c r="I487" s="14" t="str">
        <f aca="false">IF('Avaliador 1'!G487='Avaliador 2'!G487,'Avaliador 1'!G487&amp;"","")</f>
        <v/>
      </c>
      <c r="J487" s="14" t="str">
        <f aca="false">IF('Avaliador 1'!H487='Avaliador 2'!H487,'Avaliador 1'!H487&amp;"","")</f>
        <v/>
      </c>
      <c r="K487" s="14" t="str">
        <f aca="false">IF('Avaliador 1'!I487='Avaliador 2'!I487,'Avaliador 1'!I487&amp;"","")</f>
        <v/>
      </c>
      <c r="L487" s="13"/>
      <c r="M487" s="13" t="str">
        <f aca="false">IF('Avaliador 1'!J487='Avaliador 2'!J487,'Avaliador 1'!J487&amp;"","")</f>
        <v/>
      </c>
      <c r="N487" s="11" t="str">
        <f aca="false">IF(OR('Avaliador 1'!F487="",'Avaliador 2'!F487=""),"",IF(AND('Avaliador 1'!F487='Avaliador 2'!F487,'Avaliador 1'!G487='Avaliador 2'!G487,'Avaliador 1'!H487='Avaliador 2'!H487,'Avaliador 1'!I487='Avaliador 2'!I487),"Não","Sim"))</f>
        <v/>
      </c>
      <c r="O487" s="14"/>
      <c r="P487" s="10" t="str">
        <f aca="false">IF(LEN(H487)=3,"Defeito encontrado",IF(I487="Sim","Falso alarme",IF(H487="—","Nenhum defeito apontado","")))</f>
        <v/>
      </c>
    </row>
    <row r="488" customFormat="false" ht="15" hidden="false" customHeight="false" outlineLevel="0" collapsed="false">
      <c r="A488" s="11" t="str">
        <f aca="false">Apontamentos!C488</f>
        <v/>
      </c>
      <c r="B488" s="11" t="str">
        <f aca="false">IF(Apontamentos!$C488="","",Apontamentos!A488&amp;"")</f>
        <v/>
      </c>
      <c r="C488" s="11" t="str">
        <f aca="false">IF(B488="","",IFERROR(INDEX(Execuções!$C$2:$C$97,MATCH(B488,Execuções!$A$2:$A$97,0)),"ID?"))</f>
        <v/>
      </c>
      <c r="D488" s="10" t="str">
        <f aca="false">IF(B488="","",IFERROR(INDEX(Execuções!$B$2:$B$97,MATCH(B488,Execuções!$A$2:$A$97,0)),"ID?"))</f>
        <v/>
      </c>
      <c r="E488" s="11" t="str">
        <f aca="false">IF(B488="","",Apontamentos!D488)</f>
        <v/>
      </c>
      <c r="F488" s="11" t="str">
        <f aca="false">IF(B488="","",Apontamentos!E488)</f>
        <v/>
      </c>
      <c r="G488" s="10" t="str">
        <f aca="false">IF(B488="","",Apontamentos!G488&amp;"")</f>
        <v/>
      </c>
      <c r="H488" s="14" t="str">
        <f aca="false">IF('Avaliador 1'!F488='Avaliador 2'!F488,'Avaliador 1'!F488&amp;"","")</f>
        <v/>
      </c>
      <c r="I488" s="14" t="str">
        <f aca="false">IF('Avaliador 1'!G488='Avaliador 2'!G488,'Avaliador 1'!G488&amp;"","")</f>
        <v/>
      </c>
      <c r="J488" s="14" t="str">
        <f aca="false">IF('Avaliador 1'!H488='Avaliador 2'!H488,'Avaliador 1'!H488&amp;"","")</f>
        <v/>
      </c>
      <c r="K488" s="14" t="str">
        <f aca="false">IF('Avaliador 1'!I488='Avaliador 2'!I488,'Avaliador 1'!I488&amp;"","")</f>
        <v/>
      </c>
      <c r="L488" s="13"/>
      <c r="M488" s="13" t="str">
        <f aca="false">IF('Avaliador 1'!J488='Avaliador 2'!J488,'Avaliador 1'!J488&amp;"","")</f>
        <v/>
      </c>
      <c r="N488" s="11" t="str">
        <f aca="false">IF(OR('Avaliador 1'!F488="",'Avaliador 2'!F488=""),"",IF(AND('Avaliador 1'!F488='Avaliador 2'!F488,'Avaliador 1'!G488='Avaliador 2'!G488,'Avaliador 1'!H488='Avaliador 2'!H488,'Avaliador 1'!I488='Avaliador 2'!I488),"Não","Sim"))</f>
        <v/>
      </c>
      <c r="O488" s="14"/>
      <c r="P488" s="10" t="str">
        <f aca="false">IF(LEN(H488)=3,"Defeito encontrado",IF(I488="Sim","Falso alarme",IF(H488="—","Nenhum defeito apontado","")))</f>
        <v/>
      </c>
    </row>
    <row r="489" customFormat="false" ht="15" hidden="false" customHeight="false" outlineLevel="0" collapsed="false">
      <c r="A489" s="11" t="str">
        <f aca="false">Apontamentos!C489</f>
        <v/>
      </c>
      <c r="B489" s="11" t="str">
        <f aca="false">IF(Apontamentos!$C489="","",Apontamentos!A489&amp;"")</f>
        <v/>
      </c>
      <c r="C489" s="11" t="str">
        <f aca="false">IF(B489="","",IFERROR(INDEX(Execuções!$C$2:$C$97,MATCH(B489,Execuções!$A$2:$A$97,0)),"ID?"))</f>
        <v/>
      </c>
      <c r="D489" s="10" t="str">
        <f aca="false">IF(B489="","",IFERROR(INDEX(Execuções!$B$2:$B$97,MATCH(B489,Execuções!$A$2:$A$97,0)),"ID?"))</f>
        <v/>
      </c>
      <c r="E489" s="11" t="str">
        <f aca="false">IF(B489="","",Apontamentos!D489)</f>
        <v/>
      </c>
      <c r="F489" s="11" t="str">
        <f aca="false">IF(B489="","",Apontamentos!E489)</f>
        <v/>
      </c>
      <c r="G489" s="10" t="str">
        <f aca="false">IF(B489="","",Apontamentos!G489&amp;"")</f>
        <v/>
      </c>
      <c r="H489" s="14" t="str">
        <f aca="false">IF('Avaliador 1'!F489='Avaliador 2'!F489,'Avaliador 1'!F489&amp;"","")</f>
        <v/>
      </c>
      <c r="I489" s="14" t="str">
        <f aca="false">IF('Avaliador 1'!G489='Avaliador 2'!G489,'Avaliador 1'!G489&amp;"","")</f>
        <v/>
      </c>
      <c r="J489" s="14" t="str">
        <f aca="false">IF('Avaliador 1'!H489='Avaliador 2'!H489,'Avaliador 1'!H489&amp;"","")</f>
        <v/>
      </c>
      <c r="K489" s="14" t="str">
        <f aca="false">IF('Avaliador 1'!I489='Avaliador 2'!I489,'Avaliador 1'!I489&amp;"","")</f>
        <v/>
      </c>
      <c r="L489" s="13"/>
      <c r="M489" s="13" t="str">
        <f aca="false">IF('Avaliador 1'!J489='Avaliador 2'!J489,'Avaliador 1'!J489&amp;"","")</f>
        <v/>
      </c>
      <c r="N489" s="11" t="str">
        <f aca="false">IF(OR('Avaliador 1'!F489="",'Avaliador 2'!F489=""),"",IF(AND('Avaliador 1'!F489='Avaliador 2'!F489,'Avaliador 1'!G489='Avaliador 2'!G489,'Avaliador 1'!H489='Avaliador 2'!H489,'Avaliador 1'!I489='Avaliador 2'!I489),"Não","Sim"))</f>
        <v/>
      </c>
      <c r="O489" s="14"/>
      <c r="P489" s="10" t="str">
        <f aca="false">IF(LEN(H489)=3,"Defeito encontrado",IF(I489="Sim","Falso alarme",IF(H489="—","Nenhum defeito apontado","")))</f>
        <v/>
      </c>
    </row>
    <row r="490" customFormat="false" ht="15" hidden="false" customHeight="false" outlineLevel="0" collapsed="false">
      <c r="A490" s="11" t="str">
        <f aca="false">Apontamentos!C490</f>
        <v/>
      </c>
      <c r="B490" s="11" t="str">
        <f aca="false">IF(Apontamentos!$C490="","",Apontamentos!A490&amp;"")</f>
        <v/>
      </c>
      <c r="C490" s="11" t="str">
        <f aca="false">IF(B490="","",IFERROR(INDEX(Execuções!$C$2:$C$97,MATCH(B490,Execuções!$A$2:$A$97,0)),"ID?"))</f>
        <v/>
      </c>
      <c r="D490" s="10" t="str">
        <f aca="false">IF(B490="","",IFERROR(INDEX(Execuções!$B$2:$B$97,MATCH(B490,Execuções!$A$2:$A$97,0)),"ID?"))</f>
        <v/>
      </c>
      <c r="E490" s="11" t="str">
        <f aca="false">IF(B490="","",Apontamentos!D490)</f>
        <v/>
      </c>
      <c r="F490" s="11" t="str">
        <f aca="false">IF(B490="","",Apontamentos!E490)</f>
        <v/>
      </c>
      <c r="G490" s="10" t="str">
        <f aca="false">IF(B490="","",Apontamentos!G490&amp;"")</f>
        <v/>
      </c>
      <c r="H490" s="14" t="str">
        <f aca="false">IF('Avaliador 1'!F490='Avaliador 2'!F490,'Avaliador 1'!F490&amp;"","")</f>
        <v/>
      </c>
      <c r="I490" s="14" t="str">
        <f aca="false">IF('Avaliador 1'!G490='Avaliador 2'!G490,'Avaliador 1'!G490&amp;"","")</f>
        <v/>
      </c>
      <c r="J490" s="14" t="str">
        <f aca="false">IF('Avaliador 1'!H490='Avaliador 2'!H490,'Avaliador 1'!H490&amp;"","")</f>
        <v/>
      </c>
      <c r="K490" s="14" t="str">
        <f aca="false">IF('Avaliador 1'!I490='Avaliador 2'!I490,'Avaliador 1'!I490&amp;"","")</f>
        <v/>
      </c>
      <c r="L490" s="13"/>
      <c r="M490" s="13" t="str">
        <f aca="false">IF('Avaliador 1'!J490='Avaliador 2'!J490,'Avaliador 1'!J490&amp;"","")</f>
        <v/>
      </c>
      <c r="N490" s="11" t="str">
        <f aca="false">IF(OR('Avaliador 1'!F490="",'Avaliador 2'!F490=""),"",IF(AND('Avaliador 1'!F490='Avaliador 2'!F490,'Avaliador 1'!G490='Avaliador 2'!G490,'Avaliador 1'!H490='Avaliador 2'!H490,'Avaliador 1'!I490='Avaliador 2'!I490),"Não","Sim"))</f>
        <v/>
      </c>
      <c r="O490" s="14"/>
      <c r="P490" s="10" t="str">
        <f aca="false">IF(LEN(H490)=3,"Defeito encontrado",IF(I490="Sim","Falso alarme",IF(H490="—","Nenhum defeito apontado","")))</f>
        <v/>
      </c>
    </row>
    <row r="491" customFormat="false" ht="15" hidden="false" customHeight="false" outlineLevel="0" collapsed="false">
      <c r="A491" s="11" t="str">
        <f aca="false">Apontamentos!C491</f>
        <v/>
      </c>
      <c r="B491" s="11" t="str">
        <f aca="false">IF(Apontamentos!$C491="","",Apontamentos!A491&amp;"")</f>
        <v/>
      </c>
      <c r="C491" s="11" t="str">
        <f aca="false">IF(B491="","",IFERROR(INDEX(Execuções!$C$2:$C$97,MATCH(B491,Execuções!$A$2:$A$97,0)),"ID?"))</f>
        <v/>
      </c>
      <c r="D491" s="10" t="str">
        <f aca="false">IF(B491="","",IFERROR(INDEX(Execuções!$B$2:$B$97,MATCH(B491,Execuções!$A$2:$A$97,0)),"ID?"))</f>
        <v/>
      </c>
      <c r="E491" s="11" t="str">
        <f aca="false">IF(B491="","",Apontamentos!D491)</f>
        <v/>
      </c>
      <c r="F491" s="11" t="str">
        <f aca="false">IF(B491="","",Apontamentos!E491)</f>
        <v/>
      </c>
      <c r="G491" s="10" t="str">
        <f aca="false">IF(B491="","",Apontamentos!G491&amp;"")</f>
        <v/>
      </c>
      <c r="H491" s="14" t="str">
        <f aca="false">IF('Avaliador 1'!F491='Avaliador 2'!F491,'Avaliador 1'!F491&amp;"","")</f>
        <v/>
      </c>
      <c r="I491" s="14" t="str">
        <f aca="false">IF('Avaliador 1'!G491='Avaliador 2'!G491,'Avaliador 1'!G491&amp;"","")</f>
        <v/>
      </c>
      <c r="J491" s="14" t="str">
        <f aca="false">IF('Avaliador 1'!H491='Avaliador 2'!H491,'Avaliador 1'!H491&amp;"","")</f>
        <v/>
      </c>
      <c r="K491" s="14" t="str">
        <f aca="false">IF('Avaliador 1'!I491='Avaliador 2'!I491,'Avaliador 1'!I491&amp;"","")</f>
        <v/>
      </c>
      <c r="L491" s="13"/>
      <c r="M491" s="13" t="str">
        <f aca="false">IF('Avaliador 1'!J491='Avaliador 2'!J491,'Avaliador 1'!J491&amp;"","")</f>
        <v/>
      </c>
      <c r="N491" s="11" t="str">
        <f aca="false">IF(OR('Avaliador 1'!F491="",'Avaliador 2'!F491=""),"",IF(AND('Avaliador 1'!F491='Avaliador 2'!F491,'Avaliador 1'!G491='Avaliador 2'!G491,'Avaliador 1'!H491='Avaliador 2'!H491,'Avaliador 1'!I491='Avaliador 2'!I491),"Não","Sim"))</f>
        <v/>
      </c>
      <c r="O491" s="14"/>
      <c r="P491" s="10" t="str">
        <f aca="false">IF(LEN(H491)=3,"Defeito encontrado",IF(I491="Sim","Falso alarme",IF(H491="—","Nenhum defeito apontado","")))</f>
        <v/>
      </c>
    </row>
    <row r="492" customFormat="false" ht="15" hidden="false" customHeight="false" outlineLevel="0" collapsed="false">
      <c r="A492" s="11" t="str">
        <f aca="false">Apontamentos!C492</f>
        <v/>
      </c>
      <c r="B492" s="11" t="str">
        <f aca="false">IF(Apontamentos!$C492="","",Apontamentos!A492&amp;"")</f>
        <v/>
      </c>
      <c r="C492" s="11" t="str">
        <f aca="false">IF(B492="","",IFERROR(INDEX(Execuções!$C$2:$C$97,MATCH(B492,Execuções!$A$2:$A$97,0)),"ID?"))</f>
        <v/>
      </c>
      <c r="D492" s="10" t="str">
        <f aca="false">IF(B492="","",IFERROR(INDEX(Execuções!$B$2:$B$97,MATCH(B492,Execuções!$A$2:$A$97,0)),"ID?"))</f>
        <v/>
      </c>
      <c r="E492" s="11" t="str">
        <f aca="false">IF(B492="","",Apontamentos!D492)</f>
        <v/>
      </c>
      <c r="F492" s="11" t="str">
        <f aca="false">IF(B492="","",Apontamentos!E492)</f>
        <v/>
      </c>
      <c r="G492" s="10" t="str">
        <f aca="false">IF(B492="","",Apontamentos!G492&amp;"")</f>
        <v/>
      </c>
      <c r="H492" s="14" t="str">
        <f aca="false">IF('Avaliador 1'!F492='Avaliador 2'!F492,'Avaliador 1'!F492&amp;"","")</f>
        <v/>
      </c>
      <c r="I492" s="14" t="str">
        <f aca="false">IF('Avaliador 1'!G492='Avaliador 2'!G492,'Avaliador 1'!G492&amp;"","")</f>
        <v/>
      </c>
      <c r="J492" s="14" t="str">
        <f aca="false">IF('Avaliador 1'!H492='Avaliador 2'!H492,'Avaliador 1'!H492&amp;"","")</f>
        <v/>
      </c>
      <c r="K492" s="14" t="str">
        <f aca="false">IF('Avaliador 1'!I492='Avaliador 2'!I492,'Avaliador 1'!I492&amp;"","")</f>
        <v/>
      </c>
      <c r="L492" s="13"/>
      <c r="M492" s="13" t="str">
        <f aca="false">IF('Avaliador 1'!J492='Avaliador 2'!J492,'Avaliador 1'!J492&amp;"","")</f>
        <v/>
      </c>
      <c r="N492" s="11" t="str">
        <f aca="false">IF(OR('Avaliador 1'!F492="",'Avaliador 2'!F492=""),"",IF(AND('Avaliador 1'!F492='Avaliador 2'!F492,'Avaliador 1'!G492='Avaliador 2'!G492,'Avaliador 1'!H492='Avaliador 2'!H492,'Avaliador 1'!I492='Avaliador 2'!I492),"Não","Sim"))</f>
        <v/>
      </c>
      <c r="O492" s="14"/>
      <c r="P492" s="10" t="str">
        <f aca="false">IF(LEN(H492)=3,"Defeito encontrado",IF(I492="Sim","Falso alarme",IF(H492="—","Nenhum defeito apontado","")))</f>
        <v/>
      </c>
    </row>
    <row r="493" customFormat="false" ht="15" hidden="false" customHeight="false" outlineLevel="0" collapsed="false">
      <c r="A493" s="11" t="str">
        <f aca="false">Apontamentos!C493</f>
        <v/>
      </c>
      <c r="B493" s="11" t="str">
        <f aca="false">IF(Apontamentos!$C493="","",Apontamentos!A493&amp;"")</f>
        <v/>
      </c>
      <c r="C493" s="11" t="str">
        <f aca="false">IF(B493="","",IFERROR(INDEX(Execuções!$C$2:$C$97,MATCH(B493,Execuções!$A$2:$A$97,0)),"ID?"))</f>
        <v/>
      </c>
      <c r="D493" s="10" t="str">
        <f aca="false">IF(B493="","",IFERROR(INDEX(Execuções!$B$2:$B$97,MATCH(B493,Execuções!$A$2:$A$97,0)),"ID?"))</f>
        <v/>
      </c>
      <c r="E493" s="11" t="str">
        <f aca="false">IF(B493="","",Apontamentos!D493)</f>
        <v/>
      </c>
      <c r="F493" s="11" t="str">
        <f aca="false">IF(B493="","",Apontamentos!E493)</f>
        <v/>
      </c>
      <c r="G493" s="10" t="str">
        <f aca="false">IF(B493="","",Apontamentos!G493&amp;"")</f>
        <v/>
      </c>
      <c r="H493" s="14" t="str">
        <f aca="false">IF('Avaliador 1'!F493='Avaliador 2'!F493,'Avaliador 1'!F493&amp;"","")</f>
        <v/>
      </c>
      <c r="I493" s="14" t="str">
        <f aca="false">IF('Avaliador 1'!G493='Avaliador 2'!G493,'Avaliador 1'!G493&amp;"","")</f>
        <v/>
      </c>
      <c r="J493" s="14" t="str">
        <f aca="false">IF('Avaliador 1'!H493='Avaliador 2'!H493,'Avaliador 1'!H493&amp;"","")</f>
        <v/>
      </c>
      <c r="K493" s="14" t="str">
        <f aca="false">IF('Avaliador 1'!I493='Avaliador 2'!I493,'Avaliador 1'!I493&amp;"","")</f>
        <v/>
      </c>
      <c r="L493" s="13"/>
      <c r="M493" s="13" t="str">
        <f aca="false">IF('Avaliador 1'!J493='Avaliador 2'!J493,'Avaliador 1'!J493&amp;"","")</f>
        <v/>
      </c>
      <c r="N493" s="11" t="str">
        <f aca="false">IF(OR('Avaliador 1'!F493="",'Avaliador 2'!F493=""),"",IF(AND('Avaliador 1'!F493='Avaliador 2'!F493,'Avaliador 1'!G493='Avaliador 2'!G493,'Avaliador 1'!H493='Avaliador 2'!H493,'Avaliador 1'!I493='Avaliador 2'!I493),"Não","Sim"))</f>
        <v/>
      </c>
      <c r="O493" s="14"/>
      <c r="P493" s="10" t="str">
        <f aca="false">IF(LEN(H493)=3,"Defeito encontrado",IF(I493="Sim","Falso alarme",IF(H493="—","Nenhum defeito apontado","")))</f>
        <v/>
      </c>
    </row>
    <row r="494" customFormat="false" ht="15" hidden="false" customHeight="false" outlineLevel="0" collapsed="false">
      <c r="A494" s="11" t="str">
        <f aca="false">Apontamentos!C494</f>
        <v/>
      </c>
      <c r="B494" s="11" t="str">
        <f aca="false">IF(Apontamentos!$C494="","",Apontamentos!A494&amp;"")</f>
        <v/>
      </c>
      <c r="C494" s="11" t="str">
        <f aca="false">IF(B494="","",IFERROR(INDEX(Execuções!$C$2:$C$97,MATCH(B494,Execuções!$A$2:$A$97,0)),"ID?"))</f>
        <v/>
      </c>
      <c r="D494" s="10" t="str">
        <f aca="false">IF(B494="","",IFERROR(INDEX(Execuções!$B$2:$B$97,MATCH(B494,Execuções!$A$2:$A$97,0)),"ID?"))</f>
        <v/>
      </c>
      <c r="E494" s="11" t="str">
        <f aca="false">IF(B494="","",Apontamentos!D494)</f>
        <v/>
      </c>
      <c r="F494" s="11" t="str">
        <f aca="false">IF(B494="","",Apontamentos!E494)</f>
        <v/>
      </c>
      <c r="G494" s="10" t="str">
        <f aca="false">IF(B494="","",Apontamentos!G494&amp;"")</f>
        <v/>
      </c>
      <c r="H494" s="14" t="str">
        <f aca="false">IF('Avaliador 1'!F494='Avaliador 2'!F494,'Avaliador 1'!F494&amp;"","")</f>
        <v/>
      </c>
      <c r="I494" s="14" t="str">
        <f aca="false">IF('Avaliador 1'!G494='Avaliador 2'!G494,'Avaliador 1'!G494&amp;"","")</f>
        <v/>
      </c>
      <c r="J494" s="14" t="str">
        <f aca="false">IF('Avaliador 1'!H494='Avaliador 2'!H494,'Avaliador 1'!H494&amp;"","")</f>
        <v/>
      </c>
      <c r="K494" s="14" t="str">
        <f aca="false">IF('Avaliador 1'!I494='Avaliador 2'!I494,'Avaliador 1'!I494&amp;"","")</f>
        <v/>
      </c>
      <c r="L494" s="13"/>
      <c r="M494" s="13" t="str">
        <f aca="false">IF('Avaliador 1'!J494='Avaliador 2'!J494,'Avaliador 1'!J494&amp;"","")</f>
        <v/>
      </c>
      <c r="N494" s="11" t="str">
        <f aca="false">IF(OR('Avaliador 1'!F494="",'Avaliador 2'!F494=""),"",IF(AND('Avaliador 1'!F494='Avaliador 2'!F494,'Avaliador 1'!G494='Avaliador 2'!G494,'Avaliador 1'!H494='Avaliador 2'!H494,'Avaliador 1'!I494='Avaliador 2'!I494),"Não","Sim"))</f>
        <v/>
      </c>
      <c r="O494" s="14"/>
      <c r="P494" s="10" t="str">
        <f aca="false">IF(LEN(H494)=3,"Defeito encontrado",IF(I494="Sim","Falso alarme",IF(H494="—","Nenhum defeito apontado","")))</f>
        <v/>
      </c>
    </row>
    <row r="495" customFormat="false" ht="15" hidden="false" customHeight="false" outlineLevel="0" collapsed="false">
      <c r="A495" s="11" t="str">
        <f aca="false">Apontamentos!C495</f>
        <v/>
      </c>
      <c r="B495" s="11" t="str">
        <f aca="false">IF(Apontamentos!$C495="","",Apontamentos!A495&amp;"")</f>
        <v/>
      </c>
      <c r="C495" s="11" t="str">
        <f aca="false">IF(B495="","",IFERROR(INDEX(Execuções!$C$2:$C$97,MATCH(B495,Execuções!$A$2:$A$97,0)),"ID?"))</f>
        <v/>
      </c>
      <c r="D495" s="10" t="str">
        <f aca="false">IF(B495="","",IFERROR(INDEX(Execuções!$B$2:$B$97,MATCH(B495,Execuções!$A$2:$A$97,0)),"ID?"))</f>
        <v/>
      </c>
      <c r="E495" s="11" t="str">
        <f aca="false">IF(B495="","",Apontamentos!D495)</f>
        <v/>
      </c>
      <c r="F495" s="11" t="str">
        <f aca="false">IF(B495="","",Apontamentos!E495)</f>
        <v/>
      </c>
      <c r="G495" s="10" t="str">
        <f aca="false">IF(B495="","",Apontamentos!G495&amp;"")</f>
        <v/>
      </c>
      <c r="H495" s="14" t="str">
        <f aca="false">IF('Avaliador 1'!F495='Avaliador 2'!F495,'Avaliador 1'!F495&amp;"","")</f>
        <v/>
      </c>
      <c r="I495" s="14" t="str">
        <f aca="false">IF('Avaliador 1'!G495='Avaliador 2'!G495,'Avaliador 1'!G495&amp;"","")</f>
        <v/>
      </c>
      <c r="J495" s="14" t="str">
        <f aca="false">IF('Avaliador 1'!H495='Avaliador 2'!H495,'Avaliador 1'!H495&amp;"","")</f>
        <v/>
      </c>
      <c r="K495" s="14" t="str">
        <f aca="false">IF('Avaliador 1'!I495='Avaliador 2'!I495,'Avaliador 1'!I495&amp;"","")</f>
        <v/>
      </c>
      <c r="L495" s="13"/>
      <c r="M495" s="13" t="str">
        <f aca="false">IF('Avaliador 1'!J495='Avaliador 2'!J495,'Avaliador 1'!J495&amp;"","")</f>
        <v/>
      </c>
      <c r="N495" s="11" t="str">
        <f aca="false">IF(OR('Avaliador 1'!F495="",'Avaliador 2'!F495=""),"",IF(AND('Avaliador 1'!F495='Avaliador 2'!F495,'Avaliador 1'!G495='Avaliador 2'!G495,'Avaliador 1'!H495='Avaliador 2'!H495,'Avaliador 1'!I495='Avaliador 2'!I495),"Não","Sim"))</f>
        <v/>
      </c>
      <c r="O495" s="14"/>
      <c r="P495" s="10" t="str">
        <f aca="false">IF(LEN(H495)=3,"Defeito encontrado",IF(I495="Sim","Falso alarme",IF(H495="—","Nenhum defeito apontado","")))</f>
        <v/>
      </c>
    </row>
    <row r="496" customFormat="false" ht="15" hidden="false" customHeight="false" outlineLevel="0" collapsed="false">
      <c r="A496" s="11" t="str">
        <f aca="false">Apontamentos!C496</f>
        <v/>
      </c>
      <c r="B496" s="11" t="str">
        <f aca="false">IF(Apontamentos!$C496="","",Apontamentos!A496&amp;"")</f>
        <v/>
      </c>
      <c r="C496" s="11" t="str">
        <f aca="false">IF(B496="","",IFERROR(INDEX(Execuções!$C$2:$C$97,MATCH(B496,Execuções!$A$2:$A$97,0)),"ID?"))</f>
        <v/>
      </c>
      <c r="D496" s="10" t="str">
        <f aca="false">IF(B496="","",IFERROR(INDEX(Execuções!$B$2:$B$97,MATCH(B496,Execuções!$A$2:$A$97,0)),"ID?"))</f>
        <v/>
      </c>
      <c r="E496" s="11" t="str">
        <f aca="false">IF(B496="","",Apontamentos!D496)</f>
        <v/>
      </c>
      <c r="F496" s="11" t="str">
        <f aca="false">IF(B496="","",Apontamentos!E496)</f>
        <v/>
      </c>
      <c r="G496" s="10" t="str">
        <f aca="false">IF(B496="","",Apontamentos!G496&amp;"")</f>
        <v/>
      </c>
      <c r="H496" s="14" t="str">
        <f aca="false">IF('Avaliador 1'!F496='Avaliador 2'!F496,'Avaliador 1'!F496&amp;"","")</f>
        <v/>
      </c>
      <c r="I496" s="14" t="str">
        <f aca="false">IF('Avaliador 1'!G496='Avaliador 2'!G496,'Avaliador 1'!G496&amp;"","")</f>
        <v/>
      </c>
      <c r="J496" s="14" t="str">
        <f aca="false">IF('Avaliador 1'!H496='Avaliador 2'!H496,'Avaliador 1'!H496&amp;"","")</f>
        <v/>
      </c>
      <c r="K496" s="14" t="str">
        <f aca="false">IF('Avaliador 1'!I496='Avaliador 2'!I496,'Avaliador 1'!I496&amp;"","")</f>
        <v/>
      </c>
      <c r="L496" s="13"/>
      <c r="M496" s="13" t="str">
        <f aca="false">IF('Avaliador 1'!J496='Avaliador 2'!J496,'Avaliador 1'!J496&amp;"","")</f>
        <v/>
      </c>
      <c r="N496" s="11" t="str">
        <f aca="false">IF(OR('Avaliador 1'!F496="",'Avaliador 2'!F496=""),"",IF(AND('Avaliador 1'!F496='Avaliador 2'!F496,'Avaliador 1'!G496='Avaliador 2'!G496,'Avaliador 1'!H496='Avaliador 2'!H496,'Avaliador 1'!I496='Avaliador 2'!I496),"Não","Sim"))</f>
        <v/>
      </c>
      <c r="O496" s="14"/>
      <c r="P496" s="10" t="str">
        <f aca="false">IF(LEN(H496)=3,"Defeito encontrado",IF(I496="Sim","Falso alarme",IF(H496="—","Nenhum defeito apontado","")))</f>
        <v/>
      </c>
    </row>
    <row r="497" customFormat="false" ht="15" hidden="false" customHeight="false" outlineLevel="0" collapsed="false">
      <c r="A497" s="11" t="str">
        <f aca="false">Apontamentos!C497</f>
        <v/>
      </c>
      <c r="B497" s="11" t="str">
        <f aca="false">IF(Apontamentos!$C497="","",Apontamentos!A497&amp;"")</f>
        <v/>
      </c>
      <c r="C497" s="11" t="str">
        <f aca="false">IF(B497="","",IFERROR(INDEX(Execuções!$C$2:$C$97,MATCH(B497,Execuções!$A$2:$A$97,0)),"ID?"))</f>
        <v/>
      </c>
      <c r="D497" s="10" t="str">
        <f aca="false">IF(B497="","",IFERROR(INDEX(Execuções!$B$2:$B$97,MATCH(B497,Execuções!$A$2:$A$97,0)),"ID?"))</f>
        <v/>
      </c>
      <c r="E497" s="11" t="str">
        <f aca="false">IF(B497="","",Apontamentos!D497)</f>
        <v/>
      </c>
      <c r="F497" s="11" t="str">
        <f aca="false">IF(B497="","",Apontamentos!E497)</f>
        <v/>
      </c>
      <c r="G497" s="10" t="str">
        <f aca="false">IF(B497="","",Apontamentos!G497&amp;"")</f>
        <v/>
      </c>
      <c r="H497" s="14" t="str">
        <f aca="false">IF('Avaliador 1'!F497='Avaliador 2'!F497,'Avaliador 1'!F497&amp;"","")</f>
        <v/>
      </c>
      <c r="I497" s="14" t="str">
        <f aca="false">IF('Avaliador 1'!G497='Avaliador 2'!G497,'Avaliador 1'!G497&amp;"","")</f>
        <v/>
      </c>
      <c r="J497" s="14" t="str">
        <f aca="false">IF('Avaliador 1'!H497='Avaliador 2'!H497,'Avaliador 1'!H497&amp;"","")</f>
        <v/>
      </c>
      <c r="K497" s="14" t="str">
        <f aca="false">IF('Avaliador 1'!I497='Avaliador 2'!I497,'Avaliador 1'!I497&amp;"","")</f>
        <v/>
      </c>
      <c r="L497" s="13"/>
      <c r="M497" s="13" t="str">
        <f aca="false">IF('Avaliador 1'!J497='Avaliador 2'!J497,'Avaliador 1'!J497&amp;"","")</f>
        <v/>
      </c>
      <c r="N497" s="11" t="str">
        <f aca="false">IF(OR('Avaliador 1'!F497="",'Avaliador 2'!F497=""),"",IF(AND('Avaliador 1'!F497='Avaliador 2'!F497,'Avaliador 1'!G497='Avaliador 2'!G497,'Avaliador 1'!H497='Avaliador 2'!H497,'Avaliador 1'!I497='Avaliador 2'!I497),"Não","Sim"))</f>
        <v/>
      </c>
      <c r="O497" s="14"/>
      <c r="P497" s="10" t="str">
        <f aca="false">IF(LEN(H497)=3,"Defeito encontrado",IF(I497="Sim","Falso alarme",IF(H497="—","Nenhum defeito apontado","")))</f>
        <v/>
      </c>
    </row>
    <row r="498" customFormat="false" ht="15" hidden="false" customHeight="false" outlineLevel="0" collapsed="false">
      <c r="A498" s="11" t="str">
        <f aca="false">Apontamentos!C498</f>
        <v/>
      </c>
      <c r="B498" s="11" t="str">
        <f aca="false">IF(Apontamentos!$C498="","",Apontamentos!A498&amp;"")</f>
        <v/>
      </c>
      <c r="C498" s="11" t="str">
        <f aca="false">IF(B498="","",IFERROR(INDEX(Execuções!$C$2:$C$97,MATCH(B498,Execuções!$A$2:$A$97,0)),"ID?"))</f>
        <v/>
      </c>
      <c r="D498" s="10" t="str">
        <f aca="false">IF(B498="","",IFERROR(INDEX(Execuções!$B$2:$B$97,MATCH(B498,Execuções!$A$2:$A$97,0)),"ID?"))</f>
        <v/>
      </c>
      <c r="E498" s="11" t="str">
        <f aca="false">IF(B498="","",Apontamentos!D498)</f>
        <v/>
      </c>
      <c r="F498" s="11" t="str">
        <f aca="false">IF(B498="","",Apontamentos!E498)</f>
        <v/>
      </c>
      <c r="G498" s="10" t="str">
        <f aca="false">IF(B498="","",Apontamentos!G498&amp;"")</f>
        <v/>
      </c>
      <c r="H498" s="14" t="str">
        <f aca="false">IF('Avaliador 1'!F498='Avaliador 2'!F498,'Avaliador 1'!F498&amp;"","")</f>
        <v/>
      </c>
      <c r="I498" s="14" t="str">
        <f aca="false">IF('Avaliador 1'!G498='Avaliador 2'!G498,'Avaliador 1'!G498&amp;"","")</f>
        <v/>
      </c>
      <c r="J498" s="14" t="str">
        <f aca="false">IF('Avaliador 1'!H498='Avaliador 2'!H498,'Avaliador 1'!H498&amp;"","")</f>
        <v/>
      </c>
      <c r="K498" s="14" t="str">
        <f aca="false">IF('Avaliador 1'!I498='Avaliador 2'!I498,'Avaliador 1'!I498&amp;"","")</f>
        <v/>
      </c>
      <c r="L498" s="13"/>
      <c r="M498" s="13" t="str">
        <f aca="false">IF('Avaliador 1'!J498='Avaliador 2'!J498,'Avaliador 1'!J498&amp;"","")</f>
        <v/>
      </c>
      <c r="N498" s="11" t="str">
        <f aca="false">IF(OR('Avaliador 1'!F498="",'Avaliador 2'!F498=""),"",IF(AND('Avaliador 1'!F498='Avaliador 2'!F498,'Avaliador 1'!G498='Avaliador 2'!G498,'Avaliador 1'!H498='Avaliador 2'!H498,'Avaliador 1'!I498='Avaliador 2'!I498),"Não","Sim"))</f>
        <v/>
      </c>
      <c r="O498" s="14"/>
      <c r="P498" s="10" t="str">
        <f aca="false">IF(LEN(H498)=3,"Defeito encontrado",IF(I498="Sim","Falso alarme",IF(H498="—","Nenhum defeito apontado","")))</f>
        <v/>
      </c>
    </row>
    <row r="499" customFormat="false" ht="15" hidden="false" customHeight="false" outlineLevel="0" collapsed="false">
      <c r="A499" s="11" t="str">
        <f aca="false">Apontamentos!C499</f>
        <v/>
      </c>
      <c r="B499" s="11" t="str">
        <f aca="false">IF(Apontamentos!$C499="","",Apontamentos!A499&amp;"")</f>
        <v/>
      </c>
      <c r="C499" s="11" t="str">
        <f aca="false">IF(B499="","",IFERROR(INDEX(Execuções!$C$2:$C$97,MATCH(B499,Execuções!$A$2:$A$97,0)),"ID?"))</f>
        <v/>
      </c>
      <c r="D499" s="10" t="str">
        <f aca="false">IF(B499="","",IFERROR(INDEX(Execuções!$B$2:$B$97,MATCH(B499,Execuções!$A$2:$A$97,0)),"ID?"))</f>
        <v/>
      </c>
      <c r="E499" s="11" t="str">
        <f aca="false">IF(B499="","",Apontamentos!D499)</f>
        <v/>
      </c>
      <c r="F499" s="11" t="str">
        <f aca="false">IF(B499="","",Apontamentos!E499)</f>
        <v/>
      </c>
      <c r="G499" s="10" t="str">
        <f aca="false">IF(B499="","",Apontamentos!G499&amp;"")</f>
        <v/>
      </c>
      <c r="H499" s="14" t="str">
        <f aca="false">IF('Avaliador 1'!F499='Avaliador 2'!F499,'Avaliador 1'!F499&amp;"","")</f>
        <v/>
      </c>
      <c r="I499" s="14" t="str">
        <f aca="false">IF('Avaliador 1'!G499='Avaliador 2'!G499,'Avaliador 1'!G499&amp;"","")</f>
        <v/>
      </c>
      <c r="J499" s="14" t="str">
        <f aca="false">IF('Avaliador 1'!H499='Avaliador 2'!H499,'Avaliador 1'!H499&amp;"","")</f>
        <v/>
      </c>
      <c r="K499" s="14" t="str">
        <f aca="false">IF('Avaliador 1'!I499='Avaliador 2'!I499,'Avaliador 1'!I499&amp;"","")</f>
        <v/>
      </c>
      <c r="L499" s="13"/>
      <c r="M499" s="13" t="str">
        <f aca="false">IF('Avaliador 1'!J499='Avaliador 2'!J499,'Avaliador 1'!J499&amp;"","")</f>
        <v/>
      </c>
      <c r="N499" s="11" t="str">
        <f aca="false">IF(OR('Avaliador 1'!F499="",'Avaliador 2'!F499=""),"",IF(AND('Avaliador 1'!F499='Avaliador 2'!F499,'Avaliador 1'!G499='Avaliador 2'!G499,'Avaliador 1'!H499='Avaliador 2'!H499,'Avaliador 1'!I499='Avaliador 2'!I499),"Não","Sim"))</f>
        <v/>
      </c>
      <c r="O499" s="14"/>
      <c r="P499" s="10" t="str">
        <f aca="false">IF(LEN(H499)=3,"Defeito encontrado",IF(I499="Sim","Falso alarme",IF(H499="—","Nenhum defeito apontado","")))</f>
        <v/>
      </c>
    </row>
    <row r="500" customFormat="false" ht="15" hidden="false" customHeight="false" outlineLevel="0" collapsed="false">
      <c r="A500" s="11" t="str">
        <f aca="false">Apontamentos!C500</f>
        <v/>
      </c>
      <c r="B500" s="11" t="str">
        <f aca="false">IF(Apontamentos!$C500="","",Apontamentos!A500&amp;"")</f>
        <v/>
      </c>
      <c r="C500" s="11" t="str">
        <f aca="false">IF(B500="","",IFERROR(INDEX(Execuções!$C$2:$C$97,MATCH(B500,Execuções!$A$2:$A$97,0)),"ID?"))</f>
        <v/>
      </c>
      <c r="D500" s="10" t="str">
        <f aca="false">IF(B500="","",IFERROR(INDEX(Execuções!$B$2:$B$97,MATCH(B500,Execuções!$A$2:$A$97,0)),"ID?"))</f>
        <v/>
      </c>
      <c r="E500" s="11" t="str">
        <f aca="false">IF(B500="","",Apontamentos!D500)</f>
        <v/>
      </c>
      <c r="F500" s="11" t="str">
        <f aca="false">IF(B500="","",Apontamentos!E500)</f>
        <v/>
      </c>
      <c r="G500" s="10" t="str">
        <f aca="false">IF(B500="","",Apontamentos!G500&amp;"")</f>
        <v/>
      </c>
      <c r="H500" s="14" t="str">
        <f aca="false">IF('Avaliador 1'!F500='Avaliador 2'!F500,'Avaliador 1'!F500&amp;"","")</f>
        <v/>
      </c>
      <c r="I500" s="14" t="str">
        <f aca="false">IF('Avaliador 1'!G500='Avaliador 2'!G500,'Avaliador 1'!G500&amp;"","")</f>
        <v/>
      </c>
      <c r="J500" s="14" t="str">
        <f aca="false">IF('Avaliador 1'!H500='Avaliador 2'!H500,'Avaliador 1'!H500&amp;"","")</f>
        <v/>
      </c>
      <c r="K500" s="14" t="str">
        <f aca="false">IF('Avaliador 1'!I500='Avaliador 2'!I500,'Avaliador 1'!I500&amp;"","")</f>
        <v/>
      </c>
      <c r="L500" s="13"/>
      <c r="M500" s="13" t="str">
        <f aca="false">IF('Avaliador 1'!J500='Avaliador 2'!J500,'Avaliador 1'!J500&amp;"","")</f>
        <v/>
      </c>
      <c r="N500" s="11" t="str">
        <f aca="false">IF(OR('Avaliador 1'!F500="",'Avaliador 2'!F500=""),"",IF(AND('Avaliador 1'!F500='Avaliador 2'!F500,'Avaliador 1'!G500='Avaliador 2'!G500,'Avaliador 1'!H500='Avaliador 2'!H500,'Avaliador 1'!I500='Avaliador 2'!I500),"Não","Sim"))</f>
        <v/>
      </c>
      <c r="O500" s="14"/>
      <c r="P500" s="10" t="str">
        <f aca="false">IF(LEN(H500)=3,"Defeito encontrado",IF(I500="Sim","Falso alarme",IF(H500="—","Nenhum defeito apontado","")))</f>
        <v/>
      </c>
    </row>
    <row r="501" customFormat="false" ht="15" hidden="false" customHeight="false" outlineLevel="0" collapsed="false">
      <c r="A501" s="11" t="str">
        <f aca="false">Apontamentos!C501</f>
        <v/>
      </c>
      <c r="B501" s="11" t="str">
        <f aca="false">IF(Apontamentos!$C501="","",Apontamentos!A501&amp;"")</f>
        <v/>
      </c>
      <c r="C501" s="11" t="str">
        <f aca="false">IF(B501="","",IFERROR(INDEX(Execuções!$C$2:$C$97,MATCH(B501,Execuções!$A$2:$A$97,0)),"ID?"))</f>
        <v/>
      </c>
      <c r="D501" s="10" t="str">
        <f aca="false">IF(B501="","",IFERROR(INDEX(Execuções!$B$2:$B$97,MATCH(B501,Execuções!$A$2:$A$97,0)),"ID?"))</f>
        <v/>
      </c>
      <c r="E501" s="11" t="str">
        <f aca="false">IF(B501="","",Apontamentos!D501)</f>
        <v/>
      </c>
      <c r="F501" s="11" t="str">
        <f aca="false">IF(B501="","",Apontamentos!E501)</f>
        <v/>
      </c>
      <c r="G501" s="10" t="str">
        <f aca="false">IF(B501="","",Apontamentos!G501&amp;"")</f>
        <v/>
      </c>
      <c r="H501" s="14" t="str">
        <f aca="false">IF('Avaliador 1'!F501='Avaliador 2'!F501,'Avaliador 1'!F501&amp;"","")</f>
        <v/>
      </c>
      <c r="I501" s="14" t="str">
        <f aca="false">IF('Avaliador 1'!G501='Avaliador 2'!G501,'Avaliador 1'!G501&amp;"","")</f>
        <v/>
      </c>
      <c r="J501" s="14" t="str">
        <f aca="false">IF('Avaliador 1'!H501='Avaliador 2'!H501,'Avaliador 1'!H501&amp;"","")</f>
        <v/>
      </c>
      <c r="K501" s="14" t="str">
        <f aca="false">IF('Avaliador 1'!I501='Avaliador 2'!I501,'Avaliador 1'!I501&amp;"","")</f>
        <v/>
      </c>
      <c r="L501" s="13"/>
      <c r="M501" s="13" t="str">
        <f aca="false">IF('Avaliador 1'!J501='Avaliador 2'!J501,'Avaliador 1'!J501&amp;"","")</f>
        <v/>
      </c>
      <c r="N501" s="11" t="str">
        <f aca="false">IF(OR('Avaliador 1'!F501="",'Avaliador 2'!F501=""),"",IF(AND('Avaliador 1'!F501='Avaliador 2'!F501,'Avaliador 1'!G501='Avaliador 2'!G501,'Avaliador 1'!H501='Avaliador 2'!H501,'Avaliador 1'!I501='Avaliador 2'!I501),"Não","Sim"))</f>
        <v/>
      </c>
      <c r="O501" s="14"/>
      <c r="P501" s="10" t="str">
        <f aca="false">IF(LEN(H501)=3,"Defeito encontrado",IF(I501="Sim","Falso alarme",IF(H501="—","Nenhum defeito apontado","")))</f>
        <v/>
      </c>
    </row>
    <row r="502" customFormat="false" ht="15" hidden="false" customHeight="false" outlineLevel="0" collapsed="false">
      <c r="A502" s="11" t="str">
        <f aca="false">Apontamentos!C502</f>
        <v/>
      </c>
      <c r="B502" s="11" t="str">
        <f aca="false">IF(Apontamentos!$C502="","",Apontamentos!A502&amp;"")</f>
        <v/>
      </c>
      <c r="C502" s="11" t="str">
        <f aca="false">IF(B502="","",IFERROR(INDEX(Execuções!$C$2:$C$97,MATCH(B502,Execuções!$A$2:$A$97,0)),"ID?"))</f>
        <v/>
      </c>
      <c r="D502" s="10" t="str">
        <f aca="false">IF(B502="","",IFERROR(INDEX(Execuções!$B$2:$B$97,MATCH(B502,Execuções!$A$2:$A$97,0)),"ID?"))</f>
        <v/>
      </c>
      <c r="E502" s="11" t="str">
        <f aca="false">IF(B502="","",Apontamentos!D502)</f>
        <v/>
      </c>
      <c r="F502" s="11" t="str">
        <f aca="false">IF(B502="","",Apontamentos!E502)</f>
        <v/>
      </c>
      <c r="G502" s="10" t="str">
        <f aca="false">IF(B502="","",Apontamentos!G502&amp;"")</f>
        <v/>
      </c>
      <c r="H502" s="14" t="str">
        <f aca="false">IF('Avaliador 1'!F502='Avaliador 2'!F502,'Avaliador 1'!F502&amp;"","")</f>
        <v/>
      </c>
      <c r="I502" s="14" t="str">
        <f aca="false">IF('Avaliador 1'!G502='Avaliador 2'!G502,'Avaliador 1'!G502&amp;"","")</f>
        <v/>
      </c>
      <c r="J502" s="14" t="str">
        <f aca="false">IF('Avaliador 1'!H502='Avaliador 2'!H502,'Avaliador 1'!H502&amp;"","")</f>
        <v/>
      </c>
      <c r="K502" s="14" t="str">
        <f aca="false">IF('Avaliador 1'!I502='Avaliador 2'!I502,'Avaliador 1'!I502&amp;"","")</f>
        <v/>
      </c>
      <c r="L502" s="13"/>
      <c r="M502" s="13" t="str">
        <f aca="false">IF('Avaliador 1'!J502='Avaliador 2'!J502,'Avaliador 1'!J502&amp;"","")</f>
        <v/>
      </c>
      <c r="N502" s="11" t="str">
        <f aca="false">IF(OR('Avaliador 1'!F502="",'Avaliador 2'!F502=""),"",IF(AND('Avaliador 1'!F502='Avaliador 2'!F502,'Avaliador 1'!G502='Avaliador 2'!G502,'Avaliador 1'!H502='Avaliador 2'!H502,'Avaliador 1'!I502='Avaliador 2'!I502),"Não","Sim"))</f>
        <v/>
      </c>
      <c r="O502" s="14"/>
      <c r="P502" s="10" t="str">
        <f aca="false">IF(LEN(H502)=3,"Defeito encontrado",IF(I502="Sim","Falso alarme",IF(H502="—","Nenhum defeito apontado","")))</f>
        <v/>
      </c>
    </row>
    <row r="503" customFormat="false" ht="15" hidden="false" customHeight="false" outlineLevel="0" collapsed="false">
      <c r="A503" s="11" t="str">
        <f aca="false">Apontamentos!C503</f>
        <v/>
      </c>
      <c r="B503" s="11" t="str">
        <f aca="false">IF(Apontamentos!$C503="","",Apontamentos!A503&amp;"")</f>
        <v/>
      </c>
      <c r="C503" s="11" t="str">
        <f aca="false">IF(B503="","",IFERROR(INDEX(Execuções!$C$2:$C$97,MATCH(B503,Execuções!$A$2:$A$97,0)),"ID?"))</f>
        <v/>
      </c>
      <c r="D503" s="10" t="str">
        <f aca="false">IF(B503="","",IFERROR(INDEX(Execuções!$B$2:$B$97,MATCH(B503,Execuções!$A$2:$A$97,0)),"ID?"))</f>
        <v/>
      </c>
      <c r="E503" s="11" t="str">
        <f aca="false">IF(B503="","",Apontamentos!D503)</f>
        <v/>
      </c>
      <c r="F503" s="11" t="str">
        <f aca="false">IF(B503="","",Apontamentos!E503)</f>
        <v/>
      </c>
      <c r="G503" s="10" t="str">
        <f aca="false">IF(B503="","",Apontamentos!G503&amp;"")</f>
        <v/>
      </c>
      <c r="H503" s="14" t="str">
        <f aca="false">IF('Avaliador 1'!F503='Avaliador 2'!F503,'Avaliador 1'!F503&amp;"","")</f>
        <v/>
      </c>
      <c r="I503" s="14" t="str">
        <f aca="false">IF('Avaliador 1'!G503='Avaliador 2'!G503,'Avaliador 1'!G503&amp;"","")</f>
        <v/>
      </c>
      <c r="J503" s="14" t="str">
        <f aca="false">IF('Avaliador 1'!H503='Avaliador 2'!H503,'Avaliador 1'!H503&amp;"","")</f>
        <v/>
      </c>
      <c r="K503" s="14" t="str">
        <f aca="false">IF('Avaliador 1'!I503='Avaliador 2'!I503,'Avaliador 1'!I503&amp;"","")</f>
        <v/>
      </c>
      <c r="L503" s="13"/>
      <c r="M503" s="13" t="str">
        <f aca="false">IF('Avaliador 1'!J503='Avaliador 2'!J503,'Avaliador 1'!J503&amp;"","")</f>
        <v/>
      </c>
      <c r="N503" s="11" t="str">
        <f aca="false">IF(OR('Avaliador 1'!F503="",'Avaliador 2'!F503=""),"",IF(AND('Avaliador 1'!F503='Avaliador 2'!F503,'Avaliador 1'!G503='Avaliador 2'!G503,'Avaliador 1'!H503='Avaliador 2'!H503,'Avaliador 1'!I503='Avaliador 2'!I503),"Não","Sim"))</f>
        <v/>
      </c>
      <c r="O503" s="14"/>
      <c r="P503" s="10" t="str">
        <f aca="false">IF(LEN(H503)=3,"Defeito encontrado",IF(I503="Sim","Falso alarme",IF(H503="—","Nenhum defeito apontado","")))</f>
        <v/>
      </c>
    </row>
    <row r="504" customFormat="false" ht="15" hidden="false" customHeight="false" outlineLevel="0" collapsed="false">
      <c r="A504" s="11" t="str">
        <f aca="false">Apontamentos!C504</f>
        <v/>
      </c>
      <c r="B504" s="11" t="str">
        <f aca="false">IF(Apontamentos!$C504="","",Apontamentos!A504&amp;"")</f>
        <v/>
      </c>
      <c r="C504" s="11" t="str">
        <f aca="false">IF(B504="","",IFERROR(INDEX(Execuções!$C$2:$C$97,MATCH(B504,Execuções!$A$2:$A$97,0)),"ID?"))</f>
        <v/>
      </c>
      <c r="D504" s="10" t="str">
        <f aca="false">IF(B504="","",IFERROR(INDEX(Execuções!$B$2:$B$97,MATCH(B504,Execuções!$A$2:$A$97,0)),"ID?"))</f>
        <v/>
      </c>
      <c r="E504" s="11" t="str">
        <f aca="false">IF(B504="","",Apontamentos!D504)</f>
        <v/>
      </c>
      <c r="F504" s="11" t="str">
        <f aca="false">IF(B504="","",Apontamentos!E504)</f>
        <v/>
      </c>
      <c r="G504" s="10" t="str">
        <f aca="false">IF(B504="","",Apontamentos!G504&amp;"")</f>
        <v/>
      </c>
      <c r="H504" s="14" t="str">
        <f aca="false">IF('Avaliador 1'!F504='Avaliador 2'!F504,'Avaliador 1'!F504&amp;"","")</f>
        <v/>
      </c>
      <c r="I504" s="14" t="str">
        <f aca="false">IF('Avaliador 1'!G504='Avaliador 2'!G504,'Avaliador 1'!G504&amp;"","")</f>
        <v/>
      </c>
      <c r="J504" s="14" t="str">
        <f aca="false">IF('Avaliador 1'!H504='Avaliador 2'!H504,'Avaliador 1'!H504&amp;"","")</f>
        <v/>
      </c>
      <c r="K504" s="14" t="str">
        <f aca="false">IF('Avaliador 1'!I504='Avaliador 2'!I504,'Avaliador 1'!I504&amp;"","")</f>
        <v/>
      </c>
      <c r="L504" s="13"/>
      <c r="M504" s="13" t="str">
        <f aca="false">IF('Avaliador 1'!J504='Avaliador 2'!J504,'Avaliador 1'!J504&amp;"","")</f>
        <v/>
      </c>
      <c r="N504" s="11" t="str">
        <f aca="false">IF(OR('Avaliador 1'!F504="",'Avaliador 2'!F504=""),"",IF(AND('Avaliador 1'!F504='Avaliador 2'!F504,'Avaliador 1'!G504='Avaliador 2'!G504,'Avaliador 1'!H504='Avaliador 2'!H504,'Avaliador 1'!I504='Avaliador 2'!I504),"Não","Sim"))</f>
        <v/>
      </c>
      <c r="O504" s="14"/>
      <c r="P504" s="10" t="str">
        <f aca="false">IF(LEN(H504)=3,"Defeito encontrado",IF(I504="Sim","Falso alarme",IF(H504="—","Nenhum defeito apontado","")))</f>
        <v/>
      </c>
    </row>
    <row r="505" customFormat="false" ht="15" hidden="false" customHeight="false" outlineLevel="0" collapsed="false">
      <c r="A505" s="11" t="str">
        <f aca="false">Apontamentos!C505</f>
        <v/>
      </c>
      <c r="B505" s="11" t="str">
        <f aca="false">IF(Apontamentos!$C505="","",Apontamentos!A505&amp;"")</f>
        <v/>
      </c>
      <c r="C505" s="11" t="str">
        <f aca="false">IF(B505="","",IFERROR(INDEX(Execuções!$C$2:$C$97,MATCH(B505,Execuções!$A$2:$A$97,0)),"ID?"))</f>
        <v/>
      </c>
      <c r="D505" s="10" t="str">
        <f aca="false">IF(B505="","",IFERROR(INDEX(Execuções!$B$2:$B$97,MATCH(B505,Execuções!$A$2:$A$97,0)),"ID?"))</f>
        <v/>
      </c>
      <c r="E505" s="11" t="str">
        <f aca="false">IF(B505="","",Apontamentos!D505)</f>
        <v/>
      </c>
      <c r="F505" s="11" t="str">
        <f aca="false">IF(B505="","",Apontamentos!E505)</f>
        <v/>
      </c>
      <c r="G505" s="10" t="str">
        <f aca="false">IF(B505="","",Apontamentos!G505&amp;"")</f>
        <v/>
      </c>
      <c r="H505" s="14" t="str">
        <f aca="false">IF('Avaliador 1'!F505='Avaliador 2'!F505,'Avaliador 1'!F505&amp;"","")</f>
        <v/>
      </c>
      <c r="I505" s="14" t="str">
        <f aca="false">IF('Avaliador 1'!G505='Avaliador 2'!G505,'Avaliador 1'!G505&amp;"","")</f>
        <v/>
      </c>
      <c r="J505" s="14" t="str">
        <f aca="false">IF('Avaliador 1'!H505='Avaliador 2'!H505,'Avaliador 1'!H505&amp;"","")</f>
        <v/>
      </c>
      <c r="K505" s="14" t="str">
        <f aca="false">IF('Avaliador 1'!I505='Avaliador 2'!I505,'Avaliador 1'!I505&amp;"","")</f>
        <v/>
      </c>
      <c r="L505" s="13"/>
      <c r="M505" s="13" t="str">
        <f aca="false">IF('Avaliador 1'!J505='Avaliador 2'!J505,'Avaliador 1'!J505&amp;"","")</f>
        <v/>
      </c>
      <c r="N505" s="11" t="str">
        <f aca="false">IF(OR('Avaliador 1'!F505="",'Avaliador 2'!F505=""),"",IF(AND('Avaliador 1'!F505='Avaliador 2'!F505,'Avaliador 1'!G505='Avaliador 2'!G505,'Avaliador 1'!H505='Avaliador 2'!H505,'Avaliador 1'!I505='Avaliador 2'!I505),"Não","Sim"))</f>
        <v/>
      </c>
      <c r="O505" s="14"/>
      <c r="P505" s="10" t="str">
        <f aca="false">IF(LEN(H505)=3,"Defeito encontrado",IF(I505="Sim","Falso alarme",IF(H505="—","Nenhum defeito apontado","")))</f>
        <v/>
      </c>
    </row>
    <row r="506" customFormat="false" ht="15" hidden="false" customHeight="false" outlineLevel="0" collapsed="false">
      <c r="A506" s="11" t="str">
        <f aca="false">Apontamentos!C506</f>
        <v/>
      </c>
      <c r="B506" s="11" t="str">
        <f aca="false">IF(Apontamentos!$C506="","",Apontamentos!A506&amp;"")</f>
        <v/>
      </c>
      <c r="C506" s="11" t="str">
        <f aca="false">IF(B506="","",IFERROR(INDEX(Execuções!$C$2:$C$97,MATCH(B506,Execuções!$A$2:$A$97,0)),"ID?"))</f>
        <v/>
      </c>
      <c r="D506" s="10" t="str">
        <f aca="false">IF(B506="","",IFERROR(INDEX(Execuções!$B$2:$B$97,MATCH(B506,Execuções!$A$2:$A$97,0)),"ID?"))</f>
        <v/>
      </c>
      <c r="E506" s="11" t="str">
        <f aca="false">IF(B506="","",Apontamentos!D506)</f>
        <v/>
      </c>
      <c r="F506" s="11" t="str">
        <f aca="false">IF(B506="","",Apontamentos!E506)</f>
        <v/>
      </c>
      <c r="G506" s="10" t="str">
        <f aca="false">IF(B506="","",Apontamentos!G506&amp;"")</f>
        <v/>
      </c>
      <c r="H506" s="14" t="str">
        <f aca="false">IF('Avaliador 1'!F506='Avaliador 2'!F506,'Avaliador 1'!F506&amp;"","")</f>
        <v/>
      </c>
      <c r="I506" s="14" t="str">
        <f aca="false">IF('Avaliador 1'!G506='Avaliador 2'!G506,'Avaliador 1'!G506&amp;"","")</f>
        <v/>
      </c>
      <c r="J506" s="14" t="str">
        <f aca="false">IF('Avaliador 1'!H506='Avaliador 2'!H506,'Avaliador 1'!H506&amp;"","")</f>
        <v/>
      </c>
      <c r="K506" s="14" t="str">
        <f aca="false">IF('Avaliador 1'!I506='Avaliador 2'!I506,'Avaliador 1'!I506&amp;"","")</f>
        <v/>
      </c>
      <c r="L506" s="13"/>
      <c r="M506" s="13" t="str">
        <f aca="false">IF('Avaliador 1'!J506='Avaliador 2'!J506,'Avaliador 1'!J506&amp;"","")</f>
        <v/>
      </c>
      <c r="N506" s="11" t="str">
        <f aca="false">IF(OR('Avaliador 1'!F506="",'Avaliador 2'!F506=""),"",IF(AND('Avaliador 1'!F506='Avaliador 2'!F506,'Avaliador 1'!G506='Avaliador 2'!G506,'Avaliador 1'!H506='Avaliador 2'!H506,'Avaliador 1'!I506='Avaliador 2'!I506),"Não","Sim"))</f>
        <v/>
      </c>
      <c r="O506" s="14"/>
      <c r="P506" s="10" t="str">
        <f aca="false">IF(LEN(H506)=3,"Defeito encontrado",IF(I506="Sim","Falso alarme",IF(H506="—","Nenhum defeito apontado","")))</f>
        <v/>
      </c>
    </row>
    <row r="507" customFormat="false" ht="15" hidden="false" customHeight="false" outlineLevel="0" collapsed="false">
      <c r="A507" s="11" t="str">
        <f aca="false">Apontamentos!C507</f>
        <v/>
      </c>
      <c r="B507" s="11" t="str">
        <f aca="false">IF(Apontamentos!$C507="","",Apontamentos!A507&amp;"")</f>
        <v/>
      </c>
      <c r="C507" s="11" t="str">
        <f aca="false">IF(B507="","",IFERROR(INDEX(Execuções!$C$2:$C$97,MATCH(B507,Execuções!$A$2:$A$97,0)),"ID?"))</f>
        <v/>
      </c>
      <c r="D507" s="10" t="str">
        <f aca="false">IF(B507="","",IFERROR(INDEX(Execuções!$B$2:$B$97,MATCH(B507,Execuções!$A$2:$A$97,0)),"ID?"))</f>
        <v/>
      </c>
      <c r="E507" s="11" t="str">
        <f aca="false">IF(B507="","",Apontamentos!D507)</f>
        <v/>
      </c>
      <c r="F507" s="11" t="str">
        <f aca="false">IF(B507="","",Apontamentos!E507)</f>
        <v/>
      </c>
      <c r="G507" s="10" t="str">
        <f aca="false">IF(B507="","",Apontamentos!G507&amp;"")</f>
        <v/>
      </c>
      <c r="H507" s="14" t="str">
        <f aca="false">IF('Avaliador 1'!F507='Avaliador 2'!F507,'Avaliador 1'!F507&amp;"","")</f>
        <v/>
      </c>
      <c r="I507" s="14" t="str">
        <f aca="false">IF('Avaliador 1'!G507='Avaliador 2'!G507,'Avaliador 1'!G507&amp;"","")</f>
        <v/>
      </c>
      <c r="J507" s="14" t="str">
        <f aca="false">IF('Avaliador 1'!H507='Avaliador 2'!H507,'Avaliador 1'!H507&amp;"","")</f>
        <v/>
      </c>
      <c r="K507" s="14" t="str">
        <f aca="false">IF('Avaliador 1'!I507='Avaliador 2'!I507,'Avaliador 1'!I507&amp;"","")</f>
        <v/>
      </c>
      <c r="L507" s="13"/>
      <c r="M507" s="13" t="str">
        <f aca="false">IF('Avaliador 1'!J507='Avaliador 2'!J507,'Avaliador 1'!J507&amp;"","")</f>
        <v/>
      </c>
      <c r="N507" s="11" t="str">
        <f aca="false">IF(OR('Avaliador 1'!F507="",'Avaliador 2'!F507=""),"",IF(AND('Avaliador 1'!F507='Avaliador 2'!F507,'Avaliador 1'!G507='Avaliador 2'!G507,'Avaliador 1'!H507='Avaliador 2'!H507,'Avaliador 1'!I507='Avaliador 2'!I507),"Não","Sim"))</f>
        <v/>
      </c>
      <c r="O507" s="14"/>
      <c r="P507" s="10" t="str">
        <f aca="false">IF(LEN(H507)=3,"Defeito encontrado",IF(I507="Sim","Falso alarme",IF(H507="—","Nenhum defeito apontado","")))</f>
        <v/>
      </c>
    </row>
    <row r="508" customFormat="false" ht="15" hidden="false" customHeight="false" outlineLevel="0" collapsed="false">
      <c r="A508" s="11" t="str">
        <f aca="false">Apontamentos!C508</f>
        <v/>
      </c>
      <c r="B508" s="11" t="str">
        <f aca="false">IF(Apontamentos!$C508="","",Apontamentos!A508&amp;"")</f>
        <v/>
      </c>
      <c r="C508" s="11" t="str">
        <f aca="false">IF(B508="","",IFERROR(INDEX(Execuções!$C$2:$C$97,MATCH(B508,Execuções!$A$2:$A$97,0)),"ID?"))</f>
        <v/>
      </c>
      <c r="D508" s="10" t="str">
        <f aca="false">IF(B508="","",IFERROR(INDEX(Execuções!$B$2:$B$97,MATCH(B508,Execuções!$A$2:$A$97,0)),"ID?"))</f>
        <v/>
      </c>
      <c r="E508" s="11" t="str">
        <f aca="false">IF(B508="","",Apontamentos!D508)</f>
        <v/>
      </c>
      <c r="F508" s="11" t="str">
        <f aca="false">IF(B508="","",Apontamentos!E508)</f>
        <v/>
      </c>
      <c r="G508" s="10" t="str">
        <f aca="false">IF(B508="","",Apontamentos!G508&amp;"")</f>
        <v/>
      </c>
      <c r="H508" s="14" t="str">
        <f aca="false">IF('Avaliador 1'!F508='Avaliador 2'!F508,'Avaliador 1'!F508&amp;"","")</f>
        <v/>
      </c>
      <c r="I508" s="14" t="str">
        <f aca="false">IF('Avaliador 1'!G508='Avaliador 2'!G508,'Avaliador 1'!G508&amp;"","")</f>
        <v/>
      </c>
      <c r="J508" s="14" t="str">
        <f aca="false">IF('Avaliador 1'!H508='Avaliador 2'!H508,'Avaliador 1'!H508&amp;"","")</f>
        <v/>
      </c>
      <c r="K508" s="14" t="str">
        <f aca="false">IF('Avaliador 1'!I508='Avaliador 2'!I508,'Avaliador 1'!I508&amp;"","")</f>
        <v/>
      </c>
      <c r="L508" s="13"/>
      <c r="M508" s="13" t="str">
        <f aca="false">IF('Avaliador 1'!J508='Avaliador 2'!J508,'Avaliador 1'!J508&amp;"","")</f>
        <v/>
      </c>
      <c r="N508" s="11" t="str">
        <f aca="false">IF(OR('Avaliador 1'!F508="",'Avaliador 2'!F508=""),"",IF(AND('Avaliador 1'!F508='Avaliador 2'!F508,'Avaliador 1'!G508='Avaliador 2'!G508,'Avaliador 1'!H508='Avaliador 2'!H508,'Avaliador 1'!I508='Avaliador 2'!I508),"Não","Sim"))</f>
        <v/>
      </c>
      <c r="O508" s="14"/>
      <c r="P508" s="10" t="str">
        <f aca="false">IF(LEN(H508)=3,"Defeito encontrado",IF(I508="Sim","Falso alarme",IF(H508="—","Nenhum defeito apontado","")))</f>
        <v/>
      </c>
    </row>
    <row r="509" customFormat="false" ht="15" hidden="false" customHeight="false" outlineLevel="0" collapsed="false">
      <c r="A509" s="11" t="str">
        <f aca="false">Apontamentos!C509</f>
        <v/>
      </c>
      <c r="B509" s="11" t="str">
        <f aca="false">IF(Apontamentos!$C509="","",Apontamentos!A509&amp;"")</f>
        <v/>
      </c>
      <c r="C509" s="11" t="str">
        <f aca="false">IF(B509="","",IFERROR(INDEX(Execuções!$C$2:$C$97,MATCH(B509,Execuções!$A$2:$A$97,0)),"ID?"))</f>
        <v/>
      </c>
      <c r="D509" s="10" t="str">
        <f aca="false">IF(B509="","",IFERROR(INDEX(Execuções!$B$2:$B$97,MATCH(B509,Execuções!$A$2:$A$97,0)),"ID?"))</f>
        <v/>
      </c>
      <c r="E509" s="11" t="str">
        <f aca="false">IF(B509="","",Apontamentos!D509)</f>
        <v/>
      </c>
      <c r="F509" s="11" t="str">
        <f aca="false">IF(B509="","",Apontamentos!E509)</f>
        <v/>
      </c>
      <c r="G509" s="10" t="str">
        <f aca="false">IF(B509="","",Apontamentos!G509&amp;"")</f>
        <v/>
      </c>
      <c r="H509" s="14" t="str">
        <f aca="false">IF('Avaliador 1'!F509='Avaliador 2'!F509,'Avaliador 1'!F509&amp;"","")</f>
        <v/>
      </c>
      <c r="I509" s="14" t="str">
        <f aca="false">IF('Avaliador 1'!G509='Avaliador 2'!G509,'Avaliador 1'!G509&amp;"","")</f>
        <v/>
      </c>
      <c r="J509" s="14" t="str">
        <f aca="false">IF('Avaliador 1'!H509='Avaliador 2'!H509,'Avaliador 1'!H509&amp;"","")</f>
        <v/>
      </c>
      <c r="K509" s="14" t="str">
        <f aca="false">IF('Avaliador 1'!I509='Avaliador 2'!I509,'Avaliador 1'!I509&amp;"","")</f>
        <v/>
      </c>
      <c r="L509" s="13"/>
      <c r="M509" s="13" t="str">
        <f aca="false">IF('Avaliador 1'!J509='Avaliador 2'!J509,'Avaliador 1'!J509&amp;"","")</f>
        <v/>
      </c>
      <c r="N509" s="11" t="str">
        <f aca="false">IF(OR('Avaliador 1'!F509="",'Avaliador 2'!F509=""),"",IF(AND('Avaliador 1'!F509='Avaliador 2'!F509,'Avaliador 1'!G509='Avaliador 2'!G509,'Avaliador 1'!H509='Avaliador 2'!H509,'Avaliador 1'!I509='Avaliador 2'!I509),"Não","Sim"))</f>
        <v/>
      </c>
      <c r="O509" s="14"/>
      <c r="P509" s="10" t="str">
        <f aca="false">IF(LEN(H509)=3,"Defeito encontrado",IF(I509="Sim","Falso alarme",IF(H509="—","Nenhum defeito apontado","")))</f>
        <v/>
      </c>
    </row>
    <row r="510" customFormat="false" ht="15" hidden="false" customHeight="false" outlineLevel="0" collapsed="false">
      <c r="A510" s="11" t="str">
        <f aca="false">Apontamentos!C510</f>
        <v/>
      </c>
      <c r="B510" s="11" t="str">
        <f aca="false">IF(Apontamentos!$C510="","",Apontamentos!A510&amp;"")</f>
        <v/>
      </c>
      <c r="C510" s="11" t="str">
        <f aca="false">IF(B510="","",IFERROR(INDEX(Execuções!$C$2:$C$97,MATCH(B510,Execuções!$A$2:$A$97,0)),"ID?"))</f>
        <v/>
      </c>
      <c r="D510" s="10" t="str">
        <f aca="false">IF(B510="","",IFERROR(INDEX(Execuções!$B$2:$B$97,MATCH(B510,Execuções!$A$2:$A$97,0)),"ID?"))</f>
        <v/>
      </c>
      <c r="E510" s="11" t="str">
        <f aca="false">IF(B510="","",Apontamentos!D510)</f>
        <v/>
      </c>
      <c r="F510" s="11" t="str">
        <f aca="false">IF(B510="","",Apontamentos!E510)</f>
        <v/>
      </c>
      <c r="G510" s="10" t="str">
        <f aca="false">IF(B510="","",Apontamentos!G510&amp;"")</f>
        <v/>
      </c>
      <c r="H510" s="14" t="str">
        <f aca="false">IF('Avaliador 1'!F510='Avaliador 2'!F510,'Avaliador 1'!F510&amp;"","")</f>
        <v/>
      </c>
      <c r="I510" s="14" t="str">
        <f aca="false">IF('Avaliador 1'!G510='Avaliador 2'!G510,'Avaliador 1'!G510&amp;"","")</f>
        <v/>
      </c>
      <c r="J510" s="14" t="str">
        <f aca="false">IF('Avaliador 1'!H510='Avaliador 2'!H510,'Avaliador 1'!H510&amp;"","")</f>
        <v/>
      </c>
      <c r="K510" s="14" t="str">
        <f aca="false">IF('Avaliador 1'!I510='Avaliador 2'!I510,'Avaliador 1'!I510&amp;"","")</f>
        <v/>
      </c>
      <c r="L510" s="13"/>
      <c r="M510" s="13" t="str">
        <f aca="false">IF('Avaliador 1'!J510='Avaliador 2'!J510,'Avaliador 1'!J510&amp;"","")</f>
        <v/>
      </c>
      <c r="N510" s="11" t="str">
        <f aca="false">IF(OR('Avaliador 1'!F510="",'Avaliador 2'!F510=""),"",IF(AND('Avaliador 1'!F510='Avaliador 2'!F510,'Avaliador 1'!G510='Avaliador 2'!G510,'Avaliador 1'!H510='Avaliador 2'!H510,'Avaliador 1'!I510='Avaliador 2'!I510),"Não","Sim"))</f>
        <v/>
      </c>
      <c r="O510" s="14"/>
      <c r="P510" s="10" t="str">
        <f aca="false">IF(LEN(H510)=3,"Defeito encontrado",IF(I510="Sim","Falso alarme",IF(H510="—","Nenhum defeito apontado","")))</f>
        <v/>
      </c>
    </row>
    <row r="511" customFormat="false" ht="15" hidden="false" customHeight="false" outlineLevel="0" collapsed="false">
      <c r="A511" s="11" t="str">
        <f aca="false">Apontamentos!C511</f>
        <v/>
      </c>
      <c r="B511" s="11" t="str">
        <f aca="false">IF(Apontamentos!$C511="","",Apontamentos!A511&amp;"")</f>
        <v/>
      </c>
      <c r="C511" s="11" t="str">
        <f aca="false">IF(B511="","",IFERROR(INDEX(Execuções!$C$2:$C$97,MATCH(B511,Execuções!$A$2:$A$97,0)),"ID?"))</f>
        <v/>
      </c>
      <c r="D511" s="10" t="str">
        <f aca="false">IF(B511="","",IFERROR(INDEX(Execuções!$B$2:$B$97,MATCH(B511,Execuções!$A$2:$A$97,0)),"ID?"))</f>
        <v/>
      </c>
      <c r="E511" s="11" t="str">
        <f aca="false">IF(B511="","",Apontamentos!D511)</f>
        <v/>
      </c>
      <c r="F511" s="11" t="str">
        <f aca="false">IF(B511="","",Apontamentos!E511)</f>
        <v/>
      </c>
      <c r="G511" s="10" t="str">
        <f aca="false">IF(B511="","",Apontamentos!G511&amp;"")</f>
        <v/>
      </c>
      <c r="H511" s="14" t="str">
        <f aca="false">IF('Avaliador 1'!F511='Avaliador 2'!F511,'Avaliador 1'!F511&amp;"","")</f>
        <v/>
      </c>
      <c r="I511" s="14" t="str">
        <f aca="false">IF('Avaliador 1'!G511='Avaliador 2'!G511,'Avaliador 1'!G511&amp;"","")</f>
        <v/>
      </c>
      <c r="J511" s="14" t="str">
        <f aca="false">IF('Avaliador 1'!H511='Avaliador 2'!H511,'Avaliador 1'!H511&amp;"","")</f>
        <v/>
      </c>
      <c r="K511" s="14" t="str">
        <f aca="false">IF('Avaliador 1'!I511='Avaliador 2'!I511,'Avaliador 1'!I511&amp;"","")</f>
        <v/>
      </c>
      <c r="L511" s="13"/>
      <c r="M511" s="13" t="str">
        <f aca="false">IF('Avaliador 1'!J511='Avaliador 2'!J511,'Avaliador 1'!J511&amp;"","")</f>
        <v/>
      </c>
      <c r="N511" s="11" t="str">
        <f aca="false">IF(OR('Avaliador 1'!F511="",'Avaliador 2'!F511=""),"",IF(AND('Avaliador 1'!F511='Avaliador 2'!F511,'Avaliador 1'!G511='Avaliador 2'!G511,'Avaliador 1'!H511='Avaliador 2'!H511,'Avaliador 1'!I511='Avaliador 2'!I511),"Não","Sim"))</f>
        <v/>
      </c>
      <c r="O511" s="14"/>
      <c r="P511" s="10" t="str">
        <f aca="false">IF(LEN(H511)=3,"Defeito encontrado",IF(I511="Sim","Falso alarme",IF(H511="—","Nenhum defeito apontado","")))</f>
        <v/>
      </c>
    </row>
    <row r="512" customFormat="false" ht="15" hidden="false" customHeight="false" outlineLevel="0" collapsed="false">
      <c r="A512" s="11" t="str">
        <f aca="false">Apontamentos!C512</f>
        <v/>
      </c>
      <c r="B512" s="11" t="str">
        <f aca="false">IF(Apontamentos!$C512="","",Apontamentos!A512&amp;"")</f>
        <v/>
      </c>
      <c r="C512" s="11" t="str">
        <f aca="false">IF(B512="","",IFERROR(INDEX(Execuções!$C$2:$C$97,MATCH(B512,Execuções!$A$2:$A$97,0)),"ID?"))</f>
        <v/>
      </c>
      <c r="D512" s="10" t="str">
        <f aca="false">IF(B512="","",IFERROR(INDEX(Execuções!$B$2:$B$97,MATCH(B512,Execuções!$A$2:$A$97,0)),"ID?"))</f>
        <v/>
      </c>
      <c r="E512" s="11" t="str">
        <f aca="false">IF(B512="","",Apontamentos!D512)</f>
        <v/>
      </c>
      <c r="F512" s="11" t="str">
        <f aca="false">IF(B512="","",Apontamentos!E512)</f>
        <v/>
      </c>
      <c r="G512" s="10" t="str">
        <f aca="false">IF(B512="","",Apontamentos!G512&amp;"")</f>
        <v/>
      </c>
      <c r="H512" s="14" t="str">
        <f aca="false">IF('Avaliador 1'!F512='Avaliador 2'!F512,'Avaliador 1'!F512&amp;"","")</f>
        <v/>
      </c>
      <c r="I512" s="14" t="str">
        <f aca="false">IF('Avaliador 1'!G512='Avaliador 2'!G512,'Avaliador 1'!G512&amp;"","")</f>
        <v/>
      </c>
      <c r="J512" s="14" t="str">
        <f aca="false">IF('Avaliador 1'!H512='Avaliador 2'!H512,'Avaliador 1'!H512&amp;"","")</f>
        <v/>
      </c>
      <c r="K512" s="14" t="str">
        <f aca="false">IF('Avaliador 1'!I512='Avaliador 2'!I512,'Avaliador 1'!I512&amp;"","")</f>
        <v/>
      </c>
      <c r="L512" s="13"/>
      <c r="M512" s="13" t="str">
        <f aca="false">IF('Avaliador 1'!J512='Avaliador 2'!J512,'Avaliador 1'!J512&amp;"","")</f>
        <v/>
      </c>
      <c r="N512" s="11" t="str">
        <f aca="false">IF(OR('Avaliador 1'!F512="",'Avaliador 2'!F512=""),"",IF(AND('Avaliador 1'!F512='Avaliador 2'!F512,'Avaliador 1'!G512='Avaliador 2'!G512,'Avaliador 1'!H512='Avaliador 2'!H512,'Avaliador 1'!I512='Avaliador 2'!I512),"Não","Sim"))</f>
        <v/>
      </c>
      <c r="O512" s="14"/>
      <c r="P512" s="10" t="str">
        <f aca="false">IF(LEN(H512)=3,"Defeito encontrado",IF(I512="Sim","Falso alarme",IF(H512="—","Nenhum defeito apontado","")))</f>
        <v/>
      </c>
    </row>
    <row r="513" customFormat="false" ht="15" hidden="false" customHeight="false" outlineLevel="0" collapsed="false">
      <c r="A513" s="11" t="str">
        <f aca="false">Apontamentos!C513</f>
        <v/>
      </c>
      <c r="B513" s="11" t="str">
        <f aca="false">IF(Apontamentos!$C513="","",Apontamentos!A513&amp;"")</f>
        <v/>
      </c>
      <c r="C513" s="11" t="str">
        <f aca="false">IF(B513="","",IFERROR(INDEX(Execuções!$C$2:$C$97,MATCH(B513,Execuções!$A$2:$A$97,0)),"ID?"))</f>
        <v/>
      </c>
      <c r="D513" s="10" t="str">
        <f aca="false">IF(B513="","",IFERROR(INDEX(Execuções!$B$2:$B$97,MATCH(B513,Execuções!$A$2:$A$97,0)),"ID?"))</f>
        <v/>
      </c>
      <c r="E513" s="11" t="str">
        <f aca="false">IF(B513="","",Apontamentos!D513)</f>
        <v/>
      </c>
      <c r="F513" s="11" t="str">
        <f aca="false">IF(B513="","",Apontamentos!E513)</f>
        <v/>
      </c>
      <c r="G513" s="10" t="str">
        <f aca="false">IF(B513="","",Apontamentos!G513&amp;"")</f>
        <v/>
      </c>
      <c r="H513" s="14" t="str">
        <f aca="false">IF('Avaliador 1'!F513='Avaliador 2'!F513,'Avaliador 1'!F513&amp;"","")</f>
        <v/>
      </c>
      <c r="I513" s="14" t="str">
        <f aca="false">IF('Avaliador 1'!G513='Avaliador 2'!G513,'Avaliador 1'!G513&amp;"","")</f>
        <v/>
      </c>
      <c r="J513" s="14" t="str">
        <f aca="false">IF('Avaliador 1'!H513='Avaliador 2'!H513,'Avaliador 1'!H513&amp;"","")</f>
        <v/>
      </c>
      <c r="K513" s="14" t="str">
        <f aca="false">IF('Avaliador 1'!I513='Avaliador 2'!I513,'Avaliador 1'!I513&amp;"","")</f>
        <v/>
      </c>
      <c r="L513" s="13"/>
      <c r="M513" s="13" t="str">
        <f aca="false">IF('Avaliador 1'!J513='Avaliador 2'!J513,'Avaliador 1'!J513&amp;"","")</f>
        <v/>
      </c>
      <c r="N513" s="11" t="str">
        <f aca="false">IF(OR('Avaliador 1'!F513="",'Avaliador 2'!F513=""),"",IF(AND('Avaliador 1'!F513='Avaliador 2'!F513,'Avaliador 1'!G513='Avaliador 2'!G513,'Avaliador 1'!H513='Avaliador 2'!H513,'Avaliador 1'!I513='Avaliador 2'!I513),"Não","Sim"))</f>
        <v/>
      </c>
      <c r="O513" s="14"/>
      <c r="P513" s="10" t="str">
        <f aca="false">IF(LEN(H513)=3,"Defeito encontrado",IF(I513="Sim","Falso alarme",IF(H513="—","Nenhum defeito apontado","")))</f>
        <v/>
      </c>
    </row>
    <row r="514" customFormat="false" ht="15" hidden="false" customHeight="false" outlineLevel="0" collapsed="false">
      <c r="A514" s="11" t="str">
        <f aca="false">Apontamentos!C514</f>
        <v/>
      </c>
      <c r="B514" s="11" t="str">
        <f aca="false">IF(Apontamentos!$C514="","",Apontamentos!A514&amp;"")</f>
        <v/>
      </c>
      <c r="C514" s="11" t="str">
        <f aca="false">IF(B514="","",IFERROR(INDEX(Execuções!$C$2:$C$97,MATCH(B514,Execuções!$A$2:$A$97,0)),"ID?"))</f>
        <v/>
      </c>
      <c r="D514" s="10" t="str">
        <f aca="false">IF(B514="","",IFERROR(INDEX(Execuções!$B$2:$B$97,MATCH(B514,Execuções!$A$2:$A$97,0)),"ID?"))</f>
        <v/>
      </c>
      <c r="E514" s="11" t="str">
        <f aca="false">IF(B514="","",Apontamentos!D514)</f>
        <v/>
      </c>
      <c r="F514" s="11" t="str">
        <f aca="false">IF(B514="","",Apontamentos!E514)</f>
        <v/>
      </c>
      <c r="G514" s="10" t="str">
        <f aca="false">IF(B514="","",Apontamentos!G514&amp;"")</f>
        <v/>
      </c>
      <c r="H514" s="14" t="str">
        <f aca="false">IF('Avaliador 1'!F514='Avaliador 2'!F514,'Avaliador 1'!F514&amp;"","")</f>
        <v/>
      </c>
      <c r="I514" s="14" t="str">
        <f aca="false">IF('Avaliador 1'!G514='Avaliador 2'!G514,'Avaliador 1'!G514&amp;"","")</f>
        <v/>
      </c>
      <c r="J514" s="14" t="str">
        <f aca="false">IF('Avaliador 1'!H514='Avaliador 2'!H514,'Avaliador 1'!H514&amp;"","")</f>
        <v/>
      </c>
      <c r="K514" s="14" t="str">
        <f aca="false">IF('Avaliador 1'!I514='Avaliador 2'!I514,'Avaliador 1'!I514&amp;"","")</f>
        <v/>
      </c>
      <c r="L514" s="13"/>
      <c r="M514" s="13" t="str">
        <f aca="false">IF('Avaliador 1'!J514='Avaliador 2'!J514,'Avaliador 1'!J514&amp;"","")</f>
        <v/>
      </c>
      <c r="N514" s="11" t="str">
        <f aca="false">IF(OR('Avaliador 1'!F514="",'Avaliador 2'!F514=""),"",IF(AND('Avaliador 1'!F514='Avaliador 2'!F514,'Avaliador 1'!G514='Avaliador 2'!G514,'Avaliador 1'!H514='Avaliador 2'!H514,'Avaliador 1'!I514='Avaliador 2'!I514),"Não","Sim"))</f>
        <v/>
      </c>
      <c r="O514" s="14"/>
      <c r="P514" s="10" t="str">
        <f aca="false">IF(LEN(H514)=3,"Defeito encontrado",IF(I514="Sim","Falso alarme",IF(H514="—","Nenhum defeito apontado","")))</f>
        <v/>
      </c>
    </row>
    <row r="515" customFormat="false" ht="15" hidden="false" customHeight="false" outlineLevel="0" collapsed="false">
      <c r="A515" s="11" t="str">
        <f aca="false">Apontamentos!C515</f>
        <v/>
      </c>
      <c r="B515" s="11" t="str">
        <f aca="false">IF(Apontamentos!$C515="","",Apontamentos!A515&amp;"")</f>
        <v/>
      </c>
      <c r="C515" s="11" t="str">
        <f aca="false">IF(B515="","",IFERROR(INDEX(Execuções!$C$2:$C$97,MATCH(B515,Execuções!$A$2:$A$97,0)),"ID?"))</f>
        <v/>
      </c>
      <c r="D515" s="10" t="str">
        <f aca="false">IF(B515="","",IFERROR(INDEX(Execuções!$B$2:$B$97,MATCH(B515,Execuções!$A$2:$A$97,0)),"ID?"))</f>
        <v/>
      </c>
      <c r="E515" s="11" t="str">
        <f aca="false">IF(B515="","",Apontamentos!D515)</f>
        <v/>
      </c>
      <c r="F515" s="11" t="str">
        <f aca="false">IF(B515="","",Apontamentos!E515)</f>
        <v/>
      </c>
      <c r="G515" s="10" t="str">
        <f aca="false">IF(B515="","",Apontamentos!G515&amp;"")</f>
        <v/>
      </c>
      <c r="H515" s="14" t="str">
        <f aca="false">IF('Avaliador 1'!F515='Avaliador 2'!F515,'Avaliador 1'!F515&amp;"","")</f>
        <v/>
      </c>
      <c r="I515" s="14" t="str">
        <f aca="false">IF('Avaliador 1'!G515='Avaliador 2'!G515,'Avaliador 1'!G515&amp;"","")</f>
        <v/>
      </c>
      <c r="J515" s="14" t="str">
        <f aca="false">IF('Avaliador 1'!H515='Avaliador 2'!H515,'Avaliador 1'!H515&amp;"","")</f>
        <v/>
      </c>
      <c r="K515" s="14" t="str">
        <f aca="false">IF('Avaliador 1'!I515='Avaliador 2'!I515,'Avaliador 1'!I515&amp;"","")</f>
        <v/>
      </c>
      <c r="L515" s="13"/>
      <c r="M515" s="13" t="str">
        <f aca="false">IF('Avaliador 1'!J515='Avaliador 2'!J515,'Avaliador 1'!J515&amp;"","")</f>
        <v/>
      </c>
      <c r="N515" s="11" t="str">
        <f aca="false">IF(OR('Avaliador 1'!F515="",'Avaliador 2'!F515=""),"",IF(AND('Avaliador 1'!F515='Avaliador 2'!F515,'Avaliador 1'!G515='Avaliador 2'!G515,'Avaliador 1'!H515='Avaliador 2'!H515,'Avaliador 1'!I515='Avaliador 2'!I515),"Não","Sim"))</f>
        <v/>
      </c>
      <c r="O515" s="14"/>
      <c r="P515" s="10" t="str">
        <f aca="false">IF(LEN(H515)=3,"Defeito encontrado",IF(I515="Sim","Falso alarme",IF(H515="—","Nenhum defeito apontado","")))</f>
        <v/>
      </c>
    </row>
    <row r="516" customFormat="false" ht="15" hidden="false" customHeight="false" outlineLevel="0" collapsed="false">
      <c r="A516" s="11" t="str">
        <f aca="false">Apontamentos!C516</f>
        <v/>
      </c>
      <c r="B516" s="11" t="str">
        <f aca="false">IF(Apontamentos!$C516="","",Apontamentos!A516&amp;"")</f>
        <v/>
      </c>
      <c r="C516" s="11" t="str">
        <f aca="false">IF(B516="","",IFERROR(INDEX(Execuções!$C$2:$C$97,MATCH(B516,Execuções!$A$2:$A$97,0)),"ID?"))</f>
        <v/>
      </c>
      <c r="D516" s="10" t="str">
        <f aca="false">IF(B516="","",IFERROR(INDEX(Execuções!$B$2:$B$97,MATCH(B516,Execuções!$A$2:$A$97,0)),"ID?"))</f>
        <v/>
      </c>
      <c r="E516" s="11" t="str">
        <f aca="false">IF(B516="","",Apontamentos!D516)</f>
        <v/>
      </c>
      <c r="F516" s="11" t="str">
        <f aca="false">IF(B516="","",Apontamentos!E516)</f>
        <v/>
      </c>
      <c r="G516" s="10" t="str">
        <f aca="false">IF(B516="","",Apontamentos!G516&amp;"")</f>
        <v/>
      </c>
      <c r="H516" s="14" t="str">
        <f aca="false">IF('Avaliador 1'!F516='Avaliador 2'!F516,'Avaliador 1'!F516&amp;"","")</f>
        <v/>
      </c>
      <c r="I516" s="14" t="str">
        <f aca="false">IF('Avaliador 1'!G516='Avaliador 2'!G516,'Avaliador 1'!G516&amp;"","")</f>
        <v/>
      </c>
      <c r="J516" s="14" t="str">
        <f aca="false">IF('Avaliador 1'!H516='Avaliador 2'!H516,'Avaliador 1'!H516&amp;"","")</f>
        <v/>
      </c>
      <c r="K516" s="14" t="str">
        <f aca="false">IF('Avaliador 1'!I516='Avaliador 2'!I516,'Avaliador 1'!I516&amp;"","")</f>
        <v/>
      </c>
      <c r="L516" s="13"/>
      <c r="M516" s="13" t="str">
        <f aca="false">IF('Avaliador 1'!J516='Avaliador 2'!J516,'Avaliador 1'!J516&amp;"","")</f>
        <v/>
      </c>
      <c r="N516" s="11" t="str">
        <f aca="false">IF(OR('Avaliador 1'!F516="",'Avaliador 2'!F516=""),"",IF(AND('Avaliador 1'!F516='Avaliador 2'!F516,'Avaliador 1'!G516='Avaliador 2'!G516,'Avaliador 1'!H516='Avaliador 2'!H516,'Avaliador 1'!I516='Avaliador 2'!I516),"Não","Sim"))</f>
        <v/>
      </c>
      <c r="O516" s="14"/>
      <c r="P516" s="10" t="str">
        <f aca="false">IF(LEN(H516)=3,"Defeito encontrado",IF(I516="Sim","Falso alarme",IF(H516="—","Nenhum defeito apontado","")))</f>
        <v/>
      </c>
    </row>
    <row r="517" customFormat="false" ht="15" hidden="false" customHeight="false" outlineLevel="0" collapsed="false">
      <c r="A517" s="11" t="str">
        <f aca="false">Apontamentos!C517</f>
        <v/>
      </c>
      <c r="B517" s="11" t="str">
        <f aca="false">IF(Apontamentos!$C517="","",Apontamentos!A517&amp;"")</f>
        <v/>
      </c>
      <c r="C517" s="11" t="str">
        <f aca="false">IF(B517="","",IFERROR(INDEX(Execuções!$C$2:$C$97,MATCH(B517,Execuções!$A$2:$A$97,0)),"ID?"))</f>
        <v/>
      </c>
      <c r="D517" s="10" t="str">
        <f aca="false">IF(B517="","",IFERROR(INDEX(Execuções!$B$2:$B$97,MATCH(B517,Execuções!$A$2:$A$97,0)),"ID?"))</f>
        <v/>
      </c>
      <c r="E517" s="11" t="str">
        <f aca="false">IF(B517="","",Apontamentos!D517)</f>
        <v/>
      </c>
      <c r="F517" s="11" t="str">
        <f aca="false">IF(B517="","",Apontamentos!E517)</f>
        <v/>
      </c>
      <c r="G517" s="10" t="str">
        <f aca="false">IF(B517="","",Apontamentos!G517&amp;"")</f>
        <v/>
      </c>
      <c r="H517" s="14" t="str">
        <f aca="false">IF('Avaliador 1'!F517='Avaliador 2'!F517,'Avaliador 1'!F517&amp;"","")</f>
        <v/>
      </c>
      <c r="I517" s="14" t="str">
        <f aca="false">IF('Avaliador 1'!G517='Avaliador 2'!G517,'Avaliador 1'!G517&amp;"","")</f>
        <v/>
      </c>
      <c r="J517" s="14" t="str">
        <f aca="false">IF('Avaliador 1'!H517='Avaliador 2'!H517,'Avaliador 1'!H517&amp;"","")</f>
        <v/>
      </c>
      <c r="K517" s="14" t="str">
        <f aca="false">IF('Avaliador 1'!I517='Avaliador 2'!I517,'Avaliador 1'!I517&amp;"","")</f>
        <v/>
      </c>
      <c r="L517" s="13"/>
      <c r="M517" s="13" t="str">
        <f aca="false">IF('Avaliador 1'!J517='Avaliador 2'!J517,'Avaliador 1'!J517&amp;"","")</f>
        <v/>
      </c>
      <c r="N517" s="11" t="str">
        <f aca="false">IF(OR('Avaliador 1'!F517="",'Avaliador 2'!F517=""),"",IF(AND('Avaliador 1'!F517='Avaliador 2'!F517,'Avaliador 1'!G517='Avaliador 2'!G517,'Avaliador 1'!H517='Avaliador 2'!H517,'Avaliador 1'!I517='Avaliador 2'!I517),"Não","Sim"))</f>
        <v/>
      </c>
      <c r="O517" s="14"/>
      <c r="P517" s="10" t="str">
        <f aca="false">IF(LEN(H517)=3,"Defeito encontrado",IF(I517="Sim","Falso alarme",IF(H517="—","Nenhum defeito apontado","")))</f>
        <v/>
      </c>
    </row>
    <row r="518" customFormat="false" ht="15" hidden="false" customHeight="false" outlineLevel="0" collapsed="false">
      <c r="A518" s="11" t="str">
        <f aca="false">Apontamentos!C518</f>
        <v/>
      </c>
      <c r="B518" s="11" t="str">
        <f aca="false">IF(Apontamentos!$C518="","",Apontamentos!A518&amp;"")</f>
        <v/>
      </c>
      <c r="C518" s="11" t="str">
        <f aca="false">IF(B518="","",IFERROR(INDEX(Execuções!$C$2:$C$97,MATCH(B518,Execuções!$A$2:$A$97,0)),"ID?"))</f>
        <v/>
      </c>
      <c r="D518" s="10" t="str">
        <f aca="false">IF(B518="","",IFERROR(INDEX(Execuções!$B$2:$B$97,MATCH(B518,Execuções!$A$2:$A$97,0)),"ID?"))</f>
        <v/>
      </c>
      <c r="E518" s="11" t="str">
        <f aca="false">IF(B518="","",Apontamentos!D518)</f>
        <v/>
      </c>
      <c r="F518" s="11" t="str">
        <f aca="false">IF(B518="","",Apontamentos!E518)</f>
        <v/>
      </c>
      <c r="G518" s="10" t="str">
        <f aca="false">IF(B518="","",Apontamentos!G518&amp;"")</f>
        <v/>
      </c>
      <c r="H518" s="14" t="str">
        <f aca="false">IF('Avaliador 1'!F518='Avaliador 2'!F518,'Avaliador 1'!F518&amp;"","")</f>
        <v/>
      </c>
      <c r="I518" s="14" t="str">
        <f aca="false">IF('Avaliador 1'!G518='Avaliador 2'!G518,'Avaliador 1'!G518&amp;"","")</f>
        <v/>
      </c>
      <c r="J518" s="14" t="str">
        <f aca="false">IF('Avaliador 1'!H518='Avaliador 2'!H518,'Avaliador 1'!H518&amp;"","")</f>
        <v/>
      </c>
      <c r="K518" s="14" t="str">
        <f aca="false">IF('Avaliador 1'!I518='Avaliador 2'!I518,'Avaliador 1'!I518&amp;"","")</f>
        <v/>
      </c>
      <c r="L518" s="13"/>
      <c r="M518" s="13" t="str">
        <f aca="false">IF('Avaliador 1'!J518='Avaliador 2'!J518,'Avaliador 1'!J518&amp;"","")</f>
        <v/>
      </c>
      <c r="N518" s="11" t="str">
        <f aca="false">IF(OR('Avaliador 1'!F518="",'Avaliador 2'!F518=""),"",IF(AND('Avaliador 1'!F518='Avaliador 2'!F518,'Avaliador 1'!G518='Avaliador 2'!G518,'Avaliador 1'!H518='Avaliador 2'!H518,'Avaliador 1'!I518='Avaliador 2'!I518),"Não","Sim"))</f>
        <v/>
      </c>
      <c r="O518" s="14"/>
      <c r="P518" s="10" t="str">
        <f aca="false">IF(LEN(H518)=3,"Defeito encontrado",IF(I518="Sim","Falso alarme",IF(H518="—","Nenhum defeito apontado","")))</f>
        <v/>
      </c>
    </row>
    <row r="519" customFormat="false" ht="15" hidden="false" customHeight="false" outlineLevel="0" collapsed="false">
      <c r="A519" s="11" t="str">
        <f aca="false">Apontamentos!C519</f>
        <v/>
      </c>
      <c r="B519" s="11" t="str">
        <f aca="false">IF(Apontamentos!$C519="","",Apontamentos!A519&amp;"")</f>
        <v/>
      </c>
      <c r="C519" s="11" t="str">
        <f aca="false">IF(B519="","",IFERROR(INDEX(Execuções!$C$2:$C$97,MATCH(B519,Execuções!$A$2:$A$97,0)),"ID?"))</f>
        <v/>
      </c>
      <c r="D519" s="10" t="str">
        <f aca="false">IF(B519="","",IFERROR(INDEX(Execuções!$B$2:$B$97,MATCH(B519,Execuções!$A$2:$A$97,0)),"ID?"))</f>
        <v/>
      </c>
      <c r="E519" s="11" t="str">
        <f aca="false">IF(B519="","",Apontamentos!D519)</f>
        <v/>
      </c>
      <c r="F519" s="11" t="str">
        <f aca="false">IF(B519="","",Apontamentos!E519)</f>
        <v/>
      </c>
      <c r="G519" s="10" t="str">
        <f aca="false">IF(B519="","",Apontamentos!G519&amp;"")</f>
        <v/>
      </c>
      <c r="H519" s="14" t="str">
        <f aca="false">IF('Avaliador 1'!F519='Avaliador 2'!F519,'Avaliador 1'!F519&amp;"","")</f>
        <v/>
      </c>
      <c r="I519" s="14" t="str">
        <f aca="false">IF('Avaliador 1'!G519='Avaliador 2'!G519,'Avaliador 1'!G519&amp;"","")</f>
        <v/>
      </c>
      <c r="J519" s="14" t="str">
        <f aca="false">IF('Avaliador 1'!H519='Avaliador 2'!H519,'Avaliador 1'!H519&amp;"","")</f>
        <v/>
      </c>
      <c r="K519" s="14" t="str">
        <f aca="false">IF('Avaliador 1'!I519='Avaliador 2'!I519,'Avaliador 1'!I519&amp;"","")</f>
        <v/>
      </c>
      <c r="L519" s="13"/>
      <c r="M519" s="13" t="str">
        <f aca="false">IF('Avaliador 1'!J519='Avaliador 2'!J519,'Avaliador 1'!J519&amp;"","")</f>
        <v/>
      </c>
      <c r="N519" s="11" t="str">
        <f aca="false">IF(OR('Avaliador 1'!F519="",'Avaliador 2'!F519=""),"",IF(AND('Avaliador 1'!F519='Avaliador 2'!F519,'Avaliador 1'!G519='Avaliador 2'!G519,'Avaliador 1'!H519='Avaliador 2'!H519,'Avaliador 1'!I519='Avaliador 2'!I519),"Não","Sim"))</f>
        <v/>
      </c>
      <c r="O519" s="14"/>
      <c r="P519" s="10" t="str">
        <f aca="false">IF(LEN(H519)=3,"Defeito encontrado",IF(I519="Sim","Falso alarme",IF(H519="—","Nenhum defeito apontado","")))</f>
        <v/>
      </c>
    </row>
    <row r="520" customFormat="false" ht="15" hidden="false" customHeight="false" outlineLevel="0" collapsed="false">
      <c r="A520" s="11" t="str">
        <f aca="false">Apontamentos!C520</f>
        <v/>
      </c>
      <c r="B520" s="11" t="str">
        <f aca="false">IF(Apontamentos!$C520="","",Apontamentos!A520&amp;"")</f>
        <v/>
      </c>
      <c r="C520" s="11" t="str">
        <f aca="false">IF(B520="","",IFERROR(INDEX(Execuções!$C$2:$C$97,MATCH(B520,Execuções!$A$2:$A$97,0)),"ID?"))</f>
        <v/>
      </c>
      <c r="D520" s="10" t="str">
        <f aca="false">IF(B520="","",IFERROR(INDEX(Execuções!$B$2:$B$97,MATCH(B520,Execuções!$A$2:$A$97,0)),"ID?"))</f>
        <v/>
      </c>
      <c r="E520" s="11" t="str">
        <f aca="false">IF(B520="","",Apontamentos!D520)</f>
        <v/>
      </c>
      <c r="F520" s="11" t="str">
        <f aca="false">IF(B520="","",Apontamentos!E520)</f>
        <v/>
      </c>
      <c r="G520" s="10" t="str">
        <f aca="false">IF(B520="","",Apontamentos!G520&amp;"")</f>
        <v/>
      </c>
      <c r="H520" s="14" t="str">
        <f aca="false">IF('Avaliador 1'!F520='Avaliador 2'!F520,'Avaliador 1'!F520&amp;"","")</f>
        <v/>
      </c>
      <c r="I520" s="14" t="str">
        <f aca="false">IF('Avaliador 1'!G520='Avaliador 2'!G520,'Avaliador 1'!G520&amp;"","")</f>
        <v/>
      </c>
      <c r="J520" s="14" t="str">
        <f aca="false">IF('Avaliador 1'!H520='Avaliador 2'!H520,'Avaliador 1'!H520&amp;"","")</f>
        <v/>
      </c>
      <c r="K520" s="14" t="str">
        <f aca="false">IF('Avaliador 1'!I520='Avaliador 2'!I520,'Avaliador 1'!I520&amp;"","")</f>
        <v/>
      </c>
      <c r="L520" s="13"/>
      <c r="M520" s="13" t="str">
        <f aca="false">IF('Avaliador 1'!J520='Avaliador 2'!J520,'Avaliador 1'!J520&amp;"","")</f>
        <v/>
      </c>
      <c r="N520" s="11" t="str">
        <f aca="false">IF(OR('Avaliador 1'!F520="",'Avaliador 2'!F520=""),"",IF(AND('Avaliador 1'!F520='Avaliador 2'!F520,'Avaliador 1'!G520='Avaliador 2'!G520,'Avaliador 1'!H520='Avaliador 2'!H520,'Avaliador 1'!I520='Avaliador 2'!I520),"Não","Sim"))</f>
        <v/>
      </c>
      <c r="O520" s="14"/>
      <c r="P520" s="10" t="str">
        <f aca="false">IF(LEN(H520)=3,"Defeito encontrado",IF(I520="Sim","Falso alarme",IF(H520="—","Nenhum defeito apontado","")))</f>
        <v/>
      </c>
    </row>
    <row r="521" customFormat="false" ht="15" hidden="false" customHeight="false" outlineLevel="0" collapsed="false">
      <c r="A521" s="11" t="str">
        <f aca="false">Apontamentos!C521</f>
        <v/>
      </c>
      <c r="B521" s="11" t="str">
        <f aca="false">IF(Apontamentos!$C521="","",Apontamentos!A521&amp;"")</f>
        <v/>
      </c>
      <c r="C521" s="11" t="str">
        <f aca="false">IF(B521="","",IFERROR(INDEX(Execuções!$C$2:$C$97,MATCH(B521,Execuções!$A$2:$A$97,0)),"ID?"))</f>
        <v/>
      </c>
      <c r="D521" s="10" t="str">
        <f aca="false">IF(B521="","",IFERROR(INDEX(Execuções!$B$2:$B$97,MATCH(B521,Execuções!$A$2:$A$97,0)),"ID?"))</f>
        <v/>
      </c>
      <c r="E521" s="11" t="str">
        <f aca="false">IF(B521="","",Apontamentos!D521)</f>
        <v/>
      </c>
      <c r="F521" s="11" t="str">
        <f aca="false">IF(B521="","",Apontamentos!E521)</f>
        <v/>
      </c>
      <c r="G521" s="10" t="str">
        <f aca="false">IF(B521="","",Apontamentos!G521&amp;"")</f>
        <v/>
      </c>
      <c r="H521" s="14" t="str">
        <f aca="false">IF('Avaliador 1'!F521='Avaliador 2'!F521,'Avaliador 1'!F521&amp;"","")</f>
        <v/>
      </c>
      <c r="I521" s="14" t="str">
        <f aca="false">IF('Avaliador 1'!G521='Avaliador 2'!G521,'Avaliador 1'!G521&amp;"","")</f>
        <v/>
      </c>
      <c r="J521" s="14" t="str">
        <f aca="false">IF('Avaliador 1'!H521='Avaliador 2'!H521,'Avaliador 1'!H521&amp;"","")</f>
        <v/>
      </c>
      <c r="K521" s="14" t="str">
        <f aca="false">IF('Avaliador 1'!I521='Avaliador 2'!I521,'Avaliador 1'!I521&amp;"","")</f>
        <v/>
      </c>
      <c r="L521" s="13"/>
      <c r="M521" s="13" t="str">
        <f aca="false">IF('Avaliador 1'!J521='Avaliador 2'!J521,'Avaliador 1'!J521&amp;"","")</f>
        <v/>
      </c>
      <c r="N521" s="11" t="str">
        <f aca="false">IF(OR('Avaliador 1'!F521="",'Avaliador 2'!F521=""),"",IF(AND('Avaliador 1'!F521='Avaliador 2'!F521,'Avaliador 1'!G521='Avaliador 2'!G521,'Avaliador 1'!H521='Avaliador 2'!H521,'Avaliador 1'!I521='Avaliador 2'!I521),"Não","Sim"))</f>
        <v/>
      </c>
      <c r="O521" s="14"/>
      <c r="P521" s="10" t="str">
        <f aca="false">IF(LEN(H521)=3,"Defeito encontrado",IF(I521="Sim","Falso alarme",IF(H521="—","Nenhum defeito apontado","")))</f>
        <v/>
      </c>
    </row>
    <row r="522" customFormat="false" ht="15" hidden="false" customHeight="false" outlineLevel="0" collapsed="false">
      <c r="A522" s="11" t="str">
        <f aca="false">Apontamentos!C522</f>
        <v/>
      </c>
      <c r="B522" s="11" t="str">
        <f aca="false">IF(Apontamentos!$C522="","",Apontamentos!A522&amp;"")</f>
        <v/>
      </c>
      <c r="C522" s="11" t="str">
        <f aca="false">IF(B522="","",IFERROR(INDEX(Execuções!$C$2:$C$97,MATCH(B522,Execuções!$A$2:$A$97,0)),"ID?"))</f>
        <v/>
      </c>
      <c r="D522" s="10" t="str">
        <f aca="false">IF(B522="","",IFERROR(INDEX(Execuções!$B$2:$B$97,MATCH(B522,Execuções!$A$2:$A$97,0)),"ID?"))</f>
        <v/>
      </c>
      <c r="E522" s="11" t="str">
        <f aca="false">IF(B522="","",Apontamentos!D522)</f>
        <v/>
      </c>
      <c r="F522" s="11" t="str">
        <f aca="false">IF(B522="","",Apontamentos!E522)</f>
        <v/>
      </c>
      <c r="G522" s="10" t="str">
        <f aca="false">IF(B522="","",Apontamentos!G522&amp;"")</f>
        <v/>
      </c>
      <c r="H522" s="14" t="str">
        <f aca="false">IF('Avaliador 1'!F522='Avaliador 2'!F522,'Avaliador 1'!F522&amp;"","")</f>
        <v/>
      </c>
      <c r="I522" s="14" t="str">
        <f aca="false">IF('Avaliador 1'!G522='Avaliador 2'!G522,'Avaliador 1'!G522&amp;"","")</f>
        <v/>
      </c>
      <c r="J522" s="14" t="str">
        <f aca="false">IF('Avaliador 1'!H522='Avaliador 2'!H522,'Avaliador 1'!H522&amp;"","")</f>
        <v/>
      </c>
      <c r="K522" s="14" t="str">
        <f aca="false">IF('Avaliador 1'!I522='Avaliador 2'!I522,'Avaliador 1'!I522&amp;"","")</f>
        <v/>
      </c>
      <c r="L522" s="13"/>
      <c r="M522" s="13" t="str">
        <f aca="false">IF('Avaliador 1'!J522='Avaliador 2'!J522,'Avaliador 1'!J522&amp;"","")</f>
        <v/>
      </c>
      <c r="N522" s="11" t="str">
        <f aca="false">IF(OR('Avaliador 1'!F522="",'Avaliador 2'!F522=""),"",IF(AND('Avaliador 1'!F522='Avaliador 2'!F522,'Avaliador 1'!G522='Avaliador 2'!G522,'Avaliador 1'!H522='Avaliador 2'!H522,'Avaliador 1'!I522='Avaliador 2'!I522),"Não","Sim"))</f>
        <v/>
      </c>
      <c r="O522" s="14"/>
      <c r="P522" s="10" t="str">
        <f aca="false">IF(LEN(H522)=3,"Defeito encontrado",IF(I522="Sim","Falso alarme",IF(H522="—","Nenhum defeito apontado","")))</f>
        <v/>
      </c>
    </row>
    <row r="523" customFormat="false" ht="15" hidden="false" customHeight="false" outlineLevel="0" collapsed="false">
      <c r="A523" s="11" t="str">
        <f aca="false">Apontamentos!C523</f>
        <v/>
      </c>
      <c r="B523" s="11" t="str">
        <f aca="false">IF(Apontamentos!$C523="","",Apontamentos!A523&amp;"")</f>
        <v/>
      </c>
      <c r="C523" s="11" t="str">
        <f aca="false">IF(B523="","",IFERROR(INDEX(Execuções!$C$2:$C$97,MATCH(B523,Execuções!$A$2:$A$97,0)),"ID?"))</f>
        <v/>
      </c>
      <c r="D523" s="10" t="str">
        <f aca="false">IF(B523="","",IFERROR(INDEX(Execuções!$B$2:$B$97,MATCH(B523,Execuções!$A$2:$A$97,0)),"ID?"))</f>
        <v/>
      </c>
      <c r="E523" s="11" t="str">
        <f aca="false">IF(B523="","",Apontamentos!D523)</f>
        <v/>
      </c>
      <c r="F523" s="11" t="str">
        <f aca="false">IF(B523="","",Apontamentos!E523)</f>
        <v/>
      </c>
      <c r="G523" s="10" t="str">
        <f aca="false">IF(B523="","",Apontamentos!G523&amp;"")</f>
        <v/>
      </c>
      <c r="H523" s="14" t="str">
        <f aca="false">IF('Avaliador 1'!F523='Avaliador 2'!F523,'Avaliador 1'!F523&amp;"","")</f>
        <v/>
      </c>
      <c r="I523" s="14" t="str">
        <f aca="false">IF('Avaliador 1'!G523='Avaliador 2'!G523,'Avaliador 1'!G523&amp;"","")</f>
        <v/>
      </c>
      <c r="J523" s="14" t="str">
        <f aca="false">IF('Avaliador 1'!H523='Avaliador 2'!H523,'Avaliador 1'!H523&amp;"","")</f>
        <v/>
      </c>
      <c r="K523" s="14" t="str">
        <f aca="false">IF('Avaliador 1'!I523='Avaliador 2'!I523,'Avaliador 1'!I523&amp;"","")</f>
        <v/>
      </c>
      <c r="L523" s="13"/>
      <c r="M523" s="13" t="str">
        <f aca="false">IF('Avaliador 1'!J523='Avaliador 2'!J523,'Avaliador 1'!J523&amp;"","")</f>
        <v/>
      </c>
      <c r="N523" s="11" t="str">
        <f aca="false">IF(OR('Avaliador 1'!F523="",'Avaliador 2'!F523=""),"",IF(AND('Avaliador 1'!F523='Avaliador 2'!F523,'Avaliador 1'!G523='Avaliador 2'!G523,'Avaliador 1'!H523='Avaliador 2'!H523,'Avaliador 1'!I523='Avaliador 2'!I523),"Não","Sim"))</f>
        <v/>
      </c>
      <c r="O523" s="14"/>
      <c r="P523" s="10" t="str">
        <f aca="false">IF(LEN(H523)=3,"Defeito encontrado",IF(I523="Sim","Falso alarme",IF(H523="—","Nenhum defeito apontado","")))</f>
        <v/>
      </c>
    </row>
    <row r="524" customFormat="false" ht="15" hidden="false" customHeight="false" outlineLevel="0" collapsed="false">
      <c r="A524" s="11" t="str">
        <f aca="false">Apontamentos!C524</f>
        <v/>
      </c>
      <c r="B524" s="11" t="str">
        <f aca="false">IF(Apontamentos!$C524="","",Apontamentos!A524&amp;"")</f>
        <v/>
      </c>
      <c r="C524" s="11" t="str">
        <f aca="false">IF(B524="","",IFERROR(INDEX(Execuções!$C$2:$C$97,MATCH(B524,Execuções!$A$2:$A$97,0)),"ID?"))</f>
        <v/>
      </c>
      <c r="D524" s="10" t="str">
        <f aca="false">IF(B524="","",IFERROR(INDEX(Execuções!$B$2:$B$97,MATCH(B524,Execuções!$A$2:$A$97,0)),"ID?"))</f>
        <v/>
      </c>
      <c r="E524" s="11" t="str">
        <f aca="false">IF(B524="","",Apontamentos!D524)</f>
        <v/>
      </c>
      <c r="F524" s="11" t="str">
        <f aca="false">IF(B524="","",Apontamentos!E524)</f>
        <v/>
      </c>
      <c r="G524" s="10" t="str">
        <f aca="false">IF(B524="","",Apontamentos!G524&amp;"")</f>
        <v/>
      </c>
      <c r="H524" s="14" t="str">
        <f aca="false">IF('Avaliador 1'!F524='Avaliador 2'!F524,'Avaliador 1'!F524&amp;"","")</f>
        <v/>
      </c>
      <c r="I524" s="14" t="str">
        <f aca="false">IF('Avaliador 1'!G524='Avaliador 2'!G524,'Avaliador 1'!G524&amp;"","")</f>
        <v/>
      </c>
      <c r="J524" s="14" t="str">
        <f aca="false">IF('Avaliador 1'!H524='Avaliador 2'!H524,'Avaliador 1'!H524&amp;"","")</f>
        <v/>
      </c>
      <c r="K524" s="14" t="str">
        <f aca="false">IF('Avaliador 1'!I524='Avaliador 2'!I524,'Avaliador 1'!I524&amp;"","")</f>
        <v/>
      </c>
      <c r="L524" s="13"/>
      <c r="M524" s="13" t="str">
        <f aca="false">IF('Avaliador 1'!J524='Avaliador 2'!J524,'Avaliador 1'!J524&amp;"","")</f>
        <v/>
      </c>
      <c r="N524" s="11" t="str">
        <f aca="false">IF(OR('Avaliador 1'!F524="",'Avaliador 2'!F524=""),"",IF(AND('Avaliador 1'!F524='Avaliador 2'!F524,'Avaliador 1'!G524='Avaliador 2'!G524,'Avaliador 1'!H524='Avaliador 2'!H524,'Avaliador 1'!I524='Avaliador 2'!I524),"Não","Sim"))</f>
        <v/>
      </c>
      <c r="O524" s="14"/>
      <c r="P524" s="10" t="str">
        <f aca="false">IF(LEN(H524)=3,"Defeito encontrado",IF(I524="Sim","Falso alarme",IF(H524="—","Nenhum defeito apontado","")))</f>
        <v/>
      </c>
    </row>
    <row r="525" customFormat="false" ht="15" hidden="false" customHeight="false" outlineLevel="0" collapsed="false">
      <c r="A525" s="11" t="str">
        <f aca="false">Apontamentos!C525</f>
        <v/>
      </c>
      <c r="B525" s="11" t="str">
        <f aca="false">IF(Apontamentos!$C525="","",Apontamentos!A525&amp;"")</f>
        <v/>
      </c>
      <c r="C525" s="11" t="str">
        <f aca="false">IF(B525="","",IFERROR(INDEX(Execuções!$C$2:$C$97,MATCH(B525,Execuções!$A$2:$A$97,0)),"ID?"))</f>
        <v/>
      </c>
      <c r="D525" s="10" t="str">
        <f aca="false">IF(B525="","",IFERROR(INDEX(Execuções!$B$2:$B$97,MATCH(B525,Execuções!$A$2:$A$97,0)),"ID?"))</f>
        <v/>
      </c>
      <c r="E525" s="11" t="str">
        <f aca="false">IF(B525="","",Apontamentos!D525)</f>
        <v/>
      </c>
      <c r="F525" s="11" t="str">
        <f aca="false">IF(B525="","",Apontamentos!E525)</f>
        <v/>
      </c>
      <c r="G525" s="10" t="str">
        <f aca="false">IF(B525="","",Apontamentos!G525&amp;"")</f>
        <v/>
      </c>
      <c r="H525" s="14" t="str">
        <f aca="false">IF('Avaliador 1'!F525='Avaliador 2'!F525,'Avaliador 1'!F525&amp;"","")</f>
        <v/>
      </c>
      <c r="I525" s="14" t="str">
        <f aca="false">IF('Avaliador 1'!G525='Avaliador 2'!G525,'Avaliador 1'!G525&amp;"","")</f>
        <v/>
      </c>
      <c r="J525" s="14" t="str">
        <f aca="false">IF('Avaliador 1'!H525='Avaliador 2'!H525,'Avaliador 1'!H525&amp;"","")</f>
        <v/>
      </c>
      <c r="K525" s="14" t="str">
        <f aca="false">IF('Avaliador 1'!I525='Avaliador 2'!I525,'Avaliador 1'!I525&amp;"","")</f>
        <v/>
      </c>
      <c r="L525" s="13"/>
      <c r="M525" s="13" t="str">
        <f aca="false">IF('Avaliador 1'!J525='Avaliador 2'!J525,'Avaliador 1'!J525&amp;"","")</f>
        <v/>
      </c>
      <c r="N525" s="11" t="str">
        <f aca="false">IF(OR('Avaliador 1'!F525="",'Avaliador 2'!F525=""),"",IF(AND('Avaliador 1'!F525='Avaliador 2'!F525,'Avaliador 1'!G525='Avaliador 2'!G525,'Avaliador 1'!H525='Avaliador 2'!H525,'Avaliador 1'!I525='Avaliador 2'!I525),"Não","Sim"))</f>
        <v/>
      </c>
      <c r="O525" s="14"/>
      <c r="P525" s="10" t="str">
        <f aca="false">IF(LEN(H525)=3,"Defeito encontrado",IF(I525="Sim","Falso alarme",IF(H525="—","Nenhum defeito apontado","")))</f>
        <v/>
      </c>
    </row>
    <row r="526" customFormat="false" ht="15" hidden="false" customHeight="false" outlineLevel="0" collapsed="false">
      <c r="A526" s="11" t="str">
        <f aca="false">Apontamentos!C526</f>
        <v/>
      </c>
      <c r="B526" s="11" t="str">
        <f aca="false">IF(Apontamentos!$C526="","",Apontamentos!A526&amp;"")</f>
        <v/>
      </c>
      <c r="C526" s="11" t="str">
        <f aca="false">IF(B526="","",IFERROR(INDEX(Execuções!$C$2:$C$97,MATCH(B526,Execuções!$A$2:$A$97,0)),"ID?"))</f>
        <v/>
      </c>
      <c r="D526" s="10" t="str">
        <f aca="false">IF(B526="","",IFERROR(INDEX(Execuções!$B$2:$B$97,MATCH(B526,Execuções!$A$2:$A$97,0)),"ID?"))</f>
        <v/>
      </c>
      <c r="E526" s="11" t="str">
        <f aca="false">IF(B526="","",Apontamentos!D526)</f>
        <v/>
      </c>
      <c r="F526" s="11" t="str">
        <f aca="false">IF(B526="","",Apontamentos!E526)</f>
        <v/>
      </c>
      <c r="G526" s="10" t="str">
        <f aca="false">IF(B526="","",Apontamentos!G526&amp;"")</f>
        <v/>
      </c>
      <c r="H526" s="14" t="str">
        <f aca="false">IF('Avaliador 1'!F526='Avaliador 2'!F526,'Avaliador 1'!F526&amp;"","")</f>
        <v/>
      </c>
      <c r="I526" s="14" t="str">
        <f aca="false">IF('Avaliador 1'!G526='Avaliador 2'!G526,'Avaliador 1'!G526&amp;"","")</f>
        <v/>
      </c>
      <c r="J526" s="14" t="str">
        <f aca="false">IF('Avaliador 1'!H526='Avaliador 2'!H526,'Avaliador 1'!H526&amp;"","")</f>
        <v/>
      </c>
      <c r="K526" s="14" t="str">
        <f aca="false">IF('Avaliador 1'!I526='Avaliador 2'!I526,'Avaliador 1'!I526&amp;"","")</f>
        <v/>
      </c>
      <c r="L526" s="13"/>
      <c r="M526" s="13" t="str">
        <f aca="false">IF('Avaliador 1'!J526='Avaliador 2'!J526,'Avaliador 1'!J526&amp;"","")</f>
        <v/>
      </c>
      <c r="N526" s="11" t="str">
        <f aca="false">IF(OR('Avaliador 1'!F526="",'Avaliador 2'!F526=""),"",IF(AND('Avaliador 1'!F526='Avaliador 2'!F526,'Avaliador 1'!G526='Avaliador 2'!G526,'Avaliador 1'!H526='Avaliador 2'!H526,'Avaliador 1'!I526='Avaliador 2'!I526),"Não","Sim"))</f>
        <v/>
      </c>
      <c r="O526" s="14"/>
      <c r="P526" s="10" t="str">
        <f aca="false">IF(LEN(H526)=3,"Defeito encontrado",IF(I526="Sim","Falso alarme",IF(H526="—","Nenhum defeito apontado","")))</f>
        <v/>
      </c>
    </row>
    <row r="527" customFormat="false" ht="15" hidden="false" customHeight="false" outlineLevel="0" collapsed="false">
      <c r="A527" s="11" t="str">
        <f aca="false">Apontamentos!C527</f>
        <v/>
      </c>
      <c r="B527" s="11" t="str">
        <f aca="false">IF(Apontamentos!$C527="","",Apontamentos!A527&amp;"")</f>
        <v/>
      </c>
      <c r="C527" s="11" t="str">
        <f aca="false">IF(B527="","",IFERROR(INDEX(Execuções!$C$2:$C$97,MATCH(B527,Execuções!$A$2:$A$97,0)),"ID?"))</f>
        <v/>
      </c>
      <c r="D527" s="10" t="str">
        <f aca="false">IF(B527="","",IFERROR(INDEX(Execuções!$B$2:$B$97,MATCH(B527,Execuções!$A$2:$A$97,0)),"ID?"))</f>
        <v/>
      </c>
      <c r="E527" s="11" t="str">
        <f aca="false">IF(B527="","",Apontamentos!D527)</f>
        <v/>
      </c>
      <c r="F527" s="11" t="str">
        <f aca="false">IF(B527="","",Apontamentos!E527)</f>
        <v/>
      </c>
      <c r="G527" s="10" t="str">
        <f aca="false">IF(B527="","",Apontamentos!G527&amp;"")</f>
        <v/>
      </c>
      <c r="H527" s="14" t="str">
        <f aca="false">IF('Avaliador 1'!F527='Avaliador 2'!F527,'Avaliador 1'!F527&amp;"","")</f>
        <v/>
      </c>
      <c r="I527" s="14" t="str">
        <f aca="false">IF('Avaliador 1'!G527='Avaliador 2'!G527,'Avaliador 1'!G527&amp;"","")</f>
        <v/>
      </c>
      <c r="J527" s="14" t="str">
        <f aca="false">IF('Avaliador 1'!H527='Avaliador 2'!H527,'Avaliador 1'!H527&amp;"","")</f>
        <v/>
      </c>
      <c r="K527" s="14" t="str">
        <f aca="false">IF('Avaliador 1'!I527='Avaliador 2'!I527,'Avaliador 1'!I527&amp;"","")</f>
        <v/>
      </c>
      <c r="L527" s="13"/>
      <c r="M527" s="13" t="str">
        <f aca="false">IF('Avaliador 1'!J527='Avaliador 2'!J527,'Avaliador 1'!J527&amp;"","")</f>
        <v/>
      </c>
      <c r="N527" s="11" t="str">
        <f aca="false">IF(OR('Avaliador 1'!F527="",'Avaliador 2'!F527=""),"",IF(AND('Avaliador 1'!F527='Avaliador 2'!F527,'Avaliador 1'!G527='Avaliador 2'!G527,'Avaliador 1'!H527='Avaliador 2'!H527,'Avaliador 1'!I527='Avaliador 2'!I527),"Não","Sim"))</f>
        <v/>
      </c>
      <c r="O527" s="14"/>
      <c r="P527" s="10" t="str">
        <f aca="false">IF(LEN(H527)=3,"Defeito encontrado",IF(I527="Sim","Falso alarme",IF(H527="—","Nenhum defeito apontado","")))</f>
        <v/>
      </c>
    </row>
    <row r="528" customFormat="false" ht="15" hidden="false" customHeight="false" outlineLevel="0" collapsed="false">
      <c r="A528" s="11" t="str">
        <f aca="false">Apontamentos!C528</f>
        <v/>
      </c>
      <c r="B528" s="11" t="str">
        <f aca="false">IF(Apontamentos!$C528="","",Apontamentos!A528&amp;"")</f>
        <v/>
      </c>
      <c r="C528" s="11" t="str">
        <f aca="false">IF(B528="","",IFERROR(INDEX(Execuções!$C$2:$C$97,MATCH(B528,Execuções!$A$2:$A$97,0)),"ID?"))</f>
        <v/>
      </c>
      <c r="D528" s="10" t="str">
        <f aca="false">IF(B528="","",IFERROR(INDEX(Execuções!$B$2:$B$97,MATCH(B528,Execuções!$A$2:$A$97,0)),"ID?"))</f>
        <v/>
      </c>
      <c r="E528" s="11" t="str">
        <f aca="false">IF(B528="","",Apontamentos!D528)</f>
        <v/>
      </c>
      <c r="F528" s="11" t="str">
        <f aca="false">IF(B528="","",Apontamentos!E528)</f>
        <v/>
      </c>
      <c r="G528" s="10" t="str">
        <f aca="false">IF(B528="","",Apontamentos!G528&amp;"")</f>
        <v/>
      </c>
      <c r="H528" s="14" t="str">
        <f aca="false">IF('Avaliador 1'!F528='Avaliador 2'!F528,'Avaliador 1'!F528&amp;"","")</f>
        <v/>
      </c>
      <c r="I528" s="14" t="str">
        <f aca="false">IF('Avaliador 1'!G528='Avaliador 2'!G528,'Avaliador 1'!G528&amp;"","")</f>
        <v/>
      </c>
      <c r="J528" s="14" t="str">
        <f aca="false">IF('Avaliador 1'!H528='Avaliador 2'!H528,'Avaliador 1'!H528&amp;"","")</f>
        <v/>
      </c>
      <c r="K528" s="14" t="str">
        <f aca="false">IF('Avaliador 1'!I528='Avaliador 2'!I528,'Avaliador 1'!I528&amp;"","")</f>
        <v/>
      </c>
      <c r="L528" s="13"/>
      <c r="M528" s="13" t="str">
        <f aca="false">IF('Avaliador 1'!J528='Avaliador 2'!J528,'Avaliador 1'!J528&amp;"","")</f>
        <v/>
      </c>
      <c r="N528" s="11" t="str">
        <f aca="false">IF(OR('Avaliador 1'!F528="",'Avaliador 2'!F528=""),"",IF(AND('Avaliador 1'!F528='Avaliador 2'!F528,'Avaliador 1'!G528='Avaliador 2'!G528,'Avaliador 1'!H528='Avaliador 2'!H528,'Avaliador 1'!I528='Avaliador 2'!I528),"Não","Sim"))</f>
        <v/>
      </c>
      <c r="O528" s="14"/>
      <c r="P528" s="10" t="str">
        <f aca="false">IF(LEN(H528)=3,"Defeito encontrado",IF(I528="Sim","Falso alarme",IF(H528="—","Nenhum defeito apontado","")))</f>
        <v/>
      </c>
    </row>
    <row r="529" customFormat="false" ht="15" hidden="false" customHeight="false" outlineLevel="0" collapsed="false">
      <c r="A529" s="11" t="str">
        <f aca="false">Apontamentos!C529</f>
        <v/>
      </c>
      <c r="B529" s="11" t="str">
        <f aca="false">IF(Apontamentos!$C529="","",Apontamentos!A529&amp;"")</f>
        <v/>
      </c>
      <c r="C529" s="11" t="str">
        <f aca="false">IF(B529="","",IFERROR(INDEX(Execuções!$C$2:$C$97,MATCH(B529,Execuções!$A$2:$A$97,0)),"ID?"))</f>
        <v/>
      </c>
      <c r="D529" s="10" t="str">
        <f aca="false">IF(B529="","",IFERROR(INDEX(Execuções!$B$2:$B$97,MATCH(B529,Execuções!$A$2:$A$97,0)),"ID?"))</f>
        <v/>
      </c>
      <c r="E529" s="11" t="str">
        <f aca="false">IF(B529="","",Apontamentos!D529)</f>
        <v/>
      </c>
      <c r="F529" s="11" t="str">
        <f aca="false">IF(B529="","",Apontamentos!E529)</f>
        <v/>
      </c>
      <c r="G529" s="10" t="str">
        <f aca="false">IF(B529="","",Apontamentos!G529&amp;"")</f>
        <v/>
      </c>
      <c r="H529" s="14" t="str">
        <f aca="false">IF('Avaliador 1'!F529='Avaliador 2'!F529,'Avaliador 1'!F529&amp;"","")</f>
        <v/>
      </c>
      <c r="I529" s="14" t="str">
        <f aca="false">IF('Avaliador 1'!G529='Avaliador 2'!G529,'Avaliador 1'!G529&amp;"","")</f>
        <v/>
      </c>
      <c r="J529" s="14" t="str">
        <f aca="false">IF('Avaliador 1'!H529='Avaliador 2'!H529,'Avaliador 1'!H529&amp;"","")</f>
        <v/>
      </c>
      <c r="K529" s="14" t="str">
        <f aca="false">IF('Avaliador 1'!I529='Avaliador 2'!I529,'Avaliador 1'!I529&amp;"","")</f>
        <v/>
      </c>
      <c r="L529" s="13"/>
      <c r="M529" s="13" t="str">
        <f aca="false">IF('Avaliador 1'!J529='Avaliador 2'!J529,'Avaliador 1'!J529&amp;"","")</f>
        <v/>
      </c>
      <c r="N529" s="11" t="str">
        <f aca="false">IF(OR('Avaliador 1'!F529="",'Avaliador 2'!F529=""),"",IF(AND('Avaliador 1'!F529='Avaliador 2'!F529,'Avaliador 1'!G529='Avaliador 2'!G529,'Avaliador 1'!H529='Avaliador 2'!H529,'Avaliador 1'!I529='Avaliador 2'!I529),"Não","Sim"))</f>
        <v/>
      </c>
      <c r="O529" s="14"/>
      <c r="P529" s="10" t="str">
        <f aca="false">IF(LEN(H529)=3,"Defeito encontrado",IF(I529="Sim","Falso alarme",IF(H529="—","Nenhum defeito apontado","")))</f>
        <v/>
      </c>
    </row>
    <row r="530" customFormat="false" ht="15" hidden="false" customHeight="false" outlineLevel="0" collapsed="false">
      <c r="A530" s="11" t="str">
        <f aca="false">Apontamentos!C530</f>
        <v/>
      </c>
      <c r="B530" s="11" t="str">
        <f aca="false">IF(Apontamentos!$C530="","",Apontamentos!A530&amp;"")</f>
        <v/>
      </c>
      <c r="C530" s="11" t="str">
        <f aca="false">IF(B530="","",IFERROR(INDEX(Execuções!$C$2:$C$97,MATCH(B530,Execuções!$A$2:$A$97,0)),"ID?"))</f>
        <v/>
      </c>
      <c r="D530" s="10" t="str">
        <f aca="false">IF(B530="","",IFERROR(INDEX(Execuções!$B$2:$B$97,MATCH(B530,Execuções!$A$2:$A$97,0)),"ID?"))</f>
        <v/>
      </c>
      <c r="E530" s="11" t="str">
        <f aca="false">IF(B530="","",Apontamentos!D530)</f>
        <v/>
      </c>
      <c r="F530" s="11" t="str">
        <f aca="false">IF(B530="","",Apontamentos!E530)</f>
        <v/>
      </c>
      <c r="G530" s="10" t="str">
        <f aca="false">IF(B530="","",Apontamentos!G530&amp;"")</f>
        <v/>
      </c>
      <c r="H530" s="14" t="str">
        <f aca="false">IF('Avaliador 1'!F530='Avaliador 2'!F530,'Avaliador 1'!F530&amp;"","")</f>
        <v/>
      </c>
      <c r="I530" s="14" t="str">
        <f aca="false">IF('Avaliador 1'!G530='Avaliador 2'!G530,'Avaliador 1'!G530&amp;"","")</f>
        <v/>
      </c>
      <c r="J530" s="14" t="str">
        <f aca="false">IF('Avaliador 1'!H530='Avaliador 2'!H530,'Avaliador 1'!H530&amp;"","")</f>
        <v/>
      </c>
      <c r="K530" s="14" t="str">
        <f aca="false">IF('Avaliador 1'!I530='Avaliador 2'!I530,'Avaliador 1'!I530&amp;"","")</f>
        <v/>
      </c>
      <c r="L530" s="13"/>
      <c r="M530" s="13" t="str">
        <f aca="false">IF('Avaliador 1'!J530='Avaliador 2'!J530,'Avaliador 1'!J530&amp;"","")</f>
        <v/>
      </c>
      <c r="N530" s="11" t="str">
        <f aca="false">IF(OR('Avaliador 1'!F530="",'Avaliador 2'!F530=""),"",IF(AND('Avaliador 1'!F530='Avaliador 2'!F530,'Avaliador 1'!G530='Avaliador 2'!G530,'Avaliador 1'!H530='Avaliador 2'!H530,'Avaliador 1'!I530='Avaliador 2'!I530),"Não","Sim"))</f>
        <v/>
      </c>
      <c r="O530" s="14"/>
      <c r="P530" s="10" t="str">
        <f aca="false">IF(LEN(H530)=3,"Defeito encontrado",IF(I530="Sim","Falso alarme",IF(H530="—","Nenhum defeito apontado","")))</f>
        <v/>
      </c>
    </row>
    <row r="531" customFormat="false" ht="15" hidden="false" customHeight="false" outlineLevel="0" collapsed="false">
      <c r="A531" s="11" t="str">
        <f aca="false">Apontamentos!C531</f>
        <v/>
      </c>
      <c r="B531" s="11" t="str">
        <f aca="false">IF(Apontamentos!$C531="","",Apontamentos!A531&amp;"")</f>
        <v/>
      </c>
      <c r="C531" s="11" t="str">
        <f aca="false">IF(B531="","",IFERROR(INDEX(Execuções!$C$2:$C$97,MATCH(B531,Execuções!$A$2:$A$97,0)),"ID?"))</f>
        <v/>
      </c>
      <c r="D531" s="10" t="str">
        <f aca="false">IF(B531="","",IFERROR(INDEX(Execuções!$B$2:$B$97,MATCH(B531,Execuções!$A$2:$A$97,0)),"ID?"))</f>
        <v/>
      </c>
      <c r="E531" s="11" t="str">
        <f aca="false">IF(B531="","",Apontamentos!D531)</f>
        <v/>
      </c>
      <c r="F531" s="11" t="str">
        <f aca="false">IF(B531="","",Apontamentos!E531)</f>
        <v/>
      </c>
      <c r="G531" s="10" t="str">
        <f aca="false">IF(B531="","",Apontamentos!G531&amp;"")</f>
        <v/>
      </c>
      <c r="H531" s="14" t="str">
        <f aca="false">IF('Avaliador 1'!F531='Avaliador 2'!F531,'Avaliador 1'!F531&amp;"","")</f>
        <v/>
      </c>
      <c r="I531" s="14" t="str">
        <f aca="false">IF('Avaliador 1'!G531='Avaliador 2'!G531,'Avaliador 1'!G531&amp;"","")</f>
        <v/>
      </c>
      <c r="J531" s="14" t="str">
        <f aca="false">IF('Avaliador 1'!H531='Avaliador 2'!H531,'Avaliador 1'!H531&amp;"","")</f>
        <v/>
      </c>
      <c r="K531" s="14" t="str">
        <f aca="false">IF('Avaliador 1'!I531='Avaliador 2'!I531,'Avaliador 1'!I531&amp;"","")</f>
        <v/>
      </c>
      <c r="L531" s="13"/>
      <c r="M531" s="13" t="str">
        <f aca="false">IF('Avaliador 1'!J531='Avaliador 2'!J531,'Avaliador 1'!J531&amp;"","")</f>
        <v/>
      </c>
      <c r="N531" s="11" t="str">
        <f aca="false">IF(OR('Avaliador 1'!F531="",'Avaliador 2'!F531=""),"",IF(AND('Avaliador 1'!F531='Avaliador 2'!F531,'Avaliador 1'!G531='Avaliador 2'!G531,'Avaliador 1'!H531='Avaliador 2'!H531,'Avaliador 1'!I531='Avaliador 2'!I531),"Não","Sim"))</f>
        <v/>
      </c>
      <c r="O531" s="14"/>
      <c r="P531" s="10" t="str">
        <f aca="false">IF(LEN(H531)=3,"Defeito encontrado",IF(I531="Sim","Falso alarme",IF(H531="—","Nenhum defeito apontado","")))</f>
        <v/>
      </c>
    </row>
    <row r="532" customFormat="false" ht="15" hidden="false" customHeight="false" outlineLevel="0" collapsed="false">
      <c r="A532" s="11" t="str">
        <f aca="false">Apontamentos!C532</f>
        <v/>
      </c>
      <c r="B532" s="11" t="str">
        <f aca="false">IF(Apontamentos!$C532="","",Apontamentos!A532&amp;"")</f>
        <v/>
      </c>
      <c r="C532" s="11" t="str">
        <f aca="false">IF(B532="","",IFERROR(INDEX(Execuções!$C$2:$C$97,MATCH(B532,Execuções!$A$2:$A$97,0)),"ID?"))</f>
        <v/>
      </c>
      <c r="D532" s="10" t="str">
        <f aca="false">IF(B532="","",IFERROR(INDEX(Execuções!$B$2:$B$97,MATCH(B532,Execuções!$A$2:$A$97,0)),"ID?"))</f>
        <v/>
      </c>
      <c r="E532" s="11" t="str">
        <f aca="false">IF(B532="","",Apontamentos!D532)</f>
        <v/>
      </c>
      <c r="F532" s="11" t="str">
        <f aca="false">IF(B532="","",Apontamentos!E532)</f>
        <v/>
      </c>
      <c r="G532" s="10" t="str">
        <f aca="false">IF(B532="","",Apontamentos!G532&amp;"")</f>
        <v/>
      </c>
      <c r="H532" s="14" t="str">
        <f aca="false">IF('Avaliador 1'!F532='Avaliador 2'!F532,'Avaliador 1'!F532&amp;"","")</f>
        <v/>
      </c>
      <c r="I532" s="14" t="str">
        <f aca="false">IF('Avaliador 1'!G532='Avaliador 2'!G532,'Avaliador 1'!G532&amp;"","")</f>
        <v/>
      </c>
      <c r="J532" s="14" t="str">
        <f aca="false">IF('Avaliador 1'!H532='Avaliador 2'!H532,'Avaliador 1'!H532&amp;"","")</f>
        <v/>
      </c>
      <c r="K532" s="14" t="str">
        <f aca="false">IF('Avaliador 1'!I532='Avaliador 2'!I532,'Avaliador 1'!I532&amp;"","")</f>
        <v/>
      </c>
      <c r="L532" s="13"/>
      <c r="M532" s="13" t="str">
        <f aca="false">IF('Avaliador 1'!J532='Avaliador 2'!J532,'Avaliador 1'!J532&amp;"","")</f>
        <v/>
      </c>
      <c r="N532" s="11" t="str">
        <f aca="false">IF(OR('Avaliador 1'!F532="",'Avaliador 2'!F532=""),"",IF(AND('Avaliador 1'!F532='Avaliador 2'!F532,'Avaliador 1'!G532='Avaliador 2'!G532,'Avaliador 1'!H532='Avaliador 2'!H532,'Avaliador 1'!I532='Avaliador 2'!I532),"Não","Sim"))</f>
        <v/>
      </c>
      <c r="O532" s="14"/>
      <c r="P532" s="10" t="str">
        <f aca="false">IF(LEN(H532)=3,"Defeito encontrado",IF(I532="Sim","Falso alarme",IF(H532="—","Nenhum defeito apontado","")))</f>
        <v/>
      </c>
    </row>
    <row r="533" customFormat="false" ht="15" hidden="false" customHeight="false" outlineLevel="0" collapsed="false">
      <c r="A533" s="11" t="str">
        <f aca="false">Apontamentos!C533</f>
        <v/>
      </c>
      <c r="B533" s="11" t="str">
        <f aca="false">IF(Apontamentos!$C533="","",Apontamentos!A533&amp;"")</f>
        <v/>
      </c>
      <c r="C533" s="11" t="str">
        <f aca="false">IF(B533="","",IFERROR(INDEX(Execuções!$C$2:$C$97,MATCH(B533,Execuções!$A$2:$A$97,0)),"ID?"))</f>
        <v/>
      </c>
      <c r="D533" s="10" t="str">
        <f aca="false">IF(B533="","",IFERROR(INDEX(Execuções!$B$2:$B$97,MATCH(B533,Execuções!$A$2:$A$97,0)),"ID?"))</f>
        <v/>
      </c>
      <c r="E533" s="11" t="str">
        <f aca="false">IF(B533="","",Apontamentos!D533)</f>
        <v/>
      </c>
      <c r="F533" s="11" t="str">
        <f aca="false">IF(B533="","",Apontamentos!E533)</f>
        <v/>
      </c>
      <c r="G533" s="10" t="str">
        <f aca="false">IF(B533="","",Apontamentos!G533&amp;"")</f>
        <v/>
      </c>
      <c r="H533" s="14" t="str">
        <f aca="false">IF('Avaliador 1'!F533='Avaliador 2'!F533,'Avaliador 1'!F533&amp;"","")</f>
        <v/>
      </c>
      <c r="I533" s="14" t="str">
        <f aca="false">IF('Avaliador 1'!G533='Avaliador 2'!G533,'Avaliador 1'!G533&amp;"","")</f>
        <v/>
      </c>
      <c r="J533" s="14" t="str">
        <f aca="false">IF('Avaliador 1'!H533='Avaliador 2'!H533,'Avaliador 1'!H533&amp;"","")</f>
        <v/>
      </c>
      <c r="K533" s="14" t="str">
        <f aca="false">IF('Avaliador 1'!I533='Avaliador 2'!I533,'Avaliador 1'!I533&amp;"","")</f>
        <v/>
      </c>
      <c r="L533" s="13"/>
      <c r="M533" s="13" t="str">
        <f aca="false">IF('Avaliador 1'!J533='Avaliador 2'!J533,'Avaliador 1'!J533&amp;"","")</f>
        <v/>
      </c>
      <c r="N533" s="11" t="str">
        <f aca="false">IF(OR('Avaliador 1'!F533="",'Avaliador 2'!F533=""),"",IF(AND('Avaliador 1'!F533='Avaliador 2'!F533,'Avaliador 1'!G533='Avaliador 2'!G533,'Avaliador 1'!H533='Avaliador 2'!H533,'Avaliador 1'!I533='Avaliador 2'!I533),"Não","Sim"))</f>
        <v/>
      </c>
      <c r="O533" s="14"/>
      <c r="P533" s="10" t="str">
        <f aca="false">IF(LEN(H533)=3,"Defeito encontrado",IF(I533="Sim","Falso alarme",IF(H533="—","Nenhum defeito apontado","")))</f>
        <v/>
      </c>
    </row>
    <row r="534" customFormat="false" ht="15" hidden="false" customHeight="false" outlineLevel="0" collapsed="false">
      <c r="A534" s="11" t="str">
        <f aca="false">Apontamentos!C534</f>
        <v/>
      </c>
      <c r="B534" s="11" t="str">
        <f aca="false">IF(Apontamentos!$C534="","",Apontamentos!A534&amp;"")</f>
        <v/>
      </c>
      <c r="C534" s="11" t="str">
        <f aca="false">IF(B534="","",IFERROR(INDEX(Execuções!$C$2:$C$97,MATCH(B534,Execuções!$A$2:$A$97,0)),"ID?"))</f>
        <v/>
      </c>
      <c r="D534" s="10" t="str">
        <f aca="false">IF(B534="","",IFERROR(INDEX(Execuções!$B$2:$B$97,MATCH(B534,Execuções!$A$2:$A$97,0)),"ID?"))</f>
        <v/>
      </c>
      <c r="E534" s="11" t="str">
        <f aca="false">IF(B534="","",Apontamentos!D534)</f>
        <v/>
      </c>
      <c r="F534" s="11" t="str">
        <f aca="false">IF(B534="","",Apontamentos!E534)</f>
        <v/>
      </c>
      <c r="G534" s="10" t="str">
        <f aca="false">IF(B534="","",Apontamentos!G534&amp;"")</f>
        <v/>
      </c>
      <c r="H534" s="14" t="str">
        <f aca="false">IF('Avaliador 1'!F534='Avaliador 2'!F534,'Avaliador 1'!F534&amp;"","")</f>
        <v/>
      </c>
      <c r="I534" s="14" t="str">
        <f aca="false">IF('Avaliador 1'!G534='Avaliador 2'!G534,'Avaliador 1'!G534&amp;"","")</f>
        <v/>
      </c>
      <c r="J534" s="14" t="str">
        <f aca="false">IF('Avaliador 1'!H534='Avaliador 2'!H534,'Avaliador 1'!H534&amp;"","")</f>
        <v/>
      </c>
      <c r="K534" s="14" t="str">
        <f aca="false">IF('Avaliador 1'!I534='Avaliador 2'!I534,'Avaliador 1'!I534&amp;"","")</f>
        <v/>
      </c>
      <c r="L534" s="13"/>
      <c r="M534" s="13" t="str">
        <f aca="false">IF('Avaliador 1'!J534='Avaliador 2'!J534,'Avaliador 1'!J534&amp;"","")</f>
        <v/>
      </c>
      <c r="N534" s="11" t="str">
        <f aca="false">IF(OR('Avaliador 1'!F534="",'Avaliador 2'!F534=""),"",IF(AND('Avaliador 1'!F534='Avaliador 2'!F534,'Avaliador 1'!G534='Avaliador 2'!G534,'Avaliador 1'!H534='Avaliador 2'!H534,'Avaliador 1'!I534='Avaliador 2'!I534),"Não","Sim"))</f>
        <v/>
      </c>
      <c r="O534" s="14"/>
      <c r="P534" s="10" t="str">
        <f aca="false">IF(LEN(H534)=3,"Defeito encontrado",IF(I534="Sim","Falso alarme",IF(H534="—","Nenhum defeito apontado","")))</f>
        <v/>
      </c>
    </row>
    <row r="535" customFormat="false" ht="15" hidden="false" customHeight="false" outlineLevel="0" collapsed="false">
      <c r="A535" s="11" t="str">
        <f aca="false">Apontamentos!C535</f>
        <v/>
      </c>
      <c r="B535" s="11" t="str">
        <f aca="false">IF(Apontamentos!$C535="","",Apontamentos!A535&amp;"")</f>
        <v/>
      </c>
      <c r="C535" s="11" t="str">
        <f aca="false">IF(B535="","",IFERROR(INDEX(Execuções!$C$2:$C$97,MATCH(B535,Execuções!$A$2:$A$97,0)),"ID?"))</f>
        <v/>
      </c>
      <c r="D535" s="10" t="str">
        <f aca="false">IF(B535="","",IFERROR(INDEX(Execuções!$B$2:$B$97,MATCH(B535,Execuções!$A$2:$A$97,0)),"ID?"))</f>
        <v/>
      </c>
      <c r="E535" s="11" t="str">
        <f aca="false">IF(B535="","",Apontamentos!D535)</f>
        <v/>
      </c>
      <c r="F535" s="11" t="str">
        <f aca="false">IF(B535="","",Apontamentos!E535)</f>
        <v/>
      </c>
      <c r="G535" s="10" t="str">
        <f aca="false">IF(B535="","",Apontamentos!G535&amp;"")</f>
        <v/>
      </c>
      <c r="H535" s="14" t="str">
        <f aca="false">IF('Avaliador 1'!F535='Avaliador 2'!F535,'Avaliador 1'!F535&amp;"","")</f>
        <v/>
      </c>
      <c r="I535" s="14" t="str">
        <f aca="false">IF('Avaliador 1'!G535='Avaliador 2'!G535,'Avaliador 1'!G535&amp;"","")</f>
        <v/>
      </c>
      <c r="J535" s="14" t="str">
        <f aca="false">IF('Avaliador 1'!H535='Avaliador 2'!H535,'Avaliador 1'!H535&amp;"","")</f>
        <v/>
      </c>
      <c r="K535" s="14" t="str">
        <f aca="false">IF('Avaliador 1'!I535='Avaliador 2'!I535,'Avaliador 1'!I535&amp;"","")</f>
        <v/>
      </c>
      <c r="L535" s="13"/>
      <c r="M535" s="13" t="str">
        <f aca="false">IF('Avaliador 1'!J535='Avaliador 2'!J535,'Avaliador 1'!J535&amp;"","")</f>
        <v/>
      </c>
      <c r="N535" s="11" t="str">
        <f aca="false">IF(OR('Avaliador 1'!F535="",'Avaliador 2'!F535=""),"",IF(AND('Avaliador 1'!F535='Avaliador 2'!F535,'Avaliador 1'!G535='Avaliador 2'!G535,'Avaliador 1'!H535='Avaliador 2'!H535,'Avaliador 1'!I535='Avaliador 2'!I535),"Não","Sim"))</f>
        <v/>
      </c>
      <c r="O535" s="14"/>
      <c r="P535" s="10" t="str">
        <f aca="false">IF(LEN(H535)=3,"Defeito encontrado",IF(I535="Sim","Falso alarme",IF(H535="—","Nenhum defeito apontado","")))</f>
        <v/>
      </c>
    </row>
    <row r="536" customFormat="false" ht="15" hidden="false" customHeight="false" outlineLevel="0" collapsed="false">
      <c r="A536" s="11" t="str">
        <f aca="false">Apontamentos!C536</f>
        <v/>
      </c>
      <c r="B536" s="11" t="str">
        <f aca="false">IF(Apontamentos!$C536="","",Apontamentos!A536&amp;"")</f>
        <v/>
      </c>
      <c r="C536" s="11" t="str">
        <f aca="false">IF(B536="","",IFERROR(INDEX(Execuções!$C$2:$C$97,MATCH(B536,Execuções!$A$2:$A$97,0)),"ID?"))</f>
        <v/>
      </c>
      <c r="D536" s="10" t="str">
        <f aca="false">IF(B536="","",IFERROR(INDEX(Execuções!$B$2:$B$97,MATCH(B536,Execuções!$A$2:$A$97,0)),"ID?"))</f>
        <v/>
      </c>
      <c r="E536" s="11" t="str">
        <f aca="false">IF(B536="","",Apontamentos!D536)</f>
        <v/>
      </c>
      <c r="F536" s="11" t="str">
        <f aca="false">IF(B536="","",Apontamentos!E536)</f>
        <v/>
      </c>
      <c r="G536" s="10" t="str">
        <f aca="false">IF(B536="","",Apontamentos!G536&amp;"")</f>
        <v/>
      </c>
      <c r="H536" s="14" t="str">
        <f aca="false">IF('Avaliador 1'!F536='Avaliador 2'!F536,'Avaliador 1'!F536&amp;"","")</f>
        <v/>
      </c>
      <c r="I536" s="14" t="str">
        <f aca="false">IF('Avaliador 1'!G536='Avaliador 2'!G536,'Avaliador 1'!G536&amp;"","")</f>
        <v/>
      </c>
      <c r="J536" s="14" t="str">
        <f aca="false">IF('Avaliador 1'!H536='Avaliador 2'!H536,'Avaliador 1'!H536&amp;"","")</f>
        <v/>
      </c>
      <c r="K536" s="14" t="str">
        <f aca="false">IF('Avaliador 1'!I536='Avaliador 2'!I536,'Avaliador 1'!I536&amp;"","")</f>
        <v/>
      </c>
      <c r="L536" s="13"/>
      <c r="M536" s="13" t="str">
        <f aca="false">IF('Avaliador 1'!J536='Avaliador 2'!J536,'Avaliador 1'!J536&amp;"","")</f>
        <v/>
      </c>
      <c r="N536" s="11" t="str">
        <f aca="false">IF(OR('Avaliador 1'!F536="",'Avaliador 2'!F536=""),"",IF(AND('Avaliador 1'!F536='Avaliador 2'!F536,'Avaliador 1'!G536='Avaliador 2'!G536,'Avaliador 1'!H536='Avaliador 2'!H536,'Avaliador 1'!I536='Avaliador 2'!I536),"Não","Sim"))</f>
        <v/>
      </c>
      <c r="O536" s="14"/>
      <c r="P536" s="10" t="str">
        <f aca="false">IF(LEN(H536)=3,"Defeito encontrado",IF(I536="Sim","Falso alarme",IF(H536="—","Nenhum defeito apontado","")))</f>
        <v/>
      </c>
    </row>
    <row r="537" customFormat="false" ht="15" hidden="false" customHeight="false" outlineLevel="0" collapsed="false">
      <c r="A537" s="11" t="str">
        <f aca="false">Apontamentos!C537</f>
        <v/>
      </c>
      <c r="B537" s="11" t="str">
        <f aca="false">IF(Apontamentos!$C537="","",Apontamentos!A537&amp;"")</f>
        <v/>
      </c>
      <c r="C537" s="11" t="str">
        <f aca="false">IF(B537="","",IFERROR(INDEX(Execuções!$C$2:$C$97,MATCH(B537,Execuções!$A$2:$A$97,0)),"ID?"))</f>
        <v/>
      </c>
      <c r="D537" s="10" t="str">
        <f aca="false">IF(B537="","",IFERROR(INDEX(Execuções!$B$2:$B$97,MATCH(B537,Execuções!$A$2:$A$97,0)),"ID?"))</f>
        <v/>
      </c>
      <c r="E537" s="11" t="str">
        <f aca="false">IF(B537="","",Apontamentos!D537)</f>
        <v/>
      </c>
      <c r="F537" s="11" t="str">
        <f aca="false">IF(B537="","",Apontamentos!E537)</f>
        <v/>
      </c>
      <c r="G537" s="10" t="str">
        <f aca="false">IF(B537="","",Apontamentos!G537&amp;"")</f>
        <v/>
      </c>
      <c r="H537" s="14" t="str">
        <f aca="false">IF('Avaliador 1'!F537='Avaliador 2'!F537,'Avaliador 1'!F537&amp;"","")</f>
        <v/>
      </c>
      <c r="I537" s="14" t="str">
        <f aca="false">IF('Avaliador 1'!G537='Avaliador 2'!G537,'Avaliador 1'!G537&amp;"","")</f>
        <v/>
      </c>
      <c r="J537" s="14" t="str">
        <f aca="false">IF('Avaliador 1'!H537='Avaliador 2'!H537,'Avaliador 1'!H537&amp;"","")</f>
        <v/>
      </c>
      <c r="K537" s="14" t="str">
        <f aca="false">IF('Avaliador 1'!I537='Avaliador 2'!I537,'Avaliador 1'!I537&amp;"","")</f>
        <v/>
      </c>
      <c r="L537" s="13"/>
      <c r="M537" s="13" t="str">
        <f aca="false">IF('Avaliador 1'!J537='Avaliador 2'!J537,'Avaliador 1'!J537&amp;"","")</f>
        <v/>
      </c>
      <c r="N537" s="11" t="str">
        <f aca="false">IF(OR('Avaliador 1'!F537="",'Avaliador 2'!F537=""),"",IF(AND('Avaliador 1'!F537='Avaliador 2'!F537,'Avaliador 1'!G537='Avaliador 2'!G537,'Avaliador 1'!H537='Avaliador 2'!H537,'Avaliador 1'!I537='Avaliador 2'!I537),"Não","Sim"))</f>
        <v/>
      </c>
      <c r="O537" s="14"/>
      <c r="P537" s="10" t="str">
        <f aca="false">IF(LEN(H537)=3,"Defeito encontrado",IF(I537="Sim","Falso alarme",IF(H537="—","Nenhum defeito apontado","")))</f>
        <v/>
      </c>
    </row>
    <row r="538" customFormat="false" ht="15" hidden="false" customHeight="false" outlineLevel="0" collapsed="false">
      <c r="A538" s="11" t="str">
        <f aca="false">Apontamentos!C538</f>
        <v/>
      </c>
      <c r="B538" s="11" t="str">
        <f aca="false">IF(Apontamentos!$C538="","",Apontamentos!A538&amp;"")</f>
        <v/>
      </c>
      <c r="C538" s="11" t="str">
        <f aca="false">IF(B538="","",IFERROR(INDEX(Execuções!$C$2:$C$97,MATCH(B538,Execuções!$A$2:$A$97,0)),"ID?"))</f>
        <v/>
      </c>
      <c r="D538" s="10" t="str">
        <f aca="false">IF(B538="","",IFERROR(INDEX(Execuções!$B$2:$B$97,MATCH(B538,Execuções!$A$2:$A$97,0)),"ID?"))</f>
        <v/>
      </c>
      <c r="E538" s="11" t="str">
        <f aca="false">IF(B538="","",Apontamentos!D538)</f>
        <v/>
      </c>
      <c r="F538" s="11" t="str">
        <f aca="false">IF(B538="","",Apontamentos!E538)</f>
        <v/>
      </c>
      <c r="G538" s="10" t="str">
        <f aca="false">IF(B538="","",Apontamentos!G538&amp;"")</f>
        <v/>
      </c>
      <c r="H538" s="14" t="str">
        <f aca="false">IF('Avaliador 1'!F538='Avaliador 2'!F538,'Avaliador 1'!F538&amp;"","")</f>
        <v/>
      </c>
      <c r="I538" s="14" t="str">
        <f aca="false">IF('Avaliador 1'!G538='Avaliador 2'!G538,'Avaliador 1'!G538&amp;"","")</f>
        <v/>
      </c>
      <c r="J538" s="14" t="str">
        <f aca="false">IF('Avaliador 1'!H538='Avaliador 2'!H538,'Avaliador 1'!H538&amp;"","")</f>
        <v/>
      </c>
      <c r="K538" s="14" t="str">
        <f aca="false">IF('Avaliador 1'!I538='Avaliador 2'!I538,'Avaliador 1'!I538&amp;"","")</f>
        <v/>
      </c>
      <c r="L538" s="13"/>
      <c r="M538" s="13" t="str">
        <f aca="false">IF('Avaliador 1'!J538='Avaliador 2'!J538,'Avaliador 1'!J538&amp;"","")</f>
        <v/>
      </c>
      <c r="N538" s="11" t="str">
        <f aca="false">IF(OR('Avaliador 1'!F538="",'Avaliador 2'!F538=""),"",IF(AND('Avaliador 1'!F538='Avaliador 2'!F538,'Avaliador 1'!G538='Avaliador 2'!G538,'Avaliador 1'!H538='Avaliador 2'!H538,'Avaliador 1'!I538='Avaliador 2'!I538),"Não","Sim"))</f>
        <v/>
      </c>
      <c r="O538" s="14"/>
      <c r="P538" s="10" t="str">
        <f aca="false">IF(LEN(H538)=3,"Defeito encontrado",IF(I538="Sim","Falso alarme",IF(H538="—","Nenhum defeito apontado","")))</f>
        <v/>
      </c>
    </row>
    <row r="539" customFormat="false" ht="15" hidden="false" customHeight="false" outlineLevel="0" collapsed="false">
      <c r="A539" s="11" t="str">
        <f aca="false">Apontamentos!C539</f>
        <v/>
      </c>
      <c r="B539" s="11" t="str">
        <f aca="false">IF(Apontamentos!$C539="","",Apontamentos!A539&amp;"")</f>
        <v/>
      </c>
      <c r="C539" s="11" t="str">
        <f aca="false">IF(B539="","",IFERROR(INDEX(Execuções!$C$2:$C$97,MATCH(B539,Execuções!$A$2:$A$97,0)),"ID?"))</f>
        <v/>
      </c>
      <c r="D539" s="10" t="str">
        <f aca="false">IF(B539="","",IFERROR(INDEX(Execuções!$B$2:$B$97,MATCH(B539,Execuções!$A$2:$A$97,0)),"ID?"))</f>
        <v/>
      </c>
      <c r="E539" s="11" t="str">
        <f aca="false">IF(B539="","",Apontamentos!D539)</f>
        <v/>
      </c>
      <c r="F539" s="11" t="str">
        <f aca="false">IF(B539="","",Apontamentos!E539)</f>
        <v/>
      </c>
      <c r="G539" s="10" t="str">
        <f aca="false">IF(B539="","",Apontamentos!G539&amp;"")</f>
        <v/>
      </c>
      <c r="H539" s="14" t="str">
        <f aca="false">IF('Avaliador 1'!F539='Avaliador 2'!F539,'Avaliador 1'!F539&amp;"","")</f>
        <v/>
      </c>
      <c r="I539" s="14" t="str">
        <f aca="false">IF('Avaliador 1'!G539='Avaliador 2'!G539,'Avaliador 1'!G539&amp;"","")</f>
        <v/>
      </c>
      <c r="J539" s="14" t="str">
        <f aca="false">IF('Avaliador 1'!H539='Avaliador 2'!H539,'Avaliador 1'!H539&amp;"","")</f>
        <v/>
      </c>
      <c r="K539" s="14" t="str">
        <f aca="false">IF('Avaliador 1'!I539='Avaliador 2'!I539,'Avaliador 1'!I539&amp;"","")</f>
        <v/>
      </c>
      <c r="L539" s="13"/>
      <c r="M539" s="13" t="str">
        <f aca="false">IF('Avaliador 1'!J539='Avaliador 2'!J539,'Avaliador 1'!J539&amp;"","")</f>
        <v/>
      </c>
      <c r="N539" s="11" t="str">
        <f aca="false">IF(OR('Avaliador 1'!F539="",'Avaliador 2'!F539=""),"",IF(AND('Avaliador 1'!F539='Avaliador 2'!F539,'Avaliador 1'!G539='Avaliador 2'!G539,'Avaliador 1'!H539='Avaliador 2'!H539,'Avaliador 1'!I539='Avaliador 2'!I539),"Não","Sim"))</f>
        <v/>
      </c>
      <c r="O539" s="14"/>
      <c r="P539" s="10" t="str">
        <f aca="false">IF(LEN(H539)=3,"Defeito encontrado",IF(I539="Sim","Falso alarme",IF(H539="—","Nenhum defeito apontado","")))</f>
        <v/>
      </c>
    </row>
    <row r="540" customFormat="false" ht="15" hidden="false" customHeight="false" outlineLevel="0" collapsed="false">
      <c r="A540" s="11" t="str">
        <f aca="false">Apontamentos!C540</f>
        <v/>
      </c>
      <c r="B540" s="11" t="str">
        <f aca="false">IF(Apontamentos!$C540="","",Apontamentos!A540&amp;"")</f>
        <v/>
      </c>
      <c r="C540" s="11" t="str">
        <f aca="false">IF(B540="","",IFERROR(INDEX(Execuções!$C$2:$C$97,MATCH(B540,Execuções!$A$2:$A$97,0)),"ID?"))</f>
        <v/>
      </c>
      <c r="D540" s="10" t="str">
        <f aca="false">IF(B540="","",IFERROR(INDEX(Execuções!$B$2:$B$97,MATCH(B540,Execuções!$A$2:$A$97,0)),"ID?"))</f>
        <v/>
      </c>
      <c r="E540" s="11" t="str">
        <f aca="false">IF(B540="","",Apontamentos!D540)</f>
        <v/>
      </c>
      <c r="F540" s="11" t="str">
        <f aca="false">IF(B540="","",Apontamentos!E540)</f>
        <v/>
      </c>
      <c r="G540" s="10" t="str">
        <f aca="false">IF(B540="","",Apontamentos!G540&amp;"")</f>
        <v/>
      </c>
      <c r="H540" s="14" t="str">
        <f aca="false">IF('Avaliador 1'!F540='Avaliador 2'!F540,'Avaliador 1'!F540&amp;"","")</f>
        <v/>
      </c>
      <c r="I540" s="14" t="str">
        <f aca="false">IF('Avaliador 1'!G540='Avaliador 2'!G540,'Avaliador 1'!G540&amp;"","")</f>
        <v/>
      </c>
      <c r="J540" s="14" t="str">
        <f aca="false">IF('Avaliador 1'!H540='Avaliador 2'!H540,'Avaliador 1'!H540&amp;"","")</f>
        <v/>
      </c>
      <c r="K540" s="14" t="str">
        <f aca="false">IF('Avaliador 1'!I540='Avaliador 2'!I540,'Avaliador 1'!I540&amp;"","")</f>
        <v/>
      </c>
      <c r="L540" s="13"/>
      <c r="M540" s="13" t="str">
        <f aca="false">IF('Avaliador 1'!J540='Avaliador 2'!J540,'Avaliador 1'!J540&amp;"","")</f>
        <v/>
      </c>
      <c r="N540" s="11" t="str">
        <f aca="false">IF(OR('Avaliador 1'!F540="",'Avaliador 2'!F540=""),"",IF(AND('Avaliador 1'!F540='Avaliador 2'!F540,'Avaliador 1'!G540='Avaliador 2'!G540,'Avaliador 1'!H540='Avaliador 2'!H540,'Avaliador 1'!I540='Avaliador 2'!I540),"Não","Sim"))</f>
        <v/>
      </c>
      <c r="O540" s="14"/>
      <c r="P540" s="10" t="str">
        <f aca="false">IF(LEN(H540)=3,"Defeito encontrado",IF(I540="Sim","Falso alarme",IF(H540="—","Nenhum defeito apontado","")))</f>
        <v/>
      </c>
    </row>
    <row r="541" customFormat="false" ht="15" hidden="false" customHeight="false" outlineLevel="0" collapsed="false">
      <c r="A541" s="11" t="str">
        <f aca="false">Apontamentos!C541</f>
        <v/>
      </c>
      <c r="B541" s="11" t="str">
        <f aca="false">IF(Apontamentos!$C541="","",Apontamentos!A541&amp;"")</f>
        <v/>
      </c>
      <c r="C541" s="11" t="str">
        <f aca="false">IF(B541="","",IFERROR(INDEX(Execuções!$C$2:$C$97,MATCH(B541,Execuções!$A$2:$A$97,0)),"ID?"))</f>
        <v/>
      </c>
      <c r="D541" s="10" t="str">
        <f aca="false">IF(B541="","",IFERROR(INDEX(Execuções!$B$2:$B$97,MATCH(B541,Execuções!$A$2:$A$97,0)),"ID?"))</f>
        <v/>
      </c>
      <c r="E541" s="11" t="str">
        <f aca="false">IF(B541="","",Apontamentos!D541)</f>
        <v/>
      </c>
      <c r="F541" s="11" t="str">
        <f aca="false">IF(B541="","",Apontamentos!E541)</f>
        <v/>
      </c>
      <c r="G541" s="10" t="str">
        <f aca="false">IF(B541="","",Apontamentos!G541&amp;"")</f>
        <v/>
      </c>
      <c r="H541" s="14" t="str">
        <f aca="false">IF('Avaliador 1'!F541='Avaliador 2'!F541,'Avaliador 1'!F541&amp;"","")</f>
        <v/>
      </c>
      <c r="I541" s="14" t="str">
        <f aca="false">IF('Avaliador 1'!G541='Avaliador 2'!G541,'Avaliador 1'!G541&amp;"","")</f>
        <v/>
      </c>
      <c r="J541" s="14" t="str">
        <f aca="false">IF('Avaliador 1'!H541='Avaliador 2'!H541,'Avaliador 1'!H541&amp;"","")</f>
        <v/>
      </c>
      <c r="K541" s="14" t="str">
        <f aca="false">IF('Avaliador 1'!I541='Avaliador 2'!I541,'Avaliador 1'!I541&amp;"","")</f>
        <v/>
      </c>
      <c r="L541" s="13"/>
      <c r="M541" s="13" t="str">
        <f aca="false">IF('Avaliador 1'!J541='Avaliador 2'!J541,'Avaliador 1'!J541&amp;"","")</f>
        <v/>
      </c>
      <c r="N541" s="11" t="str">
        <f aca="false">IF(OR('Avaliador 1'!F541="",'Avaliador 2'!F541=""),"",IF(AND('Avaliador 1'!F541='Avaliador 2'!F541,'Avaliador 1'!G541='Avaliador 2'!G541,'Avaliador 1'!H541='Avaliador 2'!H541,'Avaliador 1'!I541='Avaliador 2'!I541),"Não","Sim"))</f>
        <v/>
      </c>
      <c r="O541" s="14"/>
      <c r="P541" s="10" t="str">
        <f aca="false">IF(LEN(H541)=3,"Defeito encontrado",IF(I541="Sim","Falso alarme",IF(H541="—","Nenhum defeito apontado","")))</f>
        <v/>
      </c>
    </row>
    <row r="542" customFormat="false" ht="15" hidden="false" customHeight="false" outlineLevel="0" collapsed="false">
      <c r="A542" s="11" t="str">
        <f aca="false">Apontamentos!C542</f>
        <v/>
      </c>
      <c r="B542" s="11" t="str">
        <f aca="false">IF(Apontamentos!$C542="","",Apontamentos!A542&amp;"")</f>
        <v/>
      </c>
      <c r="C542" s="11" t="str">
        <f aca="false">IF(B542="","",IFERROR(INDEX(Execuções!$C$2:$C$97,MATCH(B542,Execuções!$A$2:$A$97,0)),"ID?"))</f>
        <v/>
      </c>
      <c r="D542" s="10" t="str">
        <f aca="false">IF(B542="","",IFERROR(INDEX(Execuções!$B$2:$B$97,MATCH(B542,Execuções!$A$2:$A$97,0)),"ID?"))</f>
        <v/>
      </c>
      <c r="E542" s="11" t="str">
        <f aca="false">IF(B542="","",Apontamentos!D542)</f>
        <v/>
      </c>
      <c r="F542" s="11" t="str">
        <f aca="false">IF(B542="","",Apontamentos!E542)</f>
        <v/>
      </c>
      <c r="G542" s="10" t="str">
        <f aca="false">IF(B542="","",Apontamentos!G542&amp;"")</f>
        <v/>
      </c>
      <c r="H542" s="14" t="str">
        <f aca="false">IF('Avaliador 1'!F542='Avaliador 2'!F542,'Avaliador 1'!F542&amp;"","")</f>
        <v/>
      </c>
      <c r="I542" s="14" t="str">
        <f aca="false">IF('Avaliador 1'!G542='Avaliador 2'!G542,'Avaliador 1'!G542&amp;"","")</f>
        <v/>
      </c>
      <c r="J542" s="14" t="str">
        <f aca="false">IF('Avaliador 1'!H542='Avaliador 2'!H542,'Avaliador 1'!H542&amp;"","")</f>
        <v/>
      </c>
      <c r="K542" s="14" t="str">
        <f aca="false">IF('Avaliador 1'!I542='Avaliador 2'!I542,'Avaliador 1'!I542&amp;"","")</f>
        <v/>
      </c>
      <c r="L542" s="13"/>
      <c r="M542" s="13" t="str">
        <f aca="false">IF('Avaliador 1'!J542='Avaliador 2'!J542,'Avaliador 1'!J542&amp;"","")</f>
        <v/>
      </c>
      <c r="N542" s="11" t="str">
        <f aca="false">IF(OR('Avaliador 1'!F542="",'Avaliador 2'!F542=""),"",IF(AND('Avaliador 1'!F542='Avaliador 2'!F542,'Avaliador 1'!G542='Avaliador 2'!G542,'Avaliador 1'!H542='Avaliador 2'!H542,'Avaliador 1'!I542='Avaliador 2'!I542),"Não","Sim"))</f>
        <v/>
      </c>
      <c r="O542" s="14"/>
      <c r="P542" s="10" t="str">
        <f aca="false">IF(LEN(H542)=3,"Defeito encontrado",IF(I542="Sim","Falso alarme",IF(H542="—","Nenhum defeito apontado","")))</f>
        <v/>
      </c>
    </row>
    <row r="543" customFormat="false" ht="15" hidden="false" customHeight="false" outlineLevel="0" collapsed="false">
      <c r="A543" s="11" t="str">
        <f aca="false">Apontamentos!C543</f>
        <v/>
      </c>
      <c r="B543" s="11" t="str">
        <f aca="false">IF(Apontamentos!$C543="","",Apontamentos!A543&amp;"")</f>
        <v/>
      </c>
      <c r="C543" s="11" t="str">
        <f aca="false">IF(B543="","",IFERROR(INDEX(Execuções!$C$2:$C$97,MATCH(B543,Execuções!$A$2:$A$97,0)),"ID?"))</f>
        <v/>
      </c>
      <c r="D543" s="10" t="str">
        <f aca="false">IF(B543="","",IFERROR(INDEX(Execuções!$B$2:$B$97,MATCH(B543,Execuções!$A$2:$A$97,0)),"ID?"))</f>
        <v/>
      </c>
      <c r="E543" s="11" t="str">
        <f aca="false">IF(B543="","",Apontamentos!D543)</f>
        <v/>
      </c>
      <c r="F543" s="11" t="str">
        <f aca="false">IF(B543="","",Apontamentos!E543)</f>
        <v/>
      </c>
      <c r="G543" s="10" t="str">
        <f aca="false">IF(B543="","",Apontamentos!G543&amp;"")</f>
        <v/>
      </c>
      <c r="H543" s="14" t="str">
        <f aca="false">IF('Avaliador 1'!F543='Avaliador 2'!F543,'Avaliador 1'!F543&amp;"","")</f>
        <v/>
      </c>
      <c r="I543" s="14" t="str">
        <f aca="false">IF('Avaliador 1'!G543='Avaliador 2'!G543,'Avaliador 1'!G543&amp;"","")</f>
        <v/>
      </c>
      <c r="J543" s="14" t="str">
        <f aca="false">IF('Avaliador 1'!H543='Avaliador 2'!H543,'Avaliador 1'!H543&amp;"","")</f>
        <v/>
      </c>
      <c r="K543" s="14" t="str">
        <f aca="false">IF('Avaliador 1'!I543='Avaliador 2'!I543,'Avaliador 1'!I543&amp;"","")</f>
        <v/>
      </c>
      <c r="L543" s="13"/>
      <c r="M543" s="13" t="str">
        <f aca="false">IF('Avaliador 1'!J543='Avaliador 2'!J543,'Avaliador 1'!J543&amp;"","")</f>
        <v/>
      </c>
      <c r="N543" s="11" t="str">
        <f aca="false">IF(OR('Avaliador 1'!F543="",'Avaliador 2'!F543=""),"",IF(AND('Avaliador 1'!F543='Avaliador 2'!F543,'Avaliador 1'!G543='Avaliador 2'!G543,'Avaliador 1'!H543='Avaliador 2'!H543,'Avaliador 1'!I543='Avaliador 2'!I543),"Não","Sim"))</f>
        <v/>
      </c>
      <c r="O543" s="14"/>
      <c r="P543" s="10" t="str">
        <f aca="false">IF(LEN(H543)=3,"Defeito encontrado",IF(I543="Sim","Falso alarme",IF(H543="—","Nenhum defeito apontado","")))</f>
        <v/>
      </c>
    </row>
    <row r="544" customFormat="false" ht="15" hidden="false" customHeight="false" outlineLevel="0" collapsed="false">
      <c r="A544" s="11" t="str">
        <f aca="false">Apontamentos!C544</f>
        <v/>
      </c>
      <c r="B544" s="11" t="str">
        <f aca="false">IF(Apontamentos!$C544="","",Apontamentos!A544&amp;"")</f>
        <v/>
      </c>
      <c r="C544" s="11" t="str">
        <f aca="false">IF(B544="","",IFERROR(INDEX(Execuções!$C$2:$C$97,MATCH(B544,Execuções!$A$2:$A$97,0)),"ID?"))</f>
        <v/>
      </c>
      <c r="D544" s="10" t="str">
        <f aca="false">IF(B544="","",IFERROR(INDEX(Execuções!$B$2:$B$97,MATCH(B544,Execuções!$A$2:$A$97,0)),"ID?"))</f>
        <v/>
      </c>
      <c r="E544" s="11" t="str">
        <f aca="false">IF(B544="","",Apontamentos!D544)</f>
        <v/>
      </c>
      <c r="F544" s="11" t="str">
        <f aca="false">IF(B544="","",Apontamentos!E544)</f>
        <v/>
      </c>
      <c r="G544" s="10" t="str">
        <f aca="false">IF(B544="","",Apontamentos!G544&amp;"")</f>
        <v/>
      </c>
      <c r="H544" s="14" t="str">
        <f aca="false">IF('Avaliador 1'!F544='Avaliador 2'!F544,'Avaliador 1'!F544&amp;"","")</f>
        <v/>
      </c>
      <c r="I544" s="14" t="str">
        <f aca="false">IF('Avaliador 1'!G544='Avaliador 2'!G544,'Avaliador 1'!G544&amp;"","")</f>
        <v/>
      </c>
      <c r="J544" s="14" t="str">
        <f aca="false">IF('Avaliador 1'!H544='Avaliador 2'!H544,'Avaliador 1'!H544&amp;"","")</f>
        <v/>
      </c>
      <c r="K544" s="14" t="str">
        <f aca="false">IF('Avaliador 1'!I544='Avaliador 2'!I544,'Avaliador 1'!I544&amp;"","")</f>
        <v/>
      </c>
      <c r="L544" s="13"/>
      <c r="M544" s="13" t="str">
        <f aca="false">IF('Avaliador 1'!J544='Avaliador 2'!J544,'Avaliador 1'!J544&amp;"","")</f>
        <v/>
      </c>
      <c r="N544" s="11" t="str">
        <f aca="false">IF(OR('Avaliador 1'!F544="",'Avaliador 2'!F544=""),"",IF(AND('Avaliador 1'!F544='Avaliador 2'!F544,'Avaliador 1'!G544='Avaliador 2'!G544,'Avaliador 1'!H544='Avaliador 2'!H544,'Avaliador 1'!I544='Avaliador 2'!I544),"Não","Sim"))</f>
        <v/>
      </c>
      <c r="O544" s="14"/>
      <c r="P544" s="10" t="str">
        <f aca="false">IF(LEN(H544)=3,"Defeito encontrado",IF(I544="Sim","Falso alarme",IF(H544="—","Nenhum defeito apontado","")))</f>
        <v/>
      </c>
    </row>
    <row r="545" customFormat="false" ht="15" hidden="false" customHeight="false" outlineLevel="0" collapsed="false">
      <c r="A545" s="11" t="str">
        <f aca="false">Apontamentos!C545</f>
        <v/>
      </c>
      <c r="B545" s="11" t="str">
        <f aca="false">IF(Apontamentos!$C545="","",Apontamentos!A545&amp;"")</f>
        <v/>
      </c>
      <c r="C545" s="11" t="str">
        <f aca="false">IF(B545="","",IFERROR(INDEX(Execuções!$C$2:$C$97,MATCH(B545,Execuções!$A$2:$A$97,0)),"ID?"))</f>
        <v/>
      </c>
      <c r="D545" s="10" t="str">
        <f aca="false">IF(B545="","",IFERROR(INDEX(Execuções!$B$2:$B$97,MATCH(B545,Execuções!$A$2:$A$97,0)),"ID?"))</f>
        <v/>
      </c>
      <c r="E545" s="11" t="str">
        <f aca="false">IF(B545="","",Apontamentos!D545)</f>
        <v/>
      </c>
      <c r="F545" s="11" t="str">
        <f aca="false">IF(B545="","",Apontamentos!E545)</f>
        <v/>
      </c>
      <c r="G545" s="10" t="str">
        <f aca="false">IF(B545="","",Apontamentos!G545&amp;"")</f>
        <v/>
      </c>
      <c r="H545" s="14" t="str">
        <f aca="false">IF('Avaliador 1'!F545='Avaliador 2'!F545,'Avaliador 1'!F545&amp;"","")</f>
        <v/>
      </c>
      <c r="I545" s="14" t="str">
        <f aca="false">IF('Avaliador 1'!G545='Avaliador 2'!G545,'Avaliador 1'!G545&amp;"","")</f>
        <v/>
      </c>
      <c r="J545" s="14" t="str">
        <f aca="false">IF('Avaliador 1'!H545='Avaliador 2'!H545,'Avaliador 1'!H545&amp;"","")</f>
        <v/>
      </c>
      <c r="K545" s="14" t="str">
        <f aca="false">IF('Avaliador 1'!I545='Avaliador 2'!I545,'Avaliador 1'!I545&amp;"","")</f>
        <v/>
      </c>
      <c r="L545" s="13"/>
      <c r="M545" s="13" t="str">
        <f aca="false">IF('Avaliador 1'!J545='Avaliador 2'!J545,'Avaliador 1'!J545&amp;"","")</f>
        <v/>
      </c>
      <c r="N545" s="11" t="str">
        <f aca="false">IF(OR('Avaliador 1'!F545="",'Avaliador 2'!F545=""),"",IF(AND('Avaliador 1'!F545='Avaliador 2'!F545,'Avaliador 1'!G545='Avaliador 2'!G545,'Avaliador 1'!H545='Avaliador 2'!H545,'Avaliador 1'!I545='Avaliador 2'!I545),"Não","Sim"))</f>
        <v/>
      </c>
      <c r="O545" s="14"/>
      <c r="P545" s="10" t="str">
        <f aca="false">IF(LEN(H545)=3,"Defeito encontrado",IF(I545="Sim","Falso alarme",IF(H545="—","Nenhum defeito apontado","")))</f>
        <v/>
      </c>
    </row>
    <row r="546" customFormat="false" ht="15" hidden="false" customHeight="false" outlineLevel="0" collapsed="false">
      <c r="A546" s="11" t="str">
        <f aca="false">Apontamentos!C546</f>
        <v/>
      </c>
      <c r="B546" s="11" t="str">
        <f aca="false">IF(Apontamentos!$C546="","",Apontamentos!A546&amp;"")</f>
        <v/>
      </c>
      <c r="C546" s="11" t="str">
        <f aca="false">IF(B546="","",IFERROR(INDEX(Execuções!$C$2:$C$97,MATCH(B546,Execuções!$A$2:$A$97,0)),"ID?"))</f>
        <v/>
      </c>
      <c r="D546" s="10" t="str">
        <f aca="false">IF(B546="","",IFERROR(INDEX(Execuções!$B$2:$B$97,MATCH(B546,Execuções!$A$2:$A$97,0)),"ID?"))</f>
        <v/>
      </c>
      <c r="E546" s="11" t="str">
        <f aca="false">IF(B546="","",Apontamentos!D546)</f>
        <v/>
      </c>
      <c r="F546" s="11" t="str">
        <f aca="false">IF(B546="","",Apontamentos!E546)</f>
        <v/>
      </c>
      <c r="G546" s="10" t="str">
        <f aca="false">IF(B546="","",Apontamentos!G546&amp;"")</f>
        <v/>
      </c>
      <c r="H546" s="14" t="str">
        <f aca="false">IF('Avaliador 1'!F546='Avaliador 2'!F546,'Avaliador 1'!F546&amp;"","")</f>
        <v/>
      </c>
      <c r="I546" s="14" t="str">
        <f aca="false">IF('Avaliador 1'!G546='Avaliador 2'!G546,'Avaliador 1'!G546&amp;"","")</f>
        <v/>
      </c>
      <c r="J546" s="14" t="str">
        <f aca="false">IF('Avaliador 1'!H546='Avaliador 2'!H546,'Avaliador 1'!H546&amp;"","")</f>
        <v/>
      </c>
      <c r="K546" s="14" t="str">
        <f aca="false">IF('Avaliador 1'!I546='Avaliador 2'!I546,'Avaliador 1'!I546&amp;"","")</f>
        <v/>
      </c>
      <c r="L546" s="13"/>
      <c r="M546" s="13" t="str">
        <f aca="false">IF('Avaliador 1'!J546='Avaliador 2'!J546,'Avaliador 1'!J546&amp;"","")</f>
        <v/>
      </c>
      <c r="N546" s="11" t="str">
        <f aca="false">IF(OR('Avaliador 1'!F546="",'Avaliador 2'!F546=""),"",IF(AND('Avaliador 1'!F546='Avaliador 2'!F546,'Avaliador 1'!G546='Avaliador 2'!G546,'Avaliador 1'!H546='Avaliador 2'!H546,'Avaliador 1'!I546='Avaliador 2'!I546),"Não","Sim"))</f>
        <v/>
      </c>
      <c r="O546" s="14"/>
      <c r="P546" s="10" t="str">
        <f aca="false">IF(LEN(H546)=3,"Defeito encontrado",IF(I546="Sim","Falso alarme",IF(H546="—","Nenhum defeito apontado","")))</f>
        <v/>
      </c>
    </row>
    <row r="547" customFormat="false" ht="15" hidden="false" customHeight="false" outlineLevel="0" collapsed="false">
      <c r="A547" s="11" t="str">
        <f aca="false">Apontamentos!C547</f>
        <v/>
      </c>
      <c r="B547" s="11" t="str">
        <f aca="false">IF(Apontamentos!$C547="","",Apontamentos!A547&amp;"")</f>
        <v/>
      </c>
      <c r="C547" s="11" t="str">
        <f aca="false">IF(B547="","",IFERROR(INDEX(Execuções!$C$2:$C$97,MATCH(B547,Execuções!$A$2:$A$97,0)),"ID?"))</f>
        <v/>
      </c>
      <c r="D547" s="10" t="str">
        <f aca="false">IF(B547="","",IFERROR(INDEX(Execuções!$B$2:$B$97,MATCH(B547,Execuções!$A$2:$A$97,0)),"ID?"))</f>
        <v/>
      </c>
      <c r="E547" s="11" t="str">
        <f aca="false">IF(B547="","",Apontamentos!D547)</f>
        <v/>
      </c>
      <c r="F547" s="11" t="str">
        <f aca="false">IF(B547="","",Apontamentos!E547)</f>
        <v/>
      </c>
      <c r="G547" s="10" t="str">
        <f aca="false">IF(B547="","",Apontamentos!G547&amp;"")</f>
        <v/>
      </c>
      <c r="H547" s="14" t="str">
        <f aca="false">IF('Avaliador 1'!F547='Avaliador 2'!F547,'Avaliador 1'!F547&amp;"","")</f>
        <v/>
      </c>
      <c r="I547" s="14" t="str">
        <f aca="false">IF('Avaliador 1'!G547='Avaliador 2'!G547,'Avaliador 1'!G547&amp;"","")</f>
        <v/>
      </c>
      <c r="J547" s="14" t="str">
        <f aca="false">IF('Avaliador 1'!H547='Avaliador 2'!H547,'Avaliador 1'!H547&amp;"","")</f>
        <v/>
      </c>
      <c r="K547" s="14" t="str">
        <f aca="false">IF('Avaliador 1'!I547='Avaliador 2'!I547,'Avaliador 1'!I547&amp;"","")</f>
        <v/>
      </c>
      <c r="L547" s="13"/>
      <c r="M547" s="13" t="str">
        <f aca="false">IF('Avaliador 1'!J547='Avaliador 2'!J547,'Avaliador 1'!J547&amp;"","")</f>
        <v/>
      </c>
      <c r="N547" s="11" t="str">
        <f aca="false">IF(OR('Avaliador 1'!F547="",'Avaliador 2'!F547=""),"",IF(AND('Avaliador 1'!F547='Avaliador 2'!F547,'Avaliador 1'!G547='Avaliador 2'!G547,'Avaliador 1'!H547='Avaliador 2'!H547,'Avaliador 1'!I547='Avaliador 2'!I547),"Não","Sim"))</f>
        <v/>
      </c>
      <c r="O547" s="14"/>
      <c r="P547" s="10" t="str">
        <f aca="false">IF(LEN(H547)=3,"Defeito encontrado",IF(I547="Sim","Falso alarme",IF(H547="—","Nenhum defeito apontado","")))</f>
        <v/>
      </c>
    </row>
    <row r="548" customFormat="false" ht="15" hidden="false" customHeight="false" outlineLevel="0" collapsed="false">
      <c r="A548" s="11" t="str">
        <f aca="false">Apontamentos!C548</f>
        <v/>
      </c>
      <c r="B548" s="11" t="str">
        <f aca="false">IF(Apontamentos!$C548="","",Apontamentos!A548&amp;"")</f>
        <v/>
      </c>
      <c r="C548" s="11" t="str">
        <f aca="false">IF(B548="","",IFERROR(INDEX(Execuções!$C$2:$C$97,MATCH(B548,Execuções!$A$2:$A$97,0)),"ID?"))</f>
        <v/>
      </c>
      <c r="D548" s="10" t="str">
        <f aca="false">IF(B548="","",IFERROR(INDEX(Execuções!$B$2:$B$97,MATCH(B548,Execuções!$A$2:$A$97,0)),"ID?"))</f>
        <v/>
      </c>
      <c r="E548" s="11" t="str">
        <f aca="false">IF(B548="","",Apontamentos!D548)</f>
        <v/>
      </c>
      <c r="F548" s="11" t="str">
        <f aca="false">IF(B548="","",Apontamentos!E548)</f>
        <v/>
      </c>
      <c r="G548" s="10" t="str">
        <f aca="false">IF(B548="","",Apontamentos!G548&amp;"")</f>
        <v/>
      </c>
      <c r="H548" s="14" t="str">
        <f aca="false">IF('Avaliador 1'!F548='Avaliador 2'!F548,'Avaliador 1'!F548&amp;"","")</f>
        <v/>
      </c>
      <c r="I548" s="14" t="str">
        <f aca="false">IF('Avaliador 1'!G548='Avaliador 2'!G548,'Avaliador 1'!G548&amp;"","")</f>
        <v/>
      </c>
      <c r="J548" s="14" t="str">
        <f aca="false">IF('Avaliador 1'!H548='Avaliador 2'!H548,'Avaliador 1'!H548&amp;"","")</f>
        <v/>
      </c>
      <c r="K548" s="14" t="str">
        <f aca="false">IF('Avaliador 1'!I548='Avaliador 2'!I548,'Avaliador 1'!I548&amp;"","")</f>
        <v/>
      </c>
      <c r="L548" s="13"/>
      <c r="M548" s="13" t="str">
        <f aca="false">IF('Avaliador 1'!J548='Avaliador 2'!J548,'Avaliador 1'!J548&amp;"","")</f>
        <v/>
      </c>
      <c r="N548" s="11" t="str">
        <f aca="false">IF(OR('Avaliador 1'!F548="",'Avaliador 2'!F548=""),"",IF(AND('Avaliador 1'!F548='Avaliador 2'!F548,'Avaliador 1'!G548='Avaliador 2'!G548,'Avaliador 1'!H548='Avaliador 2'!H548,'Avaliador 1'!I548='Avaliador 2'!I548),"Não","Sim"))</f>
        <v/>
      </c>
      <c r="O548" s="14"/>
      <c r="P548" s="10" t="str">
        <f aca="false">IF(LEN(H548)=3,"Defeito encontrado",IF(I548="Sim","Falso alarme",IF(H548="—","Nenhum defeito apontado","")))</f>
        <v/>
      </c>
    </row>
    <row r="549" customFormat="false" ht="15" hidden="false" customHeight="false" outlineLevel="0" collapsed="false">
      <c r="A549" s="11" t="str">
        <f aca="false">Apontamentos!C549</f>
        <v/>
      </c>
      <c r="B549" s="11" t="str">
        <f aca="false">IF(Apontamentos!$C549="","",Apontamentos!A549&amp;"")</f>
        <v/>
      </c>
      <c r="C549" s="11" t="str">
        <f aca="false">IF(B549="","",IFERROR(INDEX(Execuções!$C$2:$C$97,MATCH(B549,Execuções!$A$2:$A$97,0)),"ID?"))</f>
        <v/>
      </c>
      <c r="D549" s="10" t="str">
        <f aca="false">IF(B549="","",IFERROR(INDEX(Execuções!$B$2:$B$97,MATCH(B549,Execuções!$A$2:$A$97,0)),"ID?"))</f>
        <v/>
      </c>
      <c r="E549" s="11" t="str">
        <f aca="false">IF(B549="","",Apontamentos!D549)</f>
        <v/>
      </c>
      <c r="F549" s="11" t="str">
        <f aca="false">IF(B549="","",Apontamentos!E549)</f>
        <v/>
      </c>
      <c r="G549" s="10" t="str">
        <f aca="false">IF(B549="","",Apontamentos!G549&amp;"")</f>
        <v/>
      </c>
      <c r="H549" s="14" t="str">
        <f aca="false">IF('Avaliador 1'!F549='Avaliador 2'!F549,'Avaliador 1'!F549&amp;"","")</f>
        <v/>
      </c>
      <c r="I549" s="14" t="str">
        <f aca="false">IF('Avaliador 1'!G549='Avaliador 2'!G549,'Avaliador 1'!G549&amp;"","")</f>
        <v/>
      </c>
      <c r="J549" s="14" t="str">
        <f aca="false">IF('Avaliador 1'!H549='Avaliador 2'!H549,'Avaliador 1'!H549&amp;"","")</f>
        <v/>
      </c>
      <c r="K549" s="14" t="str">
        <f aca="false">IF('Avaliador 1'!I549='Avaliador 2'!I549,'Avaliador 1'!I549&amp;"","")</f>
        <v/>
      </c>
      <c r="L549" s="13"/>
      <c r="M549" s="13" t="str">
        <f aca="false">IF('Avaliador 1'!J549='Avaliador 2'!J549,'Avaliador 1'!J549&amp;"","")</f>
        <v/>
      </c>
      <c r="N549" s="11" t="str">
        <f aca="false">IF(OR('Avaliador 1'!F549="",'Avaliador 2'!F549=""),"",IF(AND('Avaliador 1'!F549='Avaliador 2'!F549,'Avaliador 1'!G549='Avaliador 2'!G549,'Avaliador 1'!H549='Avaliador 2'!H549,'Avaliador 1'!I549='Avaliador 2'!I549),"Não","Sim"))</f>
        <v/>
      </c>
      <c r="O549" s="14"/>
      <c r="P549" s="10" t="str">
        <f aca="false">IF(LEN(H549)=3,"Defeito encontrado",IF(I549="Sim","Falso alarme",IF(H549="—","Nenhum defeito apontado","")))</f>
        <v/>
      </c>
    </row>
    <row r="550" customFormat="false" ht="15" hidden="false" customHeight="false" outlineLevel="0" collapsed="false">
      <c r="A550" s="11" t="str">
        <f aca="false">Apontamentos!C550</f>
        <v/>
      </c>
      <c r="B550" s="11" t="str">
        <f aca="false">IF(Apontamentos!$C550="","",Apontamentos!A550&amp;"")</f>
        <v/>
      </c>
      <c r="C550" s="11" t="str">
        <f aca="false">IF(B550="","",IFERROR(INDEX(Execuções!$C$2:$C$97,MATCH(B550,Execuções!$A$2:$A$97,0)),"ID?"))</f>
        <v/>
      </c>
      <c r="D550" s="10" t="str">
        <f aca="false">IF(B550="","",IFERROR(INDEX(Execuções!$B$2:$B$97,MATCH(B550,Execuções!$A$2:$A$97,0)),"ID?"))</f>
        <v/>
      </c>
      <c r="E550" s="11" t="str">
        <f aca="false">IF(B550="","",Apontamentos!D550)</f>
        <v/>
      </c>
      <c r="F550" s="11" t="str">
        <f aca="false">IF(B550="","",Apontamentos!E550)</f>
        <v/>
      </c>
      <c r="G550" s="10" t="str">
        <f aca="false">IF(B550="","",Apontamentos!G550&amp;"")</f>
        <v/>
      </c>
      <c r="H550" s="14" t="str">
        <f aca="false">IF('Avaliador 1'!F550='Avaliador 2'!F550,'Avaliador 1'!F550&amp;"","")</f>
        <v/>
      </c>
      <c r="I550" s="14" t="str">
        <f aca="false">IF('Avaliador 1'!G550='Avaliador 2'!G550,'Avaliador 1'!G550&amp;"","")</f>
        <v/>
      </c>
      <c r="J550" s="14" t="str">
        <f aca="false">IF('Avaliador 1'!H550='Avaliador 2'!H550,'Avaliador 1'!H550&amp;"","")</f>
        <v/>
      </c>
      <c r="K550" s="14" t="str">
        <f aca="false">IF('Avaliador 1'!I550='Avaliador 2'!I550,'Avaliador 1'!I550&amp;"","")</f>
        <v/>
      </c>
      <c r="L550" s="13"/>
      <c r="M550" s="13" t="str">
        <f aca="false">IF('Avaliador 1'!J550='Avaliador 2'!J550,'Avaliador 1'!J550&amp;"","")</f>
        <v/>
      </c>
      <c r="N550" s="11" t="str">
        <f aca="false">IF(OR('Avaliador 1'!F550="",'Avaliador 2'!F550=""),"",IF(AND('Avaliador 1'!F550='Avaliador 2'!F550,'Avaliador 1'!G550='Avaliador 2'!G550,'Avaliador 1'!H550='Avaliador 2'!H550,'Avaliador 1'!I550='Avaliador 2'!I550),"Não","Sim"))</f>
        <v/>
      </c>
      <c r="O550" s="14"/>
      <c r="P550" s="10" t="str">
        <f aca="false">IF(LEN(H550)=3,"Defeito encontrado",IF(I550="Sim","Falso alarme",IF(H550="—","Nenhum defeito apontado","")))</f>
        <v/>
      </c>
    </row>
    <row r="551" customFormat="false" ht="15" hidden="false" customHeight="false" outlineLevel="0" collapsed="false">
      <c r="A551" s="11" t="str">
        <f aca="false">Apontamentos!C551</f>
        <v/>
      </c>
      <c r="B551" s="11" t="str">
        <f aca="false">IF(Apontamentos!$C551="","",Apontamentos!A551&amp;"")</f>
        <v/>
      </c>
      <c r="C551" s="11" t="str">
        <f aca="false">IF(B551="","",IFERROR(INDEX(Execuções!$C$2:$C$97,MATCH(B551,Execuções!$A$2:$A$97,0)),"ID?"))</f>
        <v/>
      </c>
      <c r="D551" s="10" t="str">
        <f aca="false">IF(B551="","",IFERROR(INDEX(Execuções!$B$2:$B$97,MATCH(B551,Execuções!$A$2:$A$97,0)),"ID?"))</f>
        <v/>
      </c>
      <c r="E551" s="11" t="str">
        <f aca="false">IF(B551="","",Apontamentos!D551)</f>
        <v/>
      </c>
      <c r="F551" s="11" t="str">
        <f aca="false">IF(B551="","",Apontamentos!E551)</f>
        <v/>
      </c>
      <c r="G551" s="10" t="str">
        <f aca="false">IF(B551="","",Apontamentos!G551&amp;"")</f>
        <v/>
      </c>
      <c r="H551" s="14" t="str">
        <f aca="false">IF('Avaliador 1'!F551='Avaliador 2'!F551,'Avaliador 1'!F551&amp;"","")</f>
        <v/>
      </c>
      <c r="I551" s="14" t="str">
        <f aca="false">IF('Avaliador 1'!G551='Avaliador 2'!G551,'Avaliador 1'!G551&amp;"","")</f>
        <v/>
      </c>
      <c r="J551" s="14" t="str">
        <f aca="false">IF('Avaliador 1'!H551='Avaliador 2'!H551,'Avaliador 1'!H551&amp;"","")</f>
        <v/>
      </c>
      <c r="K551" s="14" t="str">
        <f aca="false">IF('Avaliador 1'!I551='Avaliador 2'!I551,'Avaliador 1'!I551&amp;"","")</f>
        <v/>
      </c>
      <c r="L551" s="13"/>
      <c r="M551" s="13" t="str">
        <f aca="false">IF('Avaliador 1'!J551='Avaliador 2'!J551,'Avaliador 1'!J551&amp;"","")</f>
        <v/>
      </c>
      <c r="N551" s="11" t="str">
        <f aca="false">IF(OR('Avaliador 1'!F551="",'Avaliador 2'!F551=""),"",IF(AND('Avaliador 1'!F551='Avaliador 2'!F551,'Avaliador 1'!G551='Avaliador 2'!G551,'Avaliador 1'!H551='Avaliador 2'!H551,'Avaliador 1'!I551='Avaliador 2'!I551),"Não","Sim"))</f>
        <v/>
      </c>
      <c r="O551" s="14"/>
      <c r="P551" s="10" t="str">
        <f aca="false">IF(LEN(H551)=3,"Defeito encontrado",IF(I551="Sim","Falso alarme",IF(H551="—","Nenhum defeito apontado","")))</f>
        <v/>
      </c>
    </row>
    <row r="552" customFormat="false" ht="15" hidden="false" customHeight="false" outlineLevel="0" collapsed="false">
      <c r="A552" s="11" t="str">
        <f aca="false">Apontamentos!C552</f>
        <v/>
      </c>
      <c r="B552" s="11" t="str">
        <f aca="false">IF(Apontamentos!$C552="","",Apontamentos!A552&amp;"")</f>
        <v/>
      </c>
      <c r="C552" s="11" t="str">
        <f aca="false">IF(B552="","",IFERROR(INDEX(Execuções!$C$2:$C$97,MATCH(B552,Execuções!$A$2:$A$97,0)),"ID?"))</f>
        <v/>
      </c>
      <c r="D552" s="10" t="str">
        <f aca="false">IF(B552="","",IFERROR(INDEX(Execuções!$B$2:$B$97,MATCH(B552,Execuções!$A$2:$A$97,0)),"ID?"))</f>
        <v/>
      </c>
      <c r="E552" s="11" t="str">
        <f aca="false">IF(B552="","",Apontamentos!D552)</f>
        <v/>
      </c>
      <c r="F552" s="11" t="str">
        <f aca="false">IF(B552="","",Apontamentos!E552)</f>
        <v/>
      </c>
      <c r="G552" s="10" t="str">
        <f aca="false">IF(B552="","",Apontamentos!G552&amp;"")</f>
        <v/>
      </c>
      <c r="H552" s="14" t="str">
        <f aca="false">IF('Avaliador 1'!F552='Avaliador 2'!F552,'Avaliador 1'!F552&amp;"","")</f>
        <v/>
      </c>
      <c r="I552" s="14" t="str">
        <f aca="false">IF('Avaliador 1'!G552='Avaliador 2'!G552,'Avaliador 1'!G552&amp;"","")</f>
        <v/>
      </c>
      <c r="J552" s="14" t="str">
        <f aca="false">IF('Avaliador 1'!H552='Avaliador 2'!H552,'Avaliador 1'!H552&amp;"","")</f>
        <v/>
      </c>
      <c r="K552" s="14" t="str">
        <f aca="false">IF('Avaliador 1'!I552='Avaliador 2'!I552,'Avaliador 1'!I552&amp;"","")</f>
        <v/>
      </c>
      <c r="L552" s="13"/>
      <c r="M552" s="13" t="str">
        <f aca="false">IF('Avaliador 1'!J552='Avaliador 2'!J552,'Avaliador 1'!J552&amp;"","")</f>
        <v/>
      </c>
      <c r="N552" s="11" t="str">
        <f aca="false">IF(OR('Avaliador 1'!F552="",'Avaliador 2'!F552=""),"",IF(AND('Avaliador 1'!F552='Avaliador 2'!F552,'Avaliador 1'!G552='Avaliador 2'!G552,'Avaliador 1'!H552='Avaliador 2'!H552,'Avaliador 1'!I552='Avaliador 2'!I552),"Não","Sim"))</f>
        <v/>
      </c>
      <c r="O552" s="14"/>
      <c r="P552" s="10" t="str">
        <f aca="false">IF(LEN(H552)=3,"Defeito encontrado",IF(I552="Sim","Falso alarme",IF(H552="—","Nenhum defeito apontado","")))</f>
        <v/>
      </c>
    </row>
    <row r="553" customFormat="false" ht="15" hidden="false" customHeight="false" outlineLevel="0" collapsed="false">
      <c r="A553" s="11" t="str">
        <f aca="false">Apontamentos!C553</f>
        <v/>
      </c>
      <c r="B553" s="11" t="str">
        <f aca="false">IF(Apontamentos!$C553="","",Apontamentos!A553&amp;"")</f>
        <v/>
      </c>
      <c r="C553" s="11" t="str">
        <f aca="false">IF(B553="","",IFERROR(INDEX(Execuções!$C$2:$C$97,MATCH(B553,Execuções!$A$2:$A$97,0)),"ID?"))</f>
        <v/>
      </c>
      <c r="D553" s="10" t="str">
        <f aca="false">IF(B553="","",IFERROR(INDEX(Execuções!$B$2:$B$97,MATCH(B553,Execuções!$A$2:$A$97,0)),"ID?"))</f>
        <v/>
      </c>
      <c r="E553" s="11" t="str">
        <f aca="false">IF(B553="","",Apontamentos!D553)</f>
        <v/>
      </c>
      <c r="F553" s="11" t="str">
        <f aca="false">IF(B553="","",Apontamentos!E553)</f>
        <v/>
      </c>
      <c r="G553" s="10" t="str">
        <f aca="false">IF(B553="","",Apontamentos!G553&amp;"")</f>
        <v/>
      </c>
      <c r="H553" s="14" t="str">
        <f aca="false">IF('Avaliador 1'!F553='Avaliador 2'!F553,'Avaliador 1'!F553&amp;"","")</f>
        <v/>
      </c>
      <c r="I553" s="14" t="str">
        <f aca="false">IF('Avaliador 1'!G553='Avaliador 2'!G553,'Avaliador 1'!G553&amp;"","")</f>
        <v/>
      </c>
      <c r="J553" s="14" t="str">
        <f aca="false">IF('Avaliador 1'!H553='Avaliador 2'!H553,'Avaliador 1'!H553&amp;"","")</f>
        <v/>
      </c>
      <c r="K553" s="14" t="str">
        <f aca="false">IF('Avaliador 1'!I553='Avaliador 2'!I553,'Avaliador 1'!I553&amp;"","")</f>
        <v/>
      </c>
      <c r="L553" s="13"/>
      <c r="M553" s="13" t="str">
        <f aca="false">IF('Avaliador 1'!J553='Avaliador 2'!J553,'Avaliador 1'!J553&amp;"","")</f>
        <v/>
      </c>
      <c r="N553" s="11" t="str">
        <f aca="false">IF(OR('Avaliador 1'!F553="",'Avaliador 2'!F553=""),"",IF(AND('Avaliador 1'!F553='Avaliador 2'!F553,'Avaliador 1'!G553='Avaliador 2'!G553,'Avaliador 1'!H553='Avaliador 2'!H553,'Avaliador 1'!I553='Avaliador 2'!I553),"Não","Sim"))</f>
        <v/>
      </c>
      <c r="O553" s="14"/>
      <c r="P553" s="10" t="str">
        <f aca="false">IF(LEN(H553)=3,"Defeito encontrado",IF(I553="Sim","Falso alarme",IF(H553="—","Nenhum defeito apontado","")))</f>
        <v/>
      </c>
    </row>
    <row r="554" customFormat="false" ht="15" hidden="false" customHeight="false" outlineLevel="0" collapsed="false">
      <c r="A554" s="11" t="str">
        <f aca="false">Apontamentos!C554</f>
        <v/>
      </c>
      <c r="B554" s="11" t="str">
        <f aca="false">IF(Apontamentos!$C554="","",Apontamentos!A554&amp;"")</f>
        <v/>
      </c>
      <c r="C554" s="11" t="str">
        <f aca="false">IF(B554="","",IFERROR(INDEX(Execuções!$C$2:$C$97,MATCH(B554,Execuções!$A$2:$A$97,0)),"ID?"))</f>
        <v/>
      </c>
      <c r="D554" s="10" t="str">
        <f aca="false">IF(B554="","",IFERROR(INDEX(Execuções!$B$2:$B$97,MATCH(B554,Execuções!$A$2:$A$97,0)),"ID?"))</f>
        <v/>
      </c>
      <c r="E554" s="11" t="str">
        <f aca="false">IF(B554="","",Apontamentos!D554)</f>
        <v/>
      </c>
      <c r="F554" s="11" t="str">
        <f aca="false">IF(B554="","",Apontamentos!E554)</f>
        <v/>
      </c>
      <c r="G554" s="10" t="str">
        <f aca="false">IF(B554="","",Apontamentos!G554&amp;"")</f>
        <v/>
      </c>
      <c r="H554" s="14" t="str">
        <f aca="false">IF('Avaliador 1'!F554='Avaliador 2'!F554,'Avaliador 1'!F554&amp;"","")</f>
        <v/>
      </c>
      <c r="I554" s="14" t="str">
        <f aca="false">IF('Avaliador 1'!G554='Avaliador 2'!G554,'Avaliador 1'!G554&amp;"","")</f>
        <v/>
      </c>
      <c r="J554" s="14" t="str">
        <f aca="false">IF('Avaliador 1'!H554='Avaliador 2'!H554,'Avaliador 1'!H554&amp;"","")</f>
        <v/>
      </c>
      <c r="K554" s="14" t="str">
        <f aca="false">IF('Avaliador 1'!I554='Avaliador 2'!I554,'Avaliador 1'!I554&amp;"","")</f>
        <v/>
      </c>
      <c r="L554" s="13"/>
      <c r="M554" s="13" t="str">
        <f aca="false">IF('Avaliador 1'!J554='Avaliador 2'!J554,'Avaliador 1'!J554&amp;"","")</f>
        <v/>
      </c>
      <c r="N554" s="11" t="str">
        <f aca="false">IF(OR('Avaliador 1'!F554="",'Avaliador 2'!F554=""),"",IF(AND('Avaliador 1'!F554='Avaliador 2'!F554,'Avaliador 1'!G554='Avaliador 2'!G554,'Avaliador 1'!H554='Avaliador 2'!H554,'Avaliador 1'!I554='Avaliador 2'!I554),"Não","Sim"))</f>
        <v/>
      </c>
      <c r="O554" s="14"/>
      <c r="P554" s="10" t="str">
        <f aca="false">IF(LEN(H554)=3,"Defeito encontrado",IF(I554="Sim","Falso alarme",IF(H554="—","Nenhum defeito apontado","")))</f>
        <v/>
      </c>
    </row>
    <row r="555" customFormat="false" ht="15" hidden="false" customHeight="false" outlineLevel="0" collapsed="false">
      <c r="A555" s="11" t="str">
        <f aca="false">Apontamentos!C555</f>
        <v/>
      </c>
      <c r="B555" s="11" t="str">
        <f aca="false">IF(Apontamentos!$C555="","",Apontamentos!A555&amp;"")</f>
        <v/>
      </c>
      <c r="C555" s="11" t="str">
        <f aca="false">IF(B555="","",IFERROR(INDEX(Execuções!$C$2:$C$97,MATCH(B555,Execuções!$A$2:$A$97,0)),"ID?"))</f>
        <v/>
      </c>
      <c r="D555" s="10" t="str">
        <f aca="false">IF(B555="","",IFERROR(INDEX(Execuções!$B$2:$B$97,MATCH(B555,Execuções!$A$2:$A$97,0)),"ID?"))</f>
        <v/>
      </c>
      <c r="E555" s="11" t="str">
        <f aca="false">IF(B555="","",Apontamentos!D555)</f>
        <v/>
      </c>
      <c r="F555" s="11" t="str">
        <f aca="false">IF(B555="","",Apontamentos!E555)</f>
        <v/>
      </c>
      <c r="G555" s="10" t="str">
        <f aca="false">IF(B555="","",Apontamentos!G555&amp;"")</f>
        <v/>
      </c>
      <c r="H555" s="14" t="str">
        <f aca="false">IF('Avaliador 1'!F555='Avaliador 2'!F555,'Avaliador 1'!F555&amp;"","")</f>
        <v/>
      </c>
      <c r="I555" s="14" t="str">
        <f aca="false">IF('Avaliador 1'!G555='Avaliador 2'!G555,'Avaliador 1'!G555&amp;"","")</f>
        <v/>
      </c>
      <c r="J555" s="14" t="str">
        <f aca="false">IF('Avaliador 1'!H555='Avaliador 2'!H555,'Avaliador 1'!H555&amp;"","")</f>
        <v/>
      </c>
      <c r="K555" s="14" t="str">
        <f aca="false">IF('Avaliador 1'!I555='Avaliador 2'!I555,'Avaliador 1'!I555&amp;"","")</f>
        <v/>
      </c>
      <c r="L555" s="13"/>
      <c r="M555" s="13" t="str">
        <f aca="false">IF('Avaliador 1'!J555='Avaliador 2'!J555,'Avaliador 1'!J555&amp;"","")</f>
        <v/>
      </c>
      <c r="N555" s="11" t="str">
        <f aca="false">IF(OR('Avaliador 1'!F555="",'Avaliador 2'!F555=""),"",IF(AND('Avaliador 1'!F555='Avaliador 2'!F555,'Avaliador 1'!G555='Avaliador 2'!G555,'Avaliador 1'!H555='Avaliador 2'!H555,'Avaliador 1'!I555='Avaliador 2'!I555),"Não","Sim"))</f>
        <v/>
      </c>
      <c r="O555" s="14"/>
      <c r="P555" s="10" t="str">
        <f aca="false">IF(LEN(H555)=3,"Defeito encontrado",IF(I555="Sim","Falso alarme",IF(H555="—","Nenhum defeito apontado","")))</f>
        <v/>
      </c>
    </row>
    <row r="556" customFormat="false" ht="15" hidden="false" customHeight="false" outlineLevel="0" collapsed="false">
      <c r="A556" s="11" t="str">
        <f aca="false">Apontamentos!C556</f>
        <v/>
      </c>
      <c r="B556" s="11" t="str">
        <f aca="false">IF(Apontamentos!$C556="","",Apontamentos!A556&amp;"")</f>
        <v/>
      </c>
      <c r="C556" s="11" t="str">
        <f aca="false">IF(B556="","",IFERROR(INDEX(Execuções!$C$2:$C$97,MATCH(B556,Execuções!$A$2:$A$97,0)),"ID?"))</f>
        <v/>
      </c>
      <c r="D556" s="10" t="str">
        <f aca="false">IF(B556="","",IFERROR(INDEX(Execuções!$B$2:$B$97,MATCH(B556,Execuções!$A$2:$A$97,0)),"ID?"))</f>
        <v/>
      </c>
      <c r="E556" s="11" t="str">
        <f aca="false">IF(B556="","",Apontamentos!D556)</f>
        <v/>
      </c>
      <c r="F556" s="11" t="str">
        <f aca="false">IF(B556="","",Apontamentos!E556)</f>
        <v/>
      </c>
      <c r="G556" s="10" t="str">
        <f aca="false">IF(B556="","",Apontamentos!G556&amp;"")</f>
        <v/>
      </c>
      <c r="H556" s="14" t="str">
        <f aca="false">IF('Avaliador 1'!F556='Avaliador 2'!F556,'Avaliador 1'!F556&amp;"","")</f>
        <v/>
      </c>
      <c r="I556" s="14" t="str">
        <f aca="false">IF('Avaliador 1'!G556='Avaliador 2'!G556,'Avaliador 1'!G556&amp;"","")</f>
        <v/>
      </c>
      <c r="J556" s="14" t="str">
        <f aca="false">IF('Avaliador 1'!H556='Avaliador 2'!H556,'Avaliador 1'!H556&amp;"","")</f>
        <v/>
      </c>
      <c r="K556" s="14" t="str">
        <f aca="false">IF('Avaliador 1'!I556='Avaliador 2'!I556,'Avaliador 1'!I556&amp;"","")</f>
        <v/>
      </c>
      <c r="L556" s="13"/>
      <c r="M556" s="13" t="str">
        <f aca="false">IF('Avaliador 1'!J556='Avaliador 2'!J556,'Avaliador 1'!J556&amp;"","")</f>
        <v/>
      </c>
      <c r="N556" s="11" t="str">
        <f aca="false">IF(OR('Avaliador 1'!F556="",'Avaliador 2'!F556=""),"",IF(AND('Avaliador 1'!F556='Avaliador 2'!F556,'Avaliador 1'!G556='Avaliador 2'!G556,'Avaliador 1'!H556='Avaliador 2'!H556,'Avaliador 1'!I556='Avaliador 2'!I556),"Não","Sim"))</f>
        <v/>
      </c>
      <c r="O556" s="14"/>
      <c r="P556" s="10" t="str">
        <f aca="false">IF(LEN(H556)=3,"Defeito encontrado",IF(I556="Sim","Falso alarme",IF(H556="—","Nenhum defeito apontado","")))</f>
        <v/>
      </c>
    </row>
    <row r="557" customFormat="false" ht="15" hidden="false" customHeight="false" outlineLevel="0" collapsed="false">
      <c r="A557" s="11" t="str">
        <f aca="false">Apontamentos!C557</f>
        <v/>
      </c>
      <c r="B557" s="11" t="str">
        <f aca="false">IF(Apontamentos!$C557="","",Apontamentos!A557&amp;"")</f>
        <v/>
      </c>
      <c r="C557" s="11" t="str">
        <f aca="false">IF(B557="","",IFERROR(INDEX(Execuções!$C$2:$C$97,MATCH(B557,Execuções!$A$2:$A$97,0)),"ID?"))</f>
        <v/>
      </c>
      <c r="D557" s="10" t="str">
        <f aca="false">IF(B557="","",IFERROR(INDEX(Execuções!$B$2:$B$97,MATCH(B557,Execuções!$A$2:$A$97,0)),"ID?"))</f>
        <v/>
      </c>
      <c r="E557" s="11" t="str">
        <f aca="false">IF(B557="","",Apontamentos!D557)</f>
        <v/>
      </c>
      <c r="F557" s="11" t="str">
        <f aca="false">IF(B557="","",Apontamentos!E557)</f>
        <v/>
      </c>
      <c r="G557" s="10" t="str">
        <f aca="false">IF(B557="","",Apontamentos!G557&amp;"")</f>
        <v/>
      </c>
      <c r="H557" s="14" t="str">
        <f aca="false">IF('Avaliador 1'!F557='Avaliador 2'!F557,'Avaliador 1'!F557&amp;"","")</f>
        <v/>
      </c>
      <c r="I557" s="14" t="str">
        <f aca="false">IF('Avaliador 1'!G557='Avaliador 2'!G557,'Avaliador 1'!G557&amp;"","")</f>
        <v/>
      </c>
      <c r="J557" s="14" t="str">
        <f aca="false">IF('Avaliador 1'!H557='Avaliador 2'!H557,'Avaliador 1'!H557&amp;"","")</f>
        <v/>
      </c>
      <c r="K557" s="14" t="str">
        <f aca="false">IF('Avaliador 1'!I557='Avaliador 2'!I557,'Avaliador 1'!I557&amp;"","")</f>
        <v/>
      </c>
      <c r="L557" s="13"/>
      <c r="M557" s="13" t="str">
        <f aca="false">IF('Avaliador 1'!J557='Avaliador 2'!J557,'Avaliador 1'!J557&amp;"","")</f>
        <v/>
      </c>
      <c r="N557" s="11" t="str">
        <f aca="false">IF(OR('Avaliador 1'!F557="",'Avaliador 2'!F557=""),"",IF(AND('Avaliador 1'!F557='Avaliador 2'!F557,'Avaliador 1'!G557='Avaliador 2'!G557,'Avaliador 1'!H557='Avaliador 2'!H557,'Avaliador 1'!I557='Avaliador 2'!I557),"Não","Sim"))</f>
        <v/>
      </c>
      <c r="O557" s="14"/>
      <c r="P557" s="10" t="str">
        <f aca="false">IF(LEN(H557)=3,"Defeito encontrado",IF(I557="Sim","Falso alarme",IF(H557="—","Nenhum defeito apontado","")))</f>
        <v/>
      </c>
    </row>
    <row r="558" customFormat="false" ht="15" hidden="false" customHeight="false" outlineLevel="0" collapsed="false">
      <c r="A558" s="11" t="str">
        <f aca="false">Apontamentos!C558</f>
        <v/>
      </c>
      <c r="B558" s="11" t="str">
        <f aca="false">IF(Apontamentos!$C558="","",Apontamentos!A558&amp;"")</f>
        <v/>
      </c>
      <c r="C558" s="11" t="str">
        <f aca="false">IF(B558="","",IFERROR(INDEX(Execuções!$C$2:$C$97,MATCH(B558,Execuções!$A$2:$A$97,0)),"ID?"))</f>
        <v/>
      </c>
      <c r="D558" s="10" t="str">
        <f aca="false">IF(B558="","",IFERROR(INDEX(Execuções!$B$2:$B$97,MATCH(B558,Execuções!$A$2:$A$97,0)),"ID?"))</f>
        <v/>
      </c>
      <c r="E558" s="11" t="str">
        <f aca="false">IF(B558="","",Apontamentos!D558)</f>
        <v/>
      </c>
      <c r="F558" s="11" t="str">
        <f aca="false">IF(B558="","",Apontamentos!E558)</f>
        <v/>
      </c>
      <c r="G558" s="10" t="str">
        <f aca="false">IF(B558="","",Apontamentos!G558&amp;"")</f>
        <v/>
      </c>
      <c r="H558" s="14" t="str">
        <f aca="false">IF('Avaliador 1'!F558='Avaliador 2'!F558,'Avaliador 1'!F558&amp;"","")</f>
        <v/>
      </c>
      <c r="I558" s="14" t="str">
        <f aca="false">IF('Avaliador 1'!G558='Avaliador 2'!G558,'Avaliador 1'!G558&amp;"","")</f>
        <v/>
      </c>
      <c r="J558" s="14" t="str">
        <f aca="false">IF('Avaliador 1'!H558='Avaliador 2'!H558,'Avaliador 1'!H558&amp;"","")</f>
        <v/>
      </c>
      <c r="K558" s="14" t="str">
        <f aca="false">IF('Avaliador 1'!I558='Avaliador 2'!I558,'Avaliador 1'!I558&amp;"","")</f>
        <v/>
      </c>
      <c r="L558" s="13"/>
      <c r="M558" s="13" t="str">
        <f aca="false">IF('Avaliador 1'!J558='Avaliador 2'!J558,'Avaliador 1'!J558&amp;"","")</f>
        <v/>
      </c>
      <c r="N558" s="11" t="str">
        <f aca="false">IF(OR('Avaliador 1'!F558="",'Avaliador 2'!F558=""),"",IF(AND('Avaliador 1'!F558='Avaliador 2'!F558,'Avaliador 1'!G558='Avaliador 2'!G558,'Avaliador 1'!H558='Avaliador 2'!H558,'Avaliador 1'!I558='Avaliador 2'!I558),"Não","Sim"))</f>
        <v/>
      </c>
      <c r="O558" s="14"/>
      <c r="P558" s="10" t="str">
        <f aca="false">IF(LEN(H558)=3,"Defeito encontrado",IF(I558="Sim","Falso alarme",IF(H558="—","Nenhum defeito apontado","")))</f>
        <v/>
      </c>
    </row>
    <row r="559" customFormat="false" ht="15" hidden="false" customHeight="false" outlineLevel="0" collapsed="false">
      <c r="A559" s="11" t="str">
        <f aca="false">Apontamentos!C559</f>
        <v/>
      </c>
      <c r="B559" s="11" t="str">
        <f aca="false">IF(Apontamentos!$C559="","",Apontamentos!A559&amp;"")</f>
        <v/>
      </c>
      <c r="C559" s="11" t="str">
        <f aca="false">IF(B559="","",IFERROR(INDEX(Execuções!$C$2:$C$97,MATCH(B559,Execuções!$A$2:$A$97,0)),"ID?"))</f>
        <v/>
      </c>
      <c r="D559" s="10" t="str">
        <f aca="false">IF(B559="","",IFERROR(INDEX(Execuções!$B$2:$B$97,MATCH(B559,Execuções!$A$2:$A$97,0)),"ID?"))</f>
        <v/>
      </c>
      <c r="E559" s="11" t="str">
        <f aca="false">IF(B559="","",Apontamentos!D559)</f>
        <v/>
      </c>
      <c r="F559" s="11" t="str">
        <f aca="false">IF(B559="","",Apontamentos!E559)</f>
        <v/>
      </c>
      <c r="G559" s="10" t="str">
        <f aca="false">IF(B559="","",Apontamentos!G559&amp;"")</f>
        <v/>
      </c>
      <c r="H559" s="14" t="str">
        <f aca="false">IF('Avaliador 1'!F559='Avaliador 2'!F559,'Avaliador 1'!F559&amp;"","")</f>
        <v/>
      </c>
      <c r="I559" s="14" t="str">
        <f aca="false">IF('Avaliador 1'!G559='Avaliador 2'!G559,'Avaliador 1'!G559&amp;"","")</f>
        <v/>
      </c>
      <c r="J559" s="14" t="str">
        <f aca="false">IF('Avaliador 1'!H559='Avaliador 2'!H559,'Avaliador 1'!H559&amp;"","")</f>
        <v/>
      </c>
      <c r="K559" s="14" t="str">
        <f aca="false">IF('Avaliador 1'!I559='Avaliador 2'!I559,'Avaliador 1'!I559&amp;"","")</f>
        <v/>
      </c>
      <c r="L559" s="13"/>
      <c r="M559" s="13" t="str">
        <f aca="false">IF('Avaliador 1'!J559='Avaliador 2'!J559,'Avaliador 1'!J559&amp;"","")</f>
        <v/>
      </c>
      <c r="N559" s="11" t="str">
        <f aca="false">IF(OR('Avaliador 1'!F559="",'Avaliador 2'!F559=""),"",IF(AND('Avaliador 1'!F559='Avaliador 2'!F559,'Avaliador 1'!G559='Avaliador 2'!G559,'Avaliador 1'!H559='Avaliador 2'!H559,'Avaliador 1'!I559='Avaliador 2'!I559),"Não","Sim"))</f>
        <v/>
      </c>
      <c r="O559" s="14"/>
      <c r="P559" s="10" t="str">
        <f aca="false">IF(LEN(H559)=3,"Defeito encontrado",IF(I559="Sim","Falso alarme",IF(H559="—","Nenhum defeito apontado","")))</f>
        <v/>
      </c>
    </row>
    <row r="560" customFormat="false" ht="15" hidden="false" customHeight="false" outlineLevel="0" collapsed="false">
      <c r="A560" s="11" t="str">
        <f aca="false">Apontamentos!C560</f>
        <v/>
      </c>
      <c r="B560" s="11" t="str">
        <f aca="false">IF(Apontamentos!$C560="","",Apontamentos!A560&amp;"")</f>
        <v/>
      </c>
      <c r="C560" s="11" t="str">
        <f aca="false">IF(B560="","",IFERROR(INDEX(Execuções!$C$2:$C$97,MATCH(B560,Execuções!$A$2:$A$97,0)),"ID?"))</f>
        <v/>
      </c>
      <c r="D560" s="10" t="str">
        <f aca="false">IF(B560="","",IFERROR(INDEX(Execuções!$B$2:$B$97,MATCH(B560,Execuções!$A$2:$A$97,0)),"ID?"))</f>
        <v/>
      </c>
      <c r="E560" s="11" t="str">
        <f aca="false">IF(B560="","",Apontamentos!D560)</f>
        <v/>
      </c>
      <c r="F560" s="11" t="str">
        <f aca="false">IF(B560="","",Apontamentos!E560)</f>
        <v/>
      </c>
      <c r="G560" s="10" t="str">
        <f aca="false">IF(B560="","",Apontamentos!G560&amp;"")</f>
        <v/>
      </c>
      <c r="H560" s="14" t="str">
        <f aca="false">IF('Avaliador 1'!F560='Avaliador 2'!F560,'Avaliador 1'!F560&amp;"","")</f>
        <v/>
      </c>
      <c r="I560" s="14" t="str">
        <f aca="false">IF('Avaliador 1'!G560='Avaliador 2'!G560,'Avaliador 1'!G560&amp;"","")</f>
        <v/>
      </c>
      <c r="J560" s="14" t="str">
        <f aca="false">IF('Avaliador 1'!H560='Avaliador 2'!H560,'Avaliador 1'!H560&amp;"","")</f>
        <v/>
      </c>
      <c r="K560" s="14" t="str">
        <f aca="false">IF('Avaliador 1'!I560='Avaliador 2'!I560,'Avaliador 1'!I560&amp;"","")</f>
        <v/>
      </c>
      <c r="L560" s="13"/>
      <c r="M560" s="13" t="str">
        <f aca="false">IF('Avaliador 1'!J560='Avaliador 2'!J560,'Avaliador 1'!J560&amp;"","")</f>
        <v/>
      </c>
      <c r="N560" s="11" t="str">
        <f aca="false">IF(OR('Avaliador 1'!F560="",'Avaliador 2'!F560=""),"",IF(AND('Avaliador 1'!F560='Avaliador 2'!F560,'Avaliador 1'!G560='Avaliador 2'!G560,'Avaliador 1'!H560='Avaliador 2'!H560,'Avaliador 1'!I560='Avaliador 2'!I560),"Não","Sim"))</f>
        <v/>
      </c>
      <c r="O560" s="14"/>
      <c r="P560" s="10" t="str">
        <f aca="false">IF(LEN(H560)=3,"Defeito encontrado",IF(I560="Sim","Falso alarme",IF(H560="—","Nenhum defeito apontado","")))</f>
        <v/>
      </c>
    </row>
    <row r="561" customFormat="false" ht="15" hidden="false" customHeight="false" outlineLevel="0" collapsed="false">
      <c r="A561" s="11" t="str">
        <f aca="false">Apontamentos!C561</f>
        <v/>
      </c>
      <c r="B561" s="11" t="str">
        <f aca="false">IF(Apontamentos!$C561="","",Apontamentos!A561&amp;"")</f>
        <v/>
      </c>
      <c r="C561" s="11" t="str">
        <f aca="false">IF(B561="","",IFERROR(INDEX(Execuções!$C$2:$C$97,MATCH(B561,Execuções!$A$2:$A$97,0)),"ID?"))</f>
        <v/>
      </c>
      <c r="D561" s="10" t="str">
        <f aca="false">IF(B561="","",IFERROR(INDEX(Execuções!$B$2:$B$97,MATCH(B561,Execuções!$A$2:$A$97,0)),"ID?"))</f>
        <v/>
      </c>
      <c r="E561" s="11" t="str">
        <f aca="false">IF(B561="","",Apontamentos!D561)</f>
        <v/>
      </c>
      <c r="F561" s="11" t="str">
        <f aca="false">IF(B561="","",Apontamentos!E561)</f>
        <v/>
      </c>
      <c r="G561" s="10" t="str">
        <f aca="false">IF(B561="","",Apontamentos!G561&amp;"")</f>
        <v/>
      </c>
      <c r="H561" s="14" t="str">
        <f aca="false">IF('Avaliador 1'!F561='Avaliador 2'!F561,'Avaliador 1'!F561&amp;"","")</f>
        <v/>
      </c>
      <c r="I561" s="14" t="str">
        <f aca="false">IF('Avaliador 1'!G561='Avaliador 2'!G561,'Avaliador 1'!G561&amp;"","")</f>
        <v/>
      </c>
      <c r="J561" s="14" t="str">
        <f aca="false">IF('Avaliador 1'!H561='Avaliador 2'!H561,'Avaliador 1'!H561&amp;"","")</f>
        <v/>
      </c>
      <c r="K561" s="14" t="str">
        <f aca="false">IF('Avaliador 1'!I561='Avaliador 2'!I561,'Avaliador 1'!I561&amp;"","")</f>
        <v/>
      </c>
      <c r="L561" s="13"/>
      <c r="M561" s="13" t="str">
        <f aca="false">IF('Avaliador 1'!J561='Avaliador 2'!J561,'Avaliador 1'!J561&amp;"","")</f>
        <v/>
      </c>
      <c r="N561" s="11" t="str">
        <f aca="false">IF(OR('Avaliador 1'!F561="",'Avaliador 2'!F561=""),"",IF(AND('Avaliador 1'!F561='Avaliador 2'!F561,'Avaliador 1'!G561='Avaliador 2'!G561,'Avaliador 1'!H561='Avaliador 2'!H561,'Avaliador 1'!I561='Avaliador 2'!I561),"Não","Sim"))</f>
        <v/>
      </c>
      <c r="O561" s="14"/>
      <c r="P561" s="10" t="str">
        <f aca="false">IF(LEN(H561)=3,"Defeito encontrado",IF(I561="Sim","Falso alarme",IF(H561="—","Nenhum defeito apontado","")))</f>
        <v/>
      </c>
    </row>
    <row r="562" customFormat="false" ht="15" hidden="false" customHeight="false" outlineLevel="0" collapsed="false">
      <c r="A562" s="11" t="str">
        <f aca="false">Apontamentos!C562</f>
        <v/>
      </c>
      <c r="B562" s="11" t="str">
        <f aca="false">IF(Apontamentos!$C562="","",Apontamentos!A562&amp;"")</f>
        <v/>
      </c>
      <c r="C562" s="11" t="str">
        <f aca="false">IF(B562="","",IFERROR(INDEX(Execuções!$C$2:$C$97,MATCH(B562,Execuções!$A$2:$A$97,0)),"ID?"))</f>
        <v/>
      </c>
      <c r="D562" s="10" t="str">
        <f aca="false">IF(B562="","",IFERROR(INDEX(Execuções!$B$2:$B$97,MATCH(B562,Execuções!$A$2:$A$97,0)),"ID?"))</f>
        <v/>
      </c>
      <c r="E562" s="11" t="str">
        <f aca="false">IF(B562="","",Apontamentos!D562)</f>
        <v/>
      </c>
      <c r="F562" s="11" t="str">
        <f aca="false">IF(B562="","",Apontamentos!E562)</f>
        <v/>
      </c>
      <c r="G562" s="10" t="str">
        <f aca="false">IF(B562="","",Apontamentos!G562&amp;"")</f>
        <v/>
      </c>
      <c r="H562" s="14" t="str">
        <f aca="false">IF('Avaliador 1'!F562='Avaliador 2'!F562,'Avaliador 1'!F562&amp;"","")</f>
        <v/>
      </c>
      <c r="I562" s="14" t="str">
        <f aca="false">IF('Avaliador 1'!G562='Avaliador 2'!G562,'Avaliador 1'!G562&amp;"","")</f>
        <v/>
      </c>
      <c r="J562" s="14" t="str">
        <f aca="false">IF('Avaliador 1'!H562='Avaliador 2'!H562,'Avaliador 1'!H562&amp;"","")</f>
        <v/>
      </c>
      <c r="K562" s="14" t="str">
        <f aca="false">IF('Avaliador 1'!I562='Avaliador 2'!I562,'Avaliador 1'!I562&amp;"","")</f>
        <v/>
      </c>
      <c r="L562" s="13"/>
      <c r="M562" s="13" t="str">
        <f aca="false">IF('Avaliador 1'!J562='Avaliador 2'!J562,'Avaliador 1'!J562&amp;"","")</f>
        <v/>
      </c>
      <c r="N562" s="11" t="str">
        <f aca="false">IF(OR('Avaliador 1'!F562="",'Avaliador 2'!F562=""),"",IF(AND('Avaliador 1'!F562='Avaliador 2'!F562,'Avaliador 1'!G562='Avaliador 2'!G562,'Avaliador 1'!H562='Avaliador 2'!H562,'Avaliador 1'!I562='Avaliador 2'!I562),"Não","Sim"))</f>
        <v/>
      </c>
      <c r="O562" s="14"/>
      <c r="P562" s="10" t="str">
        <f aca="false">IF(LEN(H562)=3,"Defeito encontrado",IF(I562="Sim","Falso alarme",IF(H562="—","Nenhum defeito apontado","")))</f>
        <v/>
      </c>
    </row>
    <row r="563" customFormat="false" ht="15" hidden="false" customHeight="false" outlineLevel="0" collapsed="false">
      <c r="A563" s="11" t="str">
        <f aca="false">Apontamentos!C563</f>
        <v/>
      </c>
      <c r="B563" s="11" t="str">
        <f aca="false">IF(Apontamentos!$C563="","",Apontamentos!A563&amp;"")</f>
        <v/>
      </c>
      <c r="C563" s="11" t="str">
        <f aca="false">IF(B563="","",IFERROR(INDEX(Execuções!$C$2:$C$97,MATCH(B563,Execuções!$A$2:$A$97,0)),"ID?"))</f>
        <v/>
      </c>
      <c r="D563" s="10" t="str">
        <f aca="false">IF(B563="","",IFERROR(INDEX(Execuções!$B$2:$B$97,MATCH(B563,Execuções!$A$2:$A$97,0)),"ID?"))</f>
        <v/>
      </c>
      <c r="E563" s="11" t="str">
        <f aca="false">IF(B563="","",Apontamentos!D563)</f>
        <v/>
      </c>
      <c r="F563" s="11" t="str">
        <f aca="false">IF(B563="","",Apontamentos!E563)</f>
        <v/>
      </c>
      <c r="G563" s="10" t="str">
        <f aca="false">IF(B563="","",Apontamentos!G563&amp;"")</f>
        <v/>
      </c>
      <c r="H563" s="14" t="str">
        <f aca="false">IF('Avaliador 1'!F563='Avaliador 2'!F563,'Avaliador 1'!F563&amp;"","")</f>
        <v/>
      </c>
      <c r="I563" s="14" t="str">
        <f aca="false">IF('Avaliador 1'!G563='Avaliador 2'!G563,'Avaliador 1'!G563&amp;"","")</f>
        <v/>
      </c>
      <c r="J563" s="14" t="str">
        <f aca="false">IF('Avaliador 1'!H563='Avaliador 2'!H563,'Avaliador 1'!H563&amp;"","")</f>
        <v/>
      </c>
      <c r="K563" s="14" t="str">
        <f aca="false">IF('Avaliador 1'!I563='Avaliador 2'!I563,'Avaliador 1'!I563&amp;"","")</f>
        <v/>
      </c>
      <c r="L563" s="13"/>
      <c r="M563" s="13" t="str">
        <f aca="false">IF('Avaliador 1'!J563='Avaliador 2'!J563,'Avaliador 1'!J563&amp;"","")</f>
        <v/>
      </c>
      <c r="N563" s="11" t="str">
        <f aca="false">IF(OR('Avaliador 1'!F563="",'Avaliador 2'!F563=""),"",IF(AND('Avaliador 1'!F563='Avaliador 2'!F563,'Avaliador 1'!G563='Avaliador 2'!G563,'Avaliador 1'!H563='Avaliador 2'!H563,'Avaliador 1'!I563='Avaliador 2'!I563),"Não","Sim"))</f>
        <v/>
      </c>
      <c r="O563" s="14"/>
      <c r="P563" s="10" t="str">
        <f aca="false">IF(LEN(H563)=3,"Defeito encontrado",IF(I563="Sim","Falso alarme",IF(H563="—","Nenhum defeito apontado","")))</f>
        <v/>
      </c>
    </row>
    <row r="564" customFormat="false" ht="15" hidden="false" customHeight="false" outlineLevel="0" collapsed="false">
      <c r="A564" s="11" t="str">
        <f aca="false">Apontamentos!C564</f>
        <v/>
      </c>
      <c r="B564" s="11" t="str">
        <f aca="false">IF(Apontamentos!$C564="","",Apontamentos!A564&amp;"")</f>
        <v/>
      </c>
      <c r="C564" s="11" t="str">
        <f aca="false">IF(B564="","",IFERROR(INDEX(Execuções!$C$2:$C$97,MATCH(B564,Execuções!$A$2:$A$97,0)),"ID?"))</f>
        <v/>
      </c>
      <c r="D564" s="10" t="str">
        <f aca="false">IF(B564="","",IFERROR(INDEX(Execuções!$B$2:$B$97,MATCH(B564,Execuções!$A$2:$A$97,0)),"ID?"))</f>
        <v/>
      </c>
      <c r="E564" s="11" t="str">
        <f aca="false">IF(B564="","",Apontamentos!D564)</f>
        <v/>
      </c>
      <c r="F564" s="11" t="str">
        <f aca="false">IF(B564="","",Apontamentos!E564)</f>
        <v/>
      </c>
      <c r="G564" s="10" t="str">
        <f aca="false">IF(B564="","",Apontamentos!G564&amp;"")</f>
        <v/>
      </c>
      <c r="H564" s="14" t="str">
        <f aca="false">IF('Avaliador 1'!F564='Avaliador 2'!F564,'Avaliador 1'!F564&amp;"","")</f>
        <v/>
      </c>
      <c r="I564" s="14" t="str">
        <f aca="false">IF('Avaliador 1'!G564='Avaliador 2'!G564,'Avaliador 1'!G564&amp;"","")</f>
        <v/>
      </c>
      <c r="J564" s="14" t="str">
        <f aca="false">IF('Avaliador 1'!H564='Avaliador 2'!H564,'Avaliador 1'!H564&amp;"","")</f>
        <v/>
      </c>
      <c r="K564" s="14" t="str">
        <f aca="false">IF('Avaliador 1'!I564='Avaliador 2'!I564,'Avaliador 1'!I564&amp;"","")</f>
        <v/>
      </c>
      <c r="L564" s="13"/>
      <c r="M564" s="13" t="str">
        <f aca="false">IF('Avaliador 1'!J564='Avaliador 2'!J564,'Avaliador 1'!J564&amp;"","")</f>
        <v/>
      </c>
      <c r="N564" s="11" t="str">
        <f aca="false">IF(OR('Avaliador 1'!F564="",'Avaliador 2'!F564=""),"",IF(AND('Avaliador 1'!F564='Avaliador 2'!F564,'Avaliador 1'!G564='Avaliador 2'!G564,'Avaliador 1'!H564='Avaliador 2'!H564,'Avaliador 1'!I564='Avaliador 2'!I564),"Não","Sim"))</f>
        <v/>
      </c>
      <c r="O564" s="14"/>
      <c r="P564" s="10" t="str">
        <f aca="false">IF(LEN(H564)=3,"Defeito encontrado",IF(I564="Sim","Falso alarme",IF(H564="—","Nenhum defeito apontado","")))</f>
        <v/>
      </c>
    </row>
    <row r="565" customFormat="false" ht="15" hidden="false" customHeight="false" outlineLevel="0" collapsed="false">
      <c r="A565" s="11" t="str">
        <f aca="false">Apontamentos!C565</f>
        <v/>
      </c>
      <c r="B565" s="11" t="str">
        <f aca="false">IF(Apontamentos!$C565="","",Apontamentos!A565&amp;"")</f>
        <v/>
      </c>
      <c r="C565" s="11" t="str">
        <f aca="false">IF(B565="","",IFERROR(INDEX(Execuções!$C$2:$C$97,MATCH(B565,Execuções!$A$2:$A$97,0)),"ID?"))</f>
        <v/>
      </c>
      <c r="D565" s="10" t="str">
        <f aca="false">IF(B565="","",IFERROR(INDEX(Execuções!$B$2:$B$97,MATCH(B565,Execuções!$A$2:$A$97,0)),"ID?"))</f>
        <v/>
      </c>
      <c r="E565" s="11" t="str">
        <f aca="false">IF(B565="","",Apontamentos!D565)</f>
        <v/>
      </c>
      <c r="F565" s="11" t="str">
        <f aca="false">IF(B565="","",Apontamentos!E565)</f>
        <v/>
      </c>
      <c r="G565" s="10" t="str">
        <f aca="false">IF(B565="","",Apontamentos!G565&amp;"")</f>
        <v/>
      </c>
      <c r="H565" s="14" t="str">
        <f aca="false">IF('Avaliador 1'!F565='Avaliador 2'!F565,'Avaliador 1'!F565&amp;"","")</f>
        <v/>
      </c>
      <c r="I565" s="14" t="str">
        <f aca="false">IF('Avaliador 1'!G565='Avaliador 2'!G565,'Avaliador 1'!G565&amp;"","")</f>
        <v/>
      </c>
      <c r="J565" s="14" t="str">
        <f aca="false">IF('Avaliador 1'!H565='Avaliador 2'!H565,'Avaliador 1'!H565&amp;"","")</f>
        <v/>
      </c>
      <c r="K565" s="14" t="str">
        <f aca="false">IF('Avaliador 1'!I565='Avaliador 2'!I565,'Avaliador 1'!I565&amp;"","")</f>
        <v/>
      </c>
      <c r="L565" s="13"/>
      <c r="M565" s="13" t="str">
        <f aca="false">IF('Avaliador 1'!J565='Avaliador 2'!J565,'Avaliador 1'!J565&amp;"","")</f>
        <v/>
      </c>
      <c r="N565" s="11" t="str">
        <f aca="false">IF(OR('Avaliador 1'!F565="",'Avaliador 2'!F565=""),"",IF(AND('Avaliador 1'!F565='Avaliador 2'!F565,'Avaliador 1'!G565='Avaliador 2'!G565,'Avaliador 1'!H565='Avaliador 2'!H565,'Avaliador 1'!I565='Avaliador 2'!I565),"Não","Sim"))</f>
        <v/>
      </c>
      <c r="O565" s="14"/>
      <c r="P565" s="10" t="str">
        <f aca="false">IF(LEN(H565)=3,"Defeito encontrado",IF(I565="Sim","Falso alarme",IF(H565="—","Nenhum defeito apontado","")))</f>
        <v/>
      </c>
    </row>
    <row r="566" customFormat="false" ht="15" hidden="false" customHeight="false" outlineLevel="0" collapsed="false">
      <c r="A566" s="11" t="str">
        <f aca="false">Apontamentos!C566</f>
        <v/>
      </c>
      <c r="B566" s="11" t="str">
        <f aca="false">IF(Apontamentos!$C566="","",Apontamentos!A566&amp;"")</f>
        <v/>
      </c>
      <c r="C566" s="11" t="str">
        <f aca="false">IF(B566="","",IFERROR(INDEX(Execuções!$C$2:$C$97,MATCH(B566,Execuções!$A$2:$A$97,0)),"ID?"))</f>
        <v/>
      </c>
      <c r="D566" s="10" t="str">
        <f aca="false">IF(B566="","",IFERROR(INDEX(Execuções!$B$2:$B$97,MATCH(B566,Execuções!$A$2:$A$97,0)),"ID?"))</f>
        <v/>
      </c>
      <c r="E566" s="11" t="str">
        <f aca="false">IF(B566="","",Apontamentos!D566)</f>
        <v/>
      </c>
      <c r="F566" s="11" t="str">
        <f aca="false">IF(B566="","",Apontamentos!E566)</f>
        <v/>
      </c>
      <c r="G566" s="10" t="str">
        <f aca="false">IF(B566="","",Apontamentos!G566&amp;"")</f>
        <v/>
      </c>
      <c r="H566" s="14" t="str">
        <f aca="false">IF('Avaliador 1'!F566='Avaliador 2'!F566,'Avaliador 1'!F566&amp;"","")</f>
        <v/>
      </c>
      <c r="I566" s="14" t="str">
        <f aca="false">IF('Avaliador 1'!G566='Avaliador 2'!G566,'Avaliador 1'!G566&amp;"","")</f>
        <v/>
      </c>
      <c r="J566" s="14" t="str">
        <f aca="false">IF('Avaliador 1'!H566='Avaliador 2'!H566,'Avaliador 1'!H566&amp;"","")</f>
        <v/>
      </c>
      <c r="K566" s="14" t="str">
        <f aca="false">IF('Avaliador 1'!I566='Avaliador 2'!I566,'Avaliador 1'!I566&amp;"","")</f>
        <v/>
      </c>
      <c r="L566" s="13"/>
      <c r="M566" s="13" t="str">
        <f aca="false">IF('Avaliador 1'!J566='Avaliador 2'!J566,'Avaliador 1'!J566&amp;"","")</f>
        <v/>
      </c>
      <c r="N566" s="11" t="str">
        <f aca="false">IF(OR('Avaliador 1'!F566="",'Avaliador 2'!F566=""),"",IF(AND('Avaliador 1'!F566='Avaliador 2'!F566,'Avaliador 1'!G566='Avaliador 2'!G566,'Avaliador 1'!H566='Avaliador 2'!H566,'Avaliador 1'!I566='Avaliador 2'!I566),"Não","Sim"))</f>
        <v/>
      </c>
      <c r="O566" s="14"/>
      <c r="P566" s="10" t="str">
        <f aca="false">IF(LEN(H566)=3,"Defeito encontrado",IF(I566="Sim","Falso alarme",IF(H566="—","Nenhum defeito apontado","")))</f>
        <v/>
      </c>
    </row>
    <row r="567" customFormat="false" ht="15" hidden="false" customHeight="false" outlineLevel="0" collapsed="false">
      <c r="A567" s="11" t="str">
        <f aca="false">Apontamentos!C567</f>
        <v/>
      </c>
      <c r="B567" s="11" t="str">
        <f aca="false">IF(Apontamentos!$C567="","",Apontamentos!A567&amp;"")</f>
        <v/>
      </c>
      <c r="C567" s="11" t="str">
        <f aca="false">IF(B567="","",IFERROR(INDEX(Execuções!$C$2:$C$97,MATCH(B567,Execuções!$A$2:$A$97,0)),"ID?"))</f>
        <v/>
      </c>
      <c r="D567" s="10" t="str">
        <f aca="false">IF(B567="","",IFERROR(INDEX(Execuções!$B$2:$B$97,MATCH(B567,Execuções!$A$2:$A$97,0)),"ID?"))</f>
        <v/>
      </c>
      <c r="E567" s="11" t="str">
        <f aca="false">IF(B567="","",Apontamentos!D567)</f>
        <v/>
      </c>
      <c r="F567" s="11" t="str">
        <f aca="false">IF(B567="","",Apontamentos!E567)</f>
        <v/>
      </c>
      <c r="G567" s="10" t="str">
        <f aca="false">IF(B567="","",Apontamentos!G567&amp;"")</f>
        <v/>
      </c>
      <c r="H567" s="14" t="str">
        <f aca="false">IF('Avaliador 1'!F567='Avaliador 2'!F567,'Avaliador 1'!F567&amp;"","")</f>
        <v/>
      </c>
      <c r="I567" s="14" t="str">
        <f aca="false">IF('Avaliador 1'!G567='Avaliador 2'!G567,'Avaliador 1'!G567&amp;"","")</f>
        <v/>
      </c>
      <c r="J567" s="14" t="str">
        <f aca="false">IF('Avaliador 1'!H567='Avaliador 2'!H567,'Avaliador 1'!H567&amp;"","")</f>
        <v/>
      </c>
      <c r="K567" s="14" t="str">
        <f aca="false">IF('Avaliador 1'!I567='Avaliador 2'!I567,'Avaliador 1'!I567&amp;"","")</f>
        <v/>
      </c>
      <c r="L567" s="13"/>
      <c r="M567" s="13" t="str">
        <f aca="false">IF('Avaliador 1'!J567='Avaliador 2'!J567,'Avaliador 1'!J567&amp;"","")</f>
        <v/>
      </c>
      <c r="N567" s="11" t="str">
        <f aca="false">IF(OR('Avaliador 1'!F567="",'Avaliador 2'!F567=""),"",IF(AND('Avaliador 1'!F567='Avaliador 2'!F567,'Avaliador 1'!G567='Avaliador 2'!G567,'Avaliador 1'!H567='Avaliador 2'!H567,'Avaliador 1'!I567='Avaliador 2'!I567),"Não","Sim"))</f>
        <v/>
      </c>
      <c r="O567" s="14"/>
      <c r="P567" s="10" t="str">
        <f aca="false">IF(LEN(H567)=3,"Defeito encontrado",IF(I567="Sim","Falso alarme",IF(H567="—","Nenhum defeito apontado","")))</f>
        <v/>
      </c>
    </row>
    <row r="568" customFormat="false" ht="15" hidden="false" customHeight="false" outlineLevel="0" collapsed="false">
      <c r="A568" s="11" t="str">
        <f aca="false">Apontamentos!C568</f>
        <v/>
      </c>
      <c r="B568" s="11" t="str">
        <f aca="false">IF(Apontamentos!$C568="","",Apontamentos!A568&amp;"")</f>
        <v/>
      </c>
      <c r="C568" s="11" t="str">
        <f aca="false">IF(B568="","",IFERROR(INDEX(Execuções!$C$2:$C$97,MATCH(B568,Execuções!$A$2:$A$97,0)),"ID?"))</f>
        <v/>
      </c>
      <c r="D568" s="10" t="str">
        <f aca="false">IF(B568="","",IFERROR(INDEX(Execuções!$B$2:$B$97,MATCH(B568,Execuções!$A$2:$A$97,0)),"ID?"))</f>
        <v/>
      </c>
      <c r="E568" s="11" t="str">
        <f aca="false">IF(B568="","",Apontamentos!D568)</f>
        <v/>
      </c>
      <c r="F568" s="11" t="str">
        <f aca="false">IF(B568="","",Apontamentos!E568)</f>
        <v/>
      </c>
      <c r="G568" s="10" t="str">
        <f aca="false">IF(B568="","",Apontamentos!G568&amp;"")</f>
        <v/>
      </c>
      <c r="H568" s="14" t="str">
        <f aca="false">IF('Avaliador 1'!F568='Avaliador 2'!F568,'Avaliador 1'!F568&amp;"","")</f>
        <v/>
      </c>
      <c r="I568" s="14" t="str">
        <f aca="false">IF('Avaliador 1'!G568='Avaliador 2'!G568,'Avaliador 1'!G568&amp;"","")</f>
        <v/>
      </c>
      <c r="J568" s="14" t="str">
        <f aca="false">IF('Avaliador 1'!H568='Avaliador 2'!H568,'Avaliador 1'!H568&amp;"","")</f>
        <v/>
      </c>
      <c r="K568" s="14" t="str">
        <f aca="false">IF('Avaliador 1'!I568='Avaliador 2'!I568,'Avaliador 1'!I568&amp;"","")</f>
        <v/>
      </c>
      <c r="L568" s="13"/>
      <c r="M568" s="13" t="str">
        <f aca="false">IF('Avaliador 1'!J568='Avaliador 2'!J568,'Avaliador 1'!J568&amp;"","")</f>
        <v/>
      </c>
      <c r="N568" s="11" t="str">
        <f aca="false">IF(OR('Avaliador 1'!F568="",'Avaliador 2'!F568=""),"",IF(AND('Avaliador 1'!F568='Avaliador 2'!F568,'Avaliador 1'!G568='Avaliador 2'!G568,'Avaliador 1'!H568='Avaliador 2'!H568,'Avaliador 1'!I568='Avaliador 2'!I568),"Não","Sim"))</f>
        <v/>
      </c>
      <c r="O568" s="14"/>
      <c r="P568" s="10" t="str">
        <f aca="false">IF(LEN(H568)=3,"Defeito encontrado",IF(I568="Sim","Falso alarme",IF(H568="—","Nenhum defeito apontado","")))</f>
        <v/>
      </c>
    </row>
    <row r="569" customFormat="false" ht="15" hidden="false" customHeight="false" outlineLevel="0" collapsed="false">
      <c r="A569" s="11" t="str">
        <f aca="false">Apontamentos!C569</f>
        <v/>
      </c>
      <c r="B569" s="11" t="str">
        <f aca="false">IF(Apontamentos!$C569="","",Apontamentos!A569&amp;"")</f>
        <v/>
      </c>
      <c r="C569" s="11" t="str">
        <f aca="false">IF(B569="","",IFERROR(INDEX(Execuções!$C$2:$C$97,MATCH(B569,Execuções!$A$2:$A$97,0)),"ID?"))</f>
        <v/>
      </c>
      <c r="D569" s="10" t="str">
        <f aca="false">IF(B569="","",IFERROR(INDEX(Execuções!$B$2:$B$97,MATCH(B569,Execuções!$A$2:$A$97,0)),"ID?"))</f>
        <v/>
      </c>
      <c r="E569" s="11" t="str">
        <f aca="false">IF(B569="","",Apontamentos!D569)</f>
        <v/>
      </c>
      <c r="F569" s="11" t="str">
        <f aca="false">IF(B569="","",Apontamentos!E569)</f>
        <v/>
      </c>
      <c r="G569" s="10" t="str">
        <f aca="false">IF(B569="","",Apontamentos!G569&amp;"")</f>
        <v/>
      </c>
      <c r="H569" s="14" t="str">
        <f aca="false">IF('Avaliador 1'!F569='Avaliador 2'!F569,'Avaliador 1'!F569&amp;"","")</f>
        <v/>
      </c>
      <c r="I569" s="14" t="str">
        <f aca="false">IF('Avaliador 1'!G569='Avaliador 2'!G569,'Avaliador 1'!G569&amp;"","")</f>
        <v/>
      </c>
      <c r="J569" s="14" t="str">
        <f aca="false">IF('Avaliador 1'!H569='Avaliador 2'!H569,'Avaliador 1'!H569&amp;"","")</f>
        <v/>
      </c>
      <c r="K569" s="14" t="str">
        <f aca="false">IF('Avaliador 1'!I569='Avaliador 2'!I569,'Avaliador 1'!I569&amp;"","")</f>
        <v/>
      </c>
      <c r="L569" s="13"/>
      <c r="M569" s="13" t="str">
        <f aca="false">IF('Avaliador 1'!J569='Avaliador 2'!J569,'Avaliador 1'!J569&amp;"","")</f>
        <v/>
      </c>
      <c r="N569" s="11" t="str">
        <f aca="false">IF(OR('Avaliador 1'!F569="",'Avaliador 2'!F569=""),"",IF(AND('Avaliador 1'!F569='Avaliador 2'!F569,'Avaliador 1'!G569='Avaliador 2'!G569,'Avaliador 1'!H569='Avaliador 2'!H569,'Avaliador 1'!I569='Avaliador 2'!I569),"Não","Sim"))</f>
        <v/>
      </c>
      <c r="O569" s="14"/>
      <c r="P569" s="10" t="str">
        <f aca="false">IF(LEN(H569)=3,"Defeito encontrado",IF(I569="Sim","Falso alarme",IF(H569="—","Nenhum defeito apontado","")))</f>
        <v/>
      </c>
    </row>
    <row r="570" customFormat="false" ht="15" hidden="false" customHeight="false" outlineLevel="0" collapsed="false">
      <c r="A570" s="11" t="str">
        <f aca="false">Apontamentos!C570</f>
        <v/>
      </c>
      <c r="B570" s="11" t="str">
        <f aca="false">IF(Apontamentos!$C570="","",Apontamentos!A570&amp;"")</f>
        <v/>
      </c>
      <c r="C570" s="11" t="str">
        <f aca="false">IF(B570="","",IFERROR(INDEX(Execuções!$C$2:$C$97,MATCH(B570,Execuções!$A$2:$A$97,0)),"ID?"))</f>
        <v/>
      </c>
      <c r="D570" s="10" t="str">
        <f aca="false">IF(B570="","",IFERROR(INDEX(Execuções!$B$2:$B$97,MATCH(B570,Execuções!$A$2:$A$97,0)),"ID?"))</f>
        <v/>
      </c>
      <c r="E570" s="11" t="str">
        <f aca="false">IF(B570="","",Apontamentos!D570)</f>
        <v/>
      </c>
      <c r="F570" s="11" t="str">
        <f aca="false">IF(B570="","",Apontamentos!E570)</f>
        <v/>
      </c>
      <c r="G570" s="10" t="str">
        <f aca="false">IF(B570="","",Apontamentos!G570&amp;"")</f>
        <v/>
      </c>
      <c r="H570" s="14" t="str">
        <f aca="false">IF('Avaliador 1'!F570='Avaliador 2'!F570,'Avaliador 1'!F570&amp;"","")</f>
        <v/>
      </c>
      <c r="I570" s="14" t="str">
        <f aca="false">IF('Avaliador 1'!G570='Avaliador 2'!G570,'Avaliador 1'!G570&amp;"","")</f>
        <v/>
      </c>
      <c r="J570" s="14" t="str">
        <f aca="false">IF('Avaliador 1'!H570='Avaliador 2'!H570,'Avaliador 1'!H570&amp;"","")</f>
        <v/>
      </c>
      <c r="K570" s="14" t="str">
        <f aca="false">IF('Avaliador 1'!I570='Avaliador 2'!I570,'Avaliador 1'!I570&amp;"","")</f>
        <v/>
      </c>
      <c r="L570" s="13"/>
      <c r="M570" s="13" t="str">
        <f aca="false">IF('Avaliador 1'!J570='Avaliador 2'!J570,'Avaliador 1'!J570&amp;"","")</f>
        <v/>
      </c>
      <c r="N570" s="11" t="str">
        <f aca="false">IF(OR('Avaliador 1'!F570="",'Avaliador 2'!F570=""),"",IF(AND('Avaliador 1'!F570='Avaliador 2'!F570,'Avaliador 1'!G570='Avaliador 2'!G570,'Avaliador 1'!H570='Avaliador 2'!H570,'Avaliador 1'!I570='Avaliador 2'!I570),"Não","Sim"))</f>
        <v/>
      </c>
      <c r="O570" s="14"/>
      <c r="P570" s="10" t="str">
        <f aca="false">IF(LEN(H570)=3,"Defeito encontrado",IF(I570="Sim","Falso alarme",IF(H570="—","Nenhum defeito apontado","")))</f>
        <v/>
      </c>
    </row>
    <row r="571" customFormat="false" ht="15" hidden="false" customHeight="false" outlineLevel="0" collapsed="false">
      <c r="A571" s="11" t="str">
        <f aca="false">Apontamentos!C571</f>
        <v/>
      </c>
      <c r="B571" s="11" t="str">
        <f aca="false">IF(Apontamentos!$C571="","",Apontamentos!A571&amp;"")</f>
        <v/>
      </c>
      <c r="C571" s="11" t="str">
        <f aca="false">IF(B571="","",IFERROR(INDEX(Execuções!$C$2:$C$97,MATCH(B571,Execuções!$A$2:$A$97,0)),"ID?"))</f>
        <v/>
      </c>
      <c r="D571" s="10" t="str">
        <f aca="false">IF(B571="","",IFERROR(INDEX(Execuções!$B$2:$B$97,MATCH(B571,Execuções!$A$2:$A$97,0)),"ID?"))</f>
        <v/>
      </c>
      <c r="E571" s="11" t="str">
        <f aca="false">IF(B571="","",Apontamentos!D571)</f>
        <v/>
      </c>
      <c r="F571" s="11" t="str">
        <f aca="false">IF(B571="","",Apontamentos!E571)</f>
        <v/>
      </c>
      <c r="G571" s="10" t="str">
        <f aca="false">IF(B571="","",Apontamentos!G571&amp;"")</f>
        <v/>
      </c>
      <c r="H571" s="14" t="str">
        <f aca="false">IF('Avaliador 1'!F571='Avaliador 2'!F571,'Avaliador 1'!F571&amp;"","")</f>
        <v/>
      </c>
      <c r="I571" s="14" t="str">
        <f aca="false">IF('Avaliador 1'!G571='Avaliador 2'!G571,'Avaliador 1'!G571&amp;"","")</f>
        <v/>
      </c>
      <c r="J571" s="14" t="str">
        <f aca="false">IF('Avaliador 1'!H571='Avaliador 2'!H571,'Avaliador 1'!H571&amp;"","")</f>
        <v/>
      </c>
      <c r="K571" s="14" t="str">
        <f aca="false">IF('Avaliador 1'!I571='Avaliador 2'!I571,'Avaliador 1'!I571&amp;"","")</f>
        <v/>
      </c>
      <c r="L571" s="13"/>
      <c r="M571" s="13" t="str">
        <f aca="false">IF('Avaliador 1'!J571='Avaliador 2'!J571,'Avaliador 1'!J571&amp;"","")</f>
        <v/>
      </c>
      <c r="N571" s="11" t="str">
        <f aca="false">IF(OR('Avaliador 1'!F571="",'Avaliador 2'!F571=""),"",IF(AND('Avaliador 1'!F571='Avaliador 2'!F571,'Avaliador 1'!G571='Avaliador 2'!G571,'Avaliador 1'!H571='Avaliador 2'!H571,'Avaliador 1'!I571='Avaliador 2'!I571),"Não","Sim"))</f>
        <v/>
      </c>
      <c r="O571" s="14"/>
      <c r="P571" s="10" t="str">
        <f aca="false">IF(LEN(H571)=3,"Defeito encontrado",IF(I571="Sim","Falso alarme",IF(H571="—","Nenhum defeito apontado","")))</f>
        <v/>
      </c>
    </row>
    <row r="572" customFormat="false" ht="15" hidden="false" customHeight="false" outlineLevel="0" collapsed="false">
      <c r="A572" s="11" t="str">
        <f aca="false">Apontamentos!C572</f>
        <v/>
      </c>
      <c r="B572" s="11" t="str">
        <f aca="false">IF(Apontamentos!$C572="","",Apontamentos!A572&amp;"")</f>
        <v/>
      </c>
      <c r="C572" s="11" t="str">
        <f aca="false">IF(B572="","",IFERROR(INDEX(Execuções!$C$2:$C$97,MATCH(B572,Execuções!$A$2:$A$97,0)),"ID?"))</f>
        <v/>
      </c>
      <c r="D572" s="10" t="str">
        <f aca="false">IF(B572="","",IFERROR(INDEX(Execuções!$B$2:$B$97,MATCH(B572,Execuções!$A$2:$A$97,0)),"ID?"))</f>
        <v/>
      </c>
      <c r="E572" s="11" t="str">
        <f aca="false">IF(B572="","",Apontamentos!D572)</f>
        <v/>
      </c>
      <c r="F572" s="11" t="str">
        <f aca="false">IF(B572="","",Apontamentos!E572)</f>
        <v/>
      </c>
      <c r="G572" s="10" t="str">
        <f aca="false">IF(B572="","",Apontamentos!G572&amp;"")</f>
        <v/>
      </c>
      <c r="H572" s="14" t="str">
        <f aca="false">IF('Avaliador 1'!F572='Avaliador 2'!F572,'Avaliador 1'!F572&amp;"","")</f>
        <v/>
      </c>
      <c r="I572" s="14" t="str">
        <f aca="false">IF('Avaliador 1'!G572='Avaliador 2'!G572,'Avaliador 1'!G572&amp;"","")</f>
        <v/>
      </c>
      <c r="J572" s="14" t="str">
        <f aca="false">IF('Avaliador 1'!H572='Avaliador 2'!H572,'Avaliador 1'!H572&amp;"","")</f>
        <v/>
      </c>
      <c r="K572" s="14" t="str">
        <f aca="false">IF('Avaliador 1'!I572='Avaliador 2'!I572,'Avaliador 1'!I572&amp;"","")</f>
        <v/>
      </c>
      <c r="L572" s="13"/>
      <c r="M572" s="13" t="str">
        <f aca="false">IF('Avaliador 1'!J572='Avaliador 2'!J572,'Avaliador 1'!J572&amp;"","")</f>
        <v/>
      </c>
      <c r="N572" s="11" t="str">
        <f aca="false">IF(OR('Avaliador 1'!F572="",'Avaliador 2'!F572=""),"",IF(AND('Avaliador 1'!F572='Avaliador 2'!F572,'Avaliador 1'!G572='Avaliador 2'!G572,'Avaliador 1'!H572='Avaliador 2'!H572,'Avaliador 1'!I572='Avaliador 2'!I572),"Não","Sim"))</f>
        <v/>
      </c>
      <c r="O572" s="14"/>
      <c r="P572" s="10" t="str">
        <f aca="false">IF(LEN(H572)=3,"Defeito encontrado",IF(I572="Sim","Falso alarme",IF(H572="—","Nenhum defeito apontado","")))</f>
        <v/>
      </c>
    </row>
    <row r="573" customFormat="false" ht="15" hidden="false" customHeight="false" outlineLevel="0" collapsed="false">
      <c r="A573" s="11" t="str">
        <f aca="false">Apontamentos!C573</f>
        <v/>
      </c>
      <c r="B573" s="11" t="str">
        <f aca="false">IF(Apontamentos!$C573="","",Apontamentos!A573&amp;"")</f>
        <v/>
      </c>
      <c r="C573" s="11" t="str">
        <f aca="false">IF(B573="","",IFERROR(INDEX(Execuções!$C$2:$C$97,MATCH(B573,Execuções!$A$2:$A$97,0)),"ID?"))</f>
        <v/>
      </c>
      <c r="D573" s="10" t="str">
        <f aca="false">IF(B573="","",IFERROR(INDEX(Execuções!$B$2:$B$97,MATCH(B573,Execuções!$A$2:$A$97,0)),"ID?"))</f>
        <v/>
      </c>
      <c r="E573" s="11" t="str">
        <f aca="false">IF(B573="","",Apontamentos!D573)</f>
        <v/>
      </c>
      <c r="F573" s="11" t="str">
        <f aca="false">IF(B573="","",Apontamentos!E573)</f>
        <v/>
      </c>
      <c r="G573" s="10" t="str">
        <f aca="false">IF(B573="","",Apontamentos!G573&amp;"")</f>
        <v/>
      </c>
      <c r="H573" s="14" t="str">
        <f aca="false">IF('Avaliador 1'!F573='Avaliador 2'!F573,'Avaliador 1'!F573&amp;"","")</f>
        <v/>
      </c>
      <c r="I573" s="14" t="str">
        <f aca="false">IF('Avaliador 1'!G573='Avaliador 2'!G573,'Avaliador 1'!G573&amp;"","")</f>
        <v/>
      </c>
      <c r="J573" s="14" t="str">
        <f aca="false">IF('Avaliador 1'!H573='Avaliador 2'!H573,'Avaliador 1'!H573&amp;"","")</f>
        <v/>
      </c>
      <c r="K573" s="14" t="str">
        <f aca="false">IF('Avaliador 1'!I573='Avaliador 2'!I573,'Avaliador 1'!I573&amp;"","")</f>
        <v/>
      </c>
      <c r="L573" s="13"/>
      <c r="M573" s="13" t="str">
        <f aca="false">IF('Avaliador 1'!J573='Avaliador 2'!J573,'Avaliador 1'!J573&amp;"","")</f>
        <v/>
      </c>
      <c r="N573" s="11" t="str">
        <f aca="false">IF(OR('Avaliador 1'!F573="",'Avaliador 2'!F573=""),"",IF(AND('Avaliador 1'!F573='Avaliador 2'!F573,'Avaliador 1'!G573='Avaliador 2'!G573,'Avaliador 1'!H573='Avaliador 2'!H573,'Avaliador 1'!I573='Avaliador 2'!I573),"Não","Sim"))</f>
        <v/>
      </c>
      <c r="O573" s="14"/>
      <c r="P573" s="10" t="str">
        <f aca="false">IF(LEN(H573)=3,"Defeito encontrado",IF(I573="Sim","Falso alarme",IF(H573="—","Nenhum defeito apontado","")))</f>
        <v/>
      </c>
    </row>
    <row r="574" customFormat="false" ht="15" hidden="false" customHeight="false" outlineLevel="0" collapsed="false">
      <c r="A574" s="11" t="str">
        <f aca="false">Apontamentos!C574</f>
        <v/>
      </c>
      <c r="B574" s="11" t="str">
        <f aca="false">IF(Apontamentos!$C574="","",Apontamentos!A574&amp;"")</f>
        <v/>
      </c>
      <c r="C574" s="11" t="str">
        <f aca="false">IF(B574="","",IFERROR(INDEX(Execuções!$C$2:$C$97,MATCH(B574,Execuções!$A$2:$A$97,0)),"ID?"))</f>
        <v/>
      </c>
      <c r="D574" s="10" t="str">
        <f aca="false">IF(B574="","",IFERROR(INDEX(Execuções!$B$2:$B$97,MATCH(B574,Execuções!$A$2:$A$97,0)),"ID?"))</f>
        <v/>
      </c>
      <c r="E574" s="11" t="str">
        <f aca="false">IF(B574="","",Apontamentos!D574)</f>
        <v/>
      </c>
      <c r="F574" s="11" t="str">
        <f aca="false">IF(B574="","",Apontamentos!E574)</f>
        <v/>
      </c>
      <c r="G574" s="10" t="str">
        <f aca="false">IF(B574="","",Apontamentos!G574&amp;"")</f>
        <v/>
      </c>
      <c r="H574" s="14" t="str">
        <f aca="false">IF('Avaliador 1'!F574='Avaliador 2'!F574,'Avaliador 1'!F574&amp;"","")</f>
        <v/>
      </c>
      <c r="I574" s="14" t="str">
        <f aca="false">IF('Avaliador 1'!G574='Avaliador 2'!G574,'Avaliador 1'!G574&amp;"","")</f>
        <v/>
      </c>
      <c r="J574" s="14" t="str">
        <f aca="false">IF('Avaliador 1'!H574='Avaliador 2'!H574,'Avaliador 1'!H574&amp;"","")</f>
        <v/>
      </c>
      <c r="K574" s="14" t="str">
        <f aca="false">IF('Avaliador 1'!I574='Avaliador 2'!I574,'Avaliador 1'!I574&amp;"","")</f>
        <v/>
      </c>
      <c r="L574" s="13"/>
      <c r="M574" s="13" t="str">
        <f aca="false">IF('Avaliador 1'!J574='Avaliador 2'!J574,'Avaliador 1'!J574&amp;"","")</f>
        <v/>
      </c>
      <c r="N574" s="11" t="str">
        <f aca="false">IF(OR('Avaliador 1'!F574="",'Avaliador 2'!F574=""),"",IF(AND('Avaliador 1'!F574='Avaliador 2'!F574,'Avaliador 1'!G574='Avaliador 2'!G574,'Avaliador 1'!H574='Avaliador 2'!H574,'Avaliador 1'!I574='Avaliador 2'!I574),"Não","Sim"))</f>
        <v/>
      </c>
      <c r="O574" s="14"/>
      <c r="P574" s="10" t="str">
        <f aca="false">IF(LEN(H574)=3,"Defeito encontrado",IF(I574="Sim","Falso alarme",IF(H574="—","Nenhum defeito apontado","")))</f>
        <v/>
      </c>
    </row>
    <row r="575" customFormat="false" ht="15" hidden="false" customHeight="false" outlineLevel="0" collapsed="false">
      <c r="A575" s="11" t="str">
        <f aca="false">Apontamentos!C575</f>
        <v/>
      </c>
      <c r="B575" s="11" t="str">
        <f aca="false">IF(Apontamentos!$C575="","",Apontamentos!A575&amp;"")</f>
        <v/>
      </c>
      <c r="C575" s="11" t="str">
        <f aca="false">IF(B575="","",IFERROR(INDEX(Execuções!$C$2:$C$97,MATCH(B575,Execuções!$A$2:$A$97,0)),"ID?"))</f>
        <v/>
      </c>
      <c r="D575" s="10" t="str">
        <f aca="false">IF(B575="","",IFERROR(INDEX(Execuções!$B$2:$B$97,MATCH(B575,Execuções!$A$2:$A$97,0)),"ID?"))</f>
        <v/>
      </c>
      <c r="E575" s="11" t="str">
        <f aca="false">IF(B575="","",Apontamentos!D575)</f>
        <v/>
      </c>
      <c r="F575" s="11" t="str">
        <f aca="false">IF(B575="","",Apontamentos!E575)</f>
        <v/>
      </c>
      <c r="G575" s="10" t="str">
        <f aca="false">IF(B575="","",Apontamentos!G575&amp;"")</f>
        <v/>
      </c>
      <c r="H575" s="14" t="str">
        <f aca="false">IF('Avaliador 1'!F575='Avaliador 2'!F575,'Avaliador 1'!F575&amp;"","")</f>
        <v/>
      </c>
      <c r="I575" s="14" t="str">
        <f aca="false">IF('Avaliador 1'!G575='Avaliador 2'!G575,'Avaliador 1'!G575&amp;"","")</f>
        <v/>
      </c>
      <c r="J575" s="14" t="str">
        <f aca="false">IF('Avaliador 1'!H575='Avaliador 2'!H575,'Avaliador 1'!H575&amp;"","")</f>
        <v/>
      </c>
      <c r="K575" s="14" t="str">
        <f aca="false">IF('Avaliador 1'!I575='Avaliador 2'!I575,'Avaliador 1'!I575&amp;"","")</f>
        <v/>
      </c>
      <c r="L575" s="13"/>
      <c r="M575" s="13" t="str">
        <f aca="false">IF('Avaliador 1'!J575='Avaliador 2'!J575,'Avaliador 1'!J575&amp;"","")</f>
        <v/>
      </c>
      <c r="N575" s="11" t="str">
        <f aca="false">IF(OR('Avaliador 1'!F575="",'Avaliador 2'!F575=""),"",IF(AND('Avaliador 1'!F575='Avaliador 2'!F575,'Avaliador 1'!G575='Avaliador 2'!G575,'Avaliador 1'!H575='Avaliador 2'!H575,'Avaliador 1'!I575='Avaliador 2'!I575),"Não","Sim"))</f>
        <v/>
      </c>
      <c r="O575" s="14"/>
      <c r="P575" s="10" t="str">
        <f aca="false">IF(LEN(H575)=3,"Defeito encontrado",IF(I575="Sim","Falso alarme",IF(H575="—","Nenhum defeito apontado","")))</f>
        <v/>
      </c>
    </row>
    <row r="576" customFormat="false" ht="15" hidden="false" customHeight="false" outlineLevel="0" collapsed="false">
      <c r="A576" s="11" t="str">
        <f aca="false">Apontamentos!C576</f>
        <v/>
      </c>
      <c r="B576" s="11" t="str">
        <f aca="false">IF(Apontamentos!$C576="","",Apontamentos!A576&amp;"")</f>
        <v/>
      </c>
      <c r="C576" s="11" t="str">
        <f aca="false">IF(B576="","",IFERROR(INDEX(Execuções!$C$2:$C$97,MATCH(B576,Execuções!$A$2:$A$97,0)),"ID?"))</f>
        <v/>
      </c>
      <c r="D576" s="10" t="str">
        <f aca="false">IF(B576="","",IFERROR(INDEX(Execuções!$B$2:$B$97,MATCH(B576,Execuções!$A$2:$A$97,0)),"ID?"))</f>
        <v/>
      </c>
      <c r="E576" s="11" t="str">
        <f aca="false">IF(B576="","",Apontamentos!D576)</f>
        <v/>
      </c>
      <c r="F576" s="11" t="str">
        <f aca="false">IF(B576="","",Apontamentos!E576)</f>
        <v/>
      </c>
      <c r="G576" s="10" t="str">
        <f aca="false">IF(B576="","",Apontamentos!G576&amp;"")</f>
        <v/>
      </c>
      <c r="H576" s="14" t="str">
        <f aca="false">IF('Avaliador 1'!F576='Avaliador 2'!F576,'Avaliador 1'!F576&amp;"","")</f>
        <v/>
      </c>
      <c r="I576" s="14" t="str">
        <f aca="false">IF('Avaliador 1'!G576='Avaliador 2'!G576,'Avaliador 1'!G576&amp;"","")</f>
        <v/>
      </c>
      <c r="J576" s="14" t="str">
        <f aca="false">IF('Avaliador 1'!H576='Avaliador 2'!H576,'Avaliador 1'!H576&amp;"","")</f>
        <v/>
      </c>
      <c r="K576" s="14" t="str">
        <f aca="false">IF('Avaliador 1'!I576='Avaliador 2'!I576,'Avaliador 1'!I576&amp;"","")</f>
        <v/>
      </c>
      <c r="L576" s="13"/>
      <c r="M576" s="13" t="str">
        <f aca="false">IF('Avaliador 1'!J576='Avaliador 2'!J576,'Avaliador 1'!J576&amp;"","")</f>
        <v/>
      </c>
      <c r="N576" s="11" t="str">
        <f aca="false">IF(OR('Avaliador 1'!F576="",'Avaliador 2'!F576=""),"",IF(AND('Avaliador 1'!F576='Avaliador 2'!F576,'Avaliador 1'!G576='Avaliador 2'!G576,'Avaliador 1'!H576='Avaliador 2'!H576,'Avaliador 1'!I576='Avaliador 2'!I576),"Não","Sim"))</f>
        <v/>
      </c>
      <c r="O576" s="14"/>
      <c r="P576" s="10" t="str">
        <f aca="false">IF(LEN(H576)=3,"Defeito encontrado",IF(I576="Sim","Falso alarme",IF(H576="—","Nenhum defeito apontado","")))</f>
        <v/>
      </c>
    </row>
    <row r="577" customFormat="false" ht="15" hidden="false" customHeight="false" outlineLevel="0" collapsed="false">
      <c r="A577" s="11" t="str">
        <f aca="false">Apontamentos!C577</f>
        <v/>
      </c>
      <c r="B577" s="11" t="str">
        <f aca="false">IF(Apontamentos!$C577="","",Apontamentos!A577&amp;"")</f>
        <v/>
      </c>
      <c r="C577" s="11" t="str">
        <f aca="false">IF(B577="","",IFERROR(INDEX(Execuções!$C$2:$C$97,MATCH(B577,Execuções!$A$2:$A$97,0)),"ID?"))</f>
        <v/>
      </c>
      <c r="D577" s="10" t="str">
        <f aca="false">IF(B577="","",IFERROR(INDEX(Execuções!$B$2:$B$97,MATCH(B577,Execuções!$A$2:$A$97,0)),"ID?"))</f>
        <v/>
      </c>
      <c r="E577" s="11" t="str">
        <f aca="false">IF(B577="","",Apontamentos!D577)</f>
        <v/>
      </c>
      <c r="F577" s="11" t="str">
        <f aca="false">IF(B577="","",Apontamentos!E577)</f>
        <v/>
      </c>
      <c r="G577" s="10" t="str">
        <f aca="false">IF(B577="","",Apontamentos!G577&amp;"")</f>
        <v/>
      </c>
      <c r="H577" s="14" t="str">
        <f aca="false">IF('Avaliador 1'!F577='Avaliador 2'!F577,'Avaliador 1'!F577&amp;"","")</f>
        <v/>
      </c>
      <c r="I577" s="14" t="str">
        <f aca="false">IF('Avaliador 1'!G577='Avaliador 2'!G577,'Avaliador 1'!G577&amp;"","")</f>
        <v/>
      </c>
      <c r="J577" s="14" t="str">
        <f aca="false">IF('Avaliador 1'!H577='Avaliador 2'!H577,'Avaliador 1'!H577&amp;"","")</f>
        <v/>
      </c>
      <c r="K577" s="14" t="str">
        <f aca="false">IF('Avaliador 1'!I577='Avaliador 2'!I577,'Avaliador 1'!I577&amp;"","")</f>
        <v/>
      </c>
      <c r="L577" s="13"/>
      <c r="M577" s="13" t="str">
        <f aca="false">IF('Avaliador 1'!J577='Avaliador 2'!J577,'Avaliador 1'!J577&amp;"","")</f>
        <v/>
      </c>
      <c r="N577" s="11" t="str">
        <f aca="false">IF(OR('Avaliador 1'!F577="",'Avaliador 2'!F577=""),"",IF(AND('Avaliador 1'!F577='Avaliador 2'!F577,'Avaliador 1'!G577='Avaliador 2'!G577,'Avaliador 1'!H577='Avaliador 2'!H577,'Avaliador 1'!I577='Avaliador 2'!I577),"Não","Sim"))</f>
        <v/>
      </c>
      <c r="O577" s="14"/>
      <c r="P577" s="10" t="str">
        <f aca="false">IF(LEN(H577)=3,"Defeito encontrado",IF(I577="Sim","Falso alarme",IF(H577="—","Nenhum defeito apontado","")))</f>
        <v/>
      </c>
    </row>
    <row r="578" customFormat="false" ht="15" hidden="false" customHeight="false" outlineLevel="0" collapsed="false">
      <c r="A578" s="11" t="str">
        <f aca="false">Apontamentos!C578</f>
        <v/>
      </c>
      <c r="B578" s="11" t="str">
        <f aca="false">IF(Apontamentos!$C578="","",Apontamentos!A578&amp;"")</f>
        <v/>
      </c>
      <c r="C578" s="11" t="str">
        <f aca="false">IF(B578="","",IFERROR(INDEX(Execuções!$C$2:$C$97,MATCH(B578,Execuções!$A$2:$A$97,0)),"ID?"))</f>
        <v/>
      </c>
      <c r="D578" s="10" t="str">
        <f aca="false">IF(B578="","",IFERROR(INDEX(Execuções!$B$2:$B$97,MATCH(B578,Execuções!$A$2:$A$97,0)),"ID?"))</f>
        <v/>
      </c>
      <c r="E578" s="11" t="str">
        <f aca="false">IF(B578="","",Apontamentos!D578)</f>
        <v/>
      </c>
      <c r="F578" s="11" t="str">
        <f aca="false">IF(B578="","",Apontamentos!E578)</f>
        <v/>
      </c>
      <c r="G578" s="10" t="str">
        <f aca="false">IF(B578="","",Apontamentos!G578&amp;"")</f>
        <v/>
      </c>
      <c r="H578" s="14" t="str">
        <f aca="false">IF('Avaliador 1'!F578='Avaliador 2'!F578,'Avaliador 1'!F578&amp;"","")</f>
        <v/>
      </c>
      <c r="I578" s="14" t="str">
        <f aca="false">IF('Avaliador 1'!G578='Avaliador 2'!G578,'Avaliador 1'!G578&amp;"","")</f>
        <v/>
      </c>
      <c r="J578" s="14" t="str">
        <f aca="false">IF('Avaliador 1'!H578='Avaliador 2'!H578,'Avaliador 1'!H578&amp;"","")</f>
        <v/>
      </c>
      <c r="K578" s="14" t="str">
        <f aca="false">IF('Avaliador 1'!I578='Avaliador 2'!I578,'Avaliador 1'!I578&amp;"","")</f>
        <v/>
      </c>
      <c r="L578" s="13"/>
      <c r="M578" s="13" t="str">
        <f aca="false">IF('Avaliador 1'!J578='Avaliador 2'!J578,'Avaliador 1'!J578&amp;"","")</f>
        <v/>
      </c>
      <c r="N578" s="11" t="str">
        <f aca="false">IF(OR('Avaliador 1'!F578="",'Avaliador 2'!F578=""),"",IF(AND('Avaliador 1'!F578='Avaliador 2'!F578,'Avaliador 1'!G578='Avaliador 2'!G578,'Avaliador 1'!H578='Avaliador 2'!H578,'Avaliador 1'!I578='Avaliador 2'!I578),"Não","Sim"))</f>
        <v/>
      </c>
      <c r="O578" s="14"/>
      <c r="P578" s="10" t="str">
        <f aca="false">IF(LEN(H578)=3,"Defeito encontrado",IF(I578="Sim","Falso alarme",IF(H578="—","Nenhum defeito apontado","")))</f>
        <v/>
      </c>
    </row>
    <row r="579" customFormat="false" ht="15" hidden="false" customHeight="false" outlineLevel="0" collapsed="false">
      <c r="A579" s="11" t="str">
        <f aca="false">Apontamentos!C579</f>
        <v/>
      </c>
      <c r="B579" s="11" t="str">
        <f aca="false">IF(Apontamentos!$C579="","",Apontamentos!A579&amp;"")</f>
        <v/>
      </c>
      <c r="C579" s="11" t="str">
        <f aca="false">IF(B579="","",IFERROR(INDEX(Execuções!$C$2:$C$97,MATCH(B579,Execuções!$A$2:$A$97,0)),"ID?"))</f>
        <v/>
      </c>
      <c r="D579" s="10" t="str">
        <f aca="false">IF(B579="","",IFERROR(INDEX(Execuções!$B$2:$B$97,MATCH(B579,Execuções!$A$2:$A$97,0)),"ID?"))</f>
        <v/>
      </c>
      <c r="E579" s="11" t="str">
        <f aca="false">IF(B579="","",Apontamentos!D579)</f>
        <v/>
      </c>
      <c r="F579" s="11" t="str">
        <f aca="false">IF(B579="","",Apontamentos!E579)</f>
        <v/>
      </c>
      <c r="G579" s="10" t="str">
        <f aca="false">IF(B579="","",Apontamentos!G579&amp;"")</f>
        <v/>
      </c>
      <c r="H579" s="14" t="str">
        <f aca="false">IF('Avaliador 1'!F579='Avaliador 2'!F579,'Avaliador 1'!F579&amp;"","")</f>
        <v/>
      </c>
      <c r="I579" s="14" t="str">
        <f aca="false">IF('Avaliador 1'!G579='Avaliador 2'!G579,'Avaliador 1'!G579&amp;"","")</f>
        <v/>
      </c>
      <c r="J579" s="14" t="str">
        <f aca="false">IF('Avaliador 1'!H579='Avaliador 2'!H579,'Avaliador 1'!H579&amp;"","")</f>
        <v/>
      </c>
      <c r="K579" s="14" t="str">
        <f aca="false">IF('Avaliador 1'!I579='Avaliador 2'!I579,'Avaliador 1'!I579&amp;"","")</f>
        <v/>
      </c>
      <c r="L579" s="13"/>
      <c r="M579" s="13" t="str">
        <f aca="false">IF('Avaliador 1'!J579='Avaliador 2'!J579,'Avaliador 1'!J579&amp;"","")</f>
        <v/>
      </c>
      <c r="N579" s="11" t="str">
        <f aca="false">IF(OR('Avaliador 1'!F579="",'Avaliador 2'!F579=""),"",IF(AND('Avaliador 1'!F579='Avaliador 2'!F579,'Avaliador 1'!G579='Avaliador 2'!G579,'Avaliador 1'!H579='Avaliador 2'!H579,'Avaliador 1'!I579='Avaliador 2'!I579),"Não","Sim"))</f>
        <v/>
      </c>
      <c r="O579" s="14"/>
      <c r="P579" s="10" t="str">
        <f aca="false">IF(LEN(H579)=3,"Defeito encontrado",IF(I579="Sim","Falso alarme",IF(H579="—","Nenhum defeito apontado","")))</f>
        <v/>
      </c>
    </row>
    <row r="580" customFormat="false" ht="15" hidden="false" customHeight="false" outlineLevel="0" collapsed="false">
      <c r="A580" s="11" t="str">
        <f aca="false">Apontamentos!C580</f>
        <v/>
      </c>
      <c r="B580" s="11" t="str">
        <f aca="false">IF(Apontamentos!$C580="","",Apontamentos!A580&amp;"")</f>
        <v/>
      </c>
      <c r="C580" s="11" t="str">
        <f aca="false">IF(B580="","",IFERROR(INDEX(Execuções!$C$2:$C$97,MATCH(B580,Execuções!$A$2:$A$97,0)),"ID?"))</f>
        <v/>
      </c>
      <c r="D580" s="10" t="str">
        <f aca="false">IF(B580="","",IFERROR(INDEX(Execuções!$B$2:$B$97,MATCH(B580,Execuções!$A$2:$A$97,0)),"ID?"))</f>
        <v/>
      </c>
      <c r="E580" s="11" t="str">
        <f aca="false">IF(B580="","",Apontamentos!D580)</f>
        <v/>
      </c>
      <c r="F580" s="11" t="str">
        <f aca="false">IF(B580="","",Apontamentos!E580)</f>
        <v/>
      </c>
      <c r="G580" s="10" t="str">
        <f aca="false">IF(B580="","",Apontamentos!G580&amp;"")</f>
        <v/>
      </c>
      <c r="H580" s="14" t="str">
        <f aca="false">IF('Avaliador 1'!F580='Avaliador 2'!F580,'Avaliador 1'!F580&amp;"","")</f>
        <v/>
      </c>
      <c r="I580" s="14" t="str">
        <f aca="false">IF('Avaliador 1'!G580='Avaliador 2'!G580,'Avaliador 1'!G580&amp;"","")</f>
        <v/>
      </c>
      <c r="J580" s="14" t="str">
        <f aca="false">IF('Avaliador 1'!H580='Avaliador 2'!H580,'Avaliador 1'!H580&amp;"","")</f>
        <v/>
      </c>
      <c r="K580" s="14" t="str">
        <f aca="false">IF('Avaliador 1'!I580='Avaliador 2'!I580,'Avaliador 1'!I580&amp;"","")</f>
        <v/>
      </c>
      <c r="L580" s="13"/>
      <c r="M580" s="13" t="str">
        <f aca="false">IF('Avaliador 1'!J580='Avaliador 2'!J580,'Avaliador 1'!J580&amp;"","")</f>
        <v/>
      </c>
      <c r="N580" s="11" t="str">
        <f aca="false">IF(OR('Avaliador 1'!F580="",'Avaliador 2'!F580=""),"",IF(AND('Avaliador 1'!F580='Avaliador 2'!F580,'Avaliador 1'!G580='Avaliador 2'!G580,'Avaliador 1'!H580='Avaliador 2'!H580,'Avaliador 1'!I580='Avaliador 2'!I580),"Não","Sim"))</f>
        <v/>
      </c>
      <c r="O580" s="14"/>
      <c r="P580" s="10" t="str">
        <f aca="false">IF(LEN(H580)=3,"Defeito encontrado",IF(I580="Sim","Falso alarme",IF(H580="—","Nenhum defeito apontado","")))</f>
        <v/>
      </c>
    </row>
    <row r="581" customFormat="false" ht="15" hidden="false" customHeight="false" outlineLevel="0" collapsed="false">
      <c r="A581" s="11" t="str">
        <f aca="false">Apontamentos!C581</f>
        <v/>
      </c>
      <c r="B581" s="11" t="str">
        <f aca="false">IF(Apontamentos!$C581="","",Apontamentos!A581&amp;"")</f>
        <v/>
      </c>
      <c r="C581" s="11" t="str">
        <f aca="false">IF(B581="","",IFERROR(INDEX(Execuções!$C$2:$C$97,MATCH(B581,Execuções!$A$2:$A$97,0)),"ID?"))</f>
        <v/>
      </c>
      <c r="D581" s="10" t="str">
        <f aca="false">IF(B581="","",IFERROR(INDEX(Execuções!$B$2:$B$97,MATCH(B581,Execuções!$A$2:$A$97,0)),"ID?"))</f>
        <v/>
      </c>
      <c r="E581" s="11" t="str">
        <f aca="false">IF(B581="","",Apontamentos!D581)</f>
        <v/>
      </c>
      <c r="F581" s="11" t="str">
        <f aca="false">IF(B581="","",Apontamentos!E581)</f>
        <v/>
      </c>
      <c r="G581" s="10" t="str">
        <f aca="false">IF(B581="","",Apontamentos!G581&amp;"")</f>
        <v/>
      </c>
      <c r="H581" s="14" t="str">
        <f aca="false">IF('Avaliador 1'!F581='Avaliador 2'!F581,'Avaliador 1'!F581&amp;"","")</f>
        <v/>
      </c>
      <c r="I581" s="14" t="str">
        <f aca="false">IF('Avaliador 1'!G581='Avaliador 2'!G581,'Avaliador 1'!G581&amp;"","")</f>
        <v/>
      </c>
      <c r="J581" s="14" t="str">
        <f aca="false">IF('Avaliador 1'!H581='Avaliador 2'!H581,'Avaliador 1'!H581&amp;"","")</f>
        <v/>
      </c>
      <c r="K581" s="14" t="str">
        <f aca="false">IF('Avaliador 1'!I581='Avaliador 2'!I581,'Avaliador 1'!I581&amp;"","")</f>
        <v/>
      </c>
      <c r="L581" s="13"/>
      <c r="M581" s="13" t="str">
        <f aca="false">IF('Avaliador 1'!J581='Avaliador 2'!J581,'Avaliador 1'!J581&amp;"","")</f>
        <v/>
      </c>
      <c r="N581" s="11" t="str">
        <f aca="false">IF(OR('Avaliador 1'!F581="",'Avaliador 2'!F581=""),"",IF(AND('Avaliador 1'!F581='Avaliador 2'!F581,'Avaliador 1'!G581='Avaliador 2'!G581,'Avaliador 1'!H581='Avaliador 2'!H581,'Avaliador 1'!I581='Avaliador 2'!I581),"Não","Sim"))</f>
        <v/>
      </c>
      <c r="O581" s="14"/>
      <c r="P581" s="10" t="str">
        <f aca="false">IF(LEN(H581)=3,"Defeito encontrado",IF(I581="Sim","Falso alarme",IF(H581="—","Nenhum defeito apontado","")))</f>
        <v/>
      </c>
    </row>
    <row r="582" customFormat="false" ht="15" hidden="false" customHeight="false" outlineLevel="0" collapsed="false">
      <c r="A582" s="11" t="str">
        <f aca="false">Apontamentos!C582</f>
        <v/>
      </c>
      <c r="B582" s="11" t="str">
        <f aca="false">IF(Apontamentos!$C582="","",Apontamentos!A582&amp;"")</f>
        <v/>
      </c>
      <c r="C582" s="11" t="str">
        <f aca="false">IF(B582="","",IFERROR(INDEX(Execuções!$C$2:$C$97,MATCH(B582,Execuções!$A$2:$A$97,0)),"ID?"))</f>
        <v/>
      </c>
      <c r="D582" s="10" t="str">
        <f aca="false">IF(B582="","",IFERROR(INDEX(Execuções!$B$2:$B$97,MATCH(B582,Execuções!$A$2:$A$97,0)),"ID?"))</f>
        <v/>
      </c>
      <c r="E582" s="11" t="str">
        <f aca="false">IF(B582="","",Apontamentos!D582)</f>
        <v/>
      </c>
      <c r="F582" s="11" t="str">
        <f aca="false">IF(B582="","",Apontamentos!E582)</f>
        <v/>
      </c>
      <c r="G582" s="10" t="str">
        <f aca="false">IF(B582="","",Apontamentos!G582&amp;"")</f>
        <v/>
      </c>
      <c r="H582" s="14" t="str">
        <f aca="false">IF('Avaliador 1'!F582='Avaliador 2'!F582,'Avaliador 1'!F582&amp;"","")</f>
        <v/>
      </c>
      <c r="I582" s="14" t="str">
        <f aca="false">IF('Avaliador 1'!G582='Avaliador 2'!G582,'Avaliador 1'!G582&amp;"","")</f>
        <v/>
      </c>
      <c r="J582" s="14" t="str">
        <f aca="false">IF('Avaliador 1'!H582='Avaliador 2'!H582,'Avaliador 1'!H582&amp;"","")</f>
        <v/>
      </c>
      <c r="K582" s="14" t="str">
        <f aca="false">IF('Avaliador 1'!I582='Avaliador 2'!I582,'Avaliador 1'!I582&amp;"","")</f>
        <v/>
      </c>
      <c r="L582" s="13"/>
      <c r="M582" s="13" t="str">
        <f aca="false">IF('Avaliador 1'!J582='Avaliador 2'!J582,'Avaliador 1'!J582&amp;"","")</f>
        <v/>
      </c>
      <c r="N582" s="11" t="str">
        <f aca="false">IF(OR('Avaliador 1'!F582="",'Avaliador 2'!F582=""),"",IF(AND('Avaliador 1'!F582='Avaliador 2'!F582,'Avaliador 1'!G582='Avaliador 2'!G582,'Avaliador 1'!H582='Avaliador 2'!H582,'Avaliador 1'!I582='Avaliador 2'!I582),"Não","Sim"))</f>
        <v/>
      </c>
      <c r="O582" s="14"/>
      <c r="P582" s="10" t="str">
        <f aca="false">IF(LEN(H582)=3,"Defeito encontrado",IF(I582="Sim","Falso alarme",IF(H582="—","Nenhum defeito apontado","")))</f>
        <v/>
      </c>
    </row>
    <row r="583" customFormat="false" ht="15" hidden="false" customHeight="false" outlineLevel="0" collapsed="false">
      <c r="A583" s="11" t="str">
        <f aca="false">Apontamentos!C583</f>
        <v/>
      </c>
      <c r="B583" s="11" t="str">
        <f aca="false">IF(Apontamentos!$C583="","",Apontamentos!A583&amp;"")</f>
        <v/>
      </c>
      <c r="C583" s="11" t="str">
        <f aca="false">IF(B583="","",IFERROR(INDEX(Execuções!$C$2:$C$97,MATCH(B583,Execuções!$A$2:$A$97,0)),"ID?"))</f>
        <v/>
      </c>
      <c r="D583" s="10" t="str">
        <f aca="false">IF(B583="","",IFERROR(INDEX(Execuções!$B$2:$B$97,MATCH(B583,Execuções!$A$2:$A$97,0)),"ID?"))</f>
        <v/>
      </c>
      <c r="E583" s="11" t="str">
        <f aca="false">IF(B583="","",Apontamentos!D583)</f>
        <v/>
      </c>
      <c r="F583" s="11" t="str">
        <f aca="false">IF(B583="","",Apontamentos!E583)</f>
        <v/>
      </c>
      <c r="G583" s="10" t="str">
        <f aca="false">IF(B583="","",Apontamentos!G583&amp;"")</f>
        <v/>
      </c>
      <c r="H583" s="14" t="str">
        <f aca="false">IF('Avaliador 1'!F583='Avaliador 2'!F583,'Avaliador 1'!F583&amp;"","")</f>
        <v/>
      </c>
      <c r="I583" s="14" t="str">
        <f aca="false">IF('Avaliador 1'!G583='Avaliador 2'!G583,'Avaliador 1'!G583&amp;"","")</f>
        <v/>
      </c>
      <c r="J583" s="14" t="str">
        <f aca="false">IF('Avaliador 1'!H583='Avaliador 2'!H583,'Avaliador 1'!H583&amp;"","")</f>
        <v/>
      </c>
      <c r="K583" s="14" t="str">
        <f aca="false">IF('Avaliador 1'!I583='Avaliador 2'!I583,'Avaliador 1'!I583&amp;"","")</f>
        <v/>
      </c>
      <c r="L583" s="13"/>
      <c r="M583" s="13" t="str">
        <f aca="false">IF('Avaliador 1'!J583='Avaliador 2'!J583,'Avaliador 1'!J583&amp;"","")</f>
        <v/>
      </c>
      <c r="N583" s="11" t="str">
        <f aca="false">IF(OR('Avaliador 1'!F583="",'Avaliador 2'!F583=""),"",IF(AND('Avaliador 1'!F583='Avaliador 2'!F583,'Avaliador 1'!G583='Avaliador 2'!G583,'Avaliador 1'!H583='Avaliador 2'!H583,'Avaliador 1'!I583='Avaliador 2'!I583),"Não","Sim"))</f>
        <v/>
      </c>
      <c r="O583" s="14"/>
      <c r="P583" s="10" t="str">
        <f aca="false">IF(LEN(H583)=3,"Defeito encontrado",IF(I583="Sim","Falso alarme",IF(H583="—","Nenhum defeito apontado","")))</f>
        <v/>
      </c>
    </row>
    <row r="584" customFormat="false" ht="15" hidden="false" customHeight="false" outlineLevel="0" collapsed="false">
      <c r="A584" s="11" t="str">
        <f aca="false">Apontamentos!C584</f>
        <v/>
      </c>
      <c r="B584" s="11" t="str">
        <f aca="false">IF(Apontamentos!$C584="","",Apontamentos!A584&amp;"")</f>
        <v/>
      </c>
      <c r="C584" s="11" t="str">
        <f aca="false">IF(B584="","",IFERROR(INDEX(Execuções!$C$2:$C$97,MATCH(B584,Execuções!$A$2:$A$97,0)),"ID?"))</f>
        <v/>
      </c>
      <c r="D584" s="10" t="str">
        <f aca="false">IF(B584="","",IFERROR(INDEX(Execuções!$B$2:$B$97,MATCH(B584,Execuções!$A$2:$A$97,0)),"ID?"))</f>
        <v/>
      </c>
      <c r="E584" s="11" t="str">
        <f aca="false">IF(B584="","",Apontamentos!D584)</f>
        <v/>
      </c>
      <c r="F584" s="11" t="str">
        <f aca="false">IF(B584="","",Apontamentos!E584)</f>
        <v/>
      </c>
      <c r="G584" s="10" t="str">
        <f aca="false">IF(B584="","",Apontamentos!G584&amp;"")</f>
        <v/>
      </c>
      <c r="H584" s="14" t="str">
        <f aca="false">IF('Avaliador 1'!F584='Avaliador 2'!F584,'Avaliador 1'!F584&amp;"","")</f>
        <v/>
      </c>
      <c r="I584" s="14" t="str">
        <f aca="false">IF('Avaliador 1'!G584='Avaliador 2'!G584,'Avaliador 1'!G584&amp;"","")</f>
        <v/>
      </c>
      <c r="J584" s="14" t="str">
        <f aca="false">IF('Avaliador 1'!H584='Avaliador 2'!H584,'Avaliador 1'!H584&amp;"","")</f>
        <v/>
      </c>
      <c r="K584" s="14" t="str">
        <f aca="false">IF('Avaliador 1'!I584='Avaliador 2'!I584,'Avaliador 1'!I584&amp;"","")</f>
        <v/>
      </c>
      <c r="L584" s="13"/>
      <c r="M584" s="13" t="str">
        <f aca="false">IF('Avaliador 1'!J584='Avaliador 2'!J584,'Avaliador 1'!J584&amp;"","")</f>
        <v/>
      </c>
      <c r="N584" s="11" t="str">
        <f aca="false">IF(OR('Avaliador 1'!F584="",'Avaliador 2'!F584=""),"",IF(AND('Avaliador 1'!F584='Avaliador 2'!F584,'Avaliador 1'!G584='Avaliador 2'!G584,'Avaliador 1'!H584='Avaliador 2'!H584,'Avaliador 1'!I584='Avaliador 2'!I584),"Não","Sim"))</f>
        <v/>
      </c>
      <c r="O584" s="14"/>
      <c r="P584" s="10" t="str">
        <f aca="false">IF(LEN(H584)=3,"Defeito encontrado",IF(I584="Sim","Falso alarme",IF(H584="—","Nenhum defeito apontado","")))</f>
        <v/>
      </c>
    </row>
    <row r="585" customFormat="false" ht="15" hidden="false" customHeight="false" outlineLevel="0" collapsed="false">
      <c r="A585" s="11" t="str">
        <f aca="false">Apontamentos!C585</f>
        <v/>
      </c>
      <c r="B585" s="11" t="str">
        <f aca="false">IF(Apontamentos!$C585="","",Apontamentos!A585&amp;"")</f>
        <v/>
      </c>
      <c r="C585" s="11" t="str">
        <f aca="false">IF(B585="","",IFERROR(INDEX(Execuções!$C$2:$C$97,MATCH(B585,Execuções!$A$2:$A$97,0)),"ID?"))</f>
        <v/>
      </c>
      <c r="D585" s="10" t="str">
        <f aca="false">IF(B585="","",IFERROR(INDEX(Execuções!$B$2:$B$97,MATCH(B585,Execuções!$A$2:$A$97,0)),"ID?"))</f>
        <v/>
      </c>
      <c r="E585" s="11" t="str">
        <f aca="false">IF(B585="","",Apontamentos!D585)</f>
        <v/>
      </c>
      <c r="F585" s="11" t="str">
        <f aca="false">IF(B585="","",Apontamentos!E585)</f>
        <v/>
      </c>
      <c r="G585" s="10" t="str">
        <f aca="false">IF(B585="","",Apontamentos!G585&amp;"")</f>
        <v/>
      </c>
      <c r="H585" s="14" t="str">
        <f aca="false">IF('Avaliador 1'!F585='Avaliador 2'!F585,'Avaliador 1'!F585&amp;"","")</f>
        <v/>
      </c>
      <c r="I585" s="14" t="str">
        <f aca="false">IF('Avaliador 1'!G585='Avaliador 2'!G585,'Avaliador 1'!G585&amp;"","")</f>
        <v/>
      </c>
      <c r="J585" s="14" t="str">
        <f aca="false">IF('Avaliador 1'!H585='Avaliador 2'!H585,'Avaliador 1'!H585&amp;"","")</f>
        <v/>
      </c>
      <c r="K585" s="14" t="str">
        <f aca="false">IF('Avaliador 1'!I585='Avaliador 2'!I585,'Avaliador 1'!I585&amp;"","")</f>
        <v/>
      </c>
      <c r="L585" s="13"/>
      <c r="M585" s="13" t="str">
        <f aca="false">IF('Avaliador 1'!J585='Avaliador 2'!J585,'Avaliador 1'!J585&amp;"","")</f>
        <v/>
      </c>
      <c r="N585" s="11" t="str">
        <f aca="false">IF(OR('Avaliador 1'!F585="",'Avaliador 2'!F585=""),"",IF(AND('Avaliador 1'!F585='Avaliador 2'!F585,'Avaliador 1'!G585='Avaliador 2'!G585,'Avaliador 1'!H585='Avaliador 2'!H585,'Avaliador 1'!I585='Avaliador 2'!I585),"Não","Sim"))</f>
        <v/>
      </c>
      <c r="O585" s="14"/>
      <c r="P585" s="10" t="str">
        <f aca="false">IF(LEN(H585)=3,"Defeito encontrado",IF(I585="Sim","Falso alarme",IF(H585="—","Nenhum defeito apontado","")))</f>
        <v/>
      </c>
    </row>
    <row r="586" customFormat="false" ht="15" hidden="false" customHeight="false" outlineLevel="0" collapsed="false">
      <c r="A586" s="11" t="str">
        <f aca="false">Apontamentos!C586</f>
        <v/>
      </c>
      <c r="B586" s="11" t="str">
        <f aca="false">IF(Apontamentos!$C586="","",Apontamentos!A586&amp;"")</f>
        <v/>
      </c>
      <c r="C586" s="11" t="str">
        <f aca="false">IF(B586="","",IFERROR(INDEX(Execuções!$C$2:$C$97,MATCH(B586,Execuções!$A$2:$A$97,0)),"ID?"))</f>
        <v/>
      </c>
      <c r="D586" s="10" t="str">
        <f aca="false">IF(B586="","",IFERROR(INDEX(Execuções!$B$2:$B$97,MATCH(B586,Execuções!$A$2:$A$97,0)),"ID?"))</f>
        <v/>
      </c>
      <c r="E586" s="11" t="str">
        <f aca="false">IF(B586="","",Apontamentos!D586)</f>
        <v/>
      </c>
      <c r="F586" s="11" t="str">
        <f aca="false">IF(B586="","",Apontamentos!E586)</f>
        <v/>
      </c>
      <c r="G586" s="10" t="str">
        <f aca="false">IF(B586="","",Apontamentos!G586&amp;"")</f>
        <v/>
      </c>
      <c r="H586" s="14" t="str">
        <f aca="false">IF('Avaliador 1'!F586='Avaliador 2'!F586,'Avaliador 1'!F586&amp;"","")</f>
        <v/>
      </c>
      <c r="I586" s="14" t="str">
        <f aca="false">IF('Avaliador 1'!G586='Avaliador 2'!G586,'Avaliador 1'!G586&amp;"","")</f>
        <v/>
      </c>
      <c r="J586" s="14" t="str">
        <f aca="false">IF('Avaliador 1'!H586='Avaliador 2'!H586,'Avaliador 1'!H586&amp;"","")</f>
        <v/>
      </c>
      <c r="K586" s="14" t="str">
        <f aca="false">IF('Avaliador 1'!I586='Avaliador 2'!I586,'Avaliador 1'!I586&amp;"","")</f>
        <v/>
      </c>
      <c r="L586" s="13"/>
      <c r="M586" s="13" t="str">
        <f aca="false">IF('Avaliador 1'!J586='Avaliador 2'!J586,'Avaliador 1'!J586&amp;"","")</f>
        <v/>
      </c>
      <c r="N586" s="11" t="str">
        <f aca="false">IF(OR('Avaliador 1'!F586="",'Avaliador 2'!F586=""),"",IF(AND('Avaliador 1'!F586='Avaliador 2'!F586,'Avaliador 1'!G586='Avaliador 2'!G586,'Avaliador 1'!H586='Avaliador 2'!H586,'Avaliador 1'!I586='Avaliador 2'!I586),"Não","Sim"))</f>
        <v/>
      </c>
      <c r="O586" s="14"/>
      <c r="P586" s="10" t="str">
        <f aca="false">IF(LEN(H586)=3,"Defeito encontrado",IF(I586="Sim","Falso alarme",IF(H586="—","Nenhum defeito apontado","")))</f>
        <v/>
      </c>
    </row>
    <row r="587" customFormat="false" ht="15" hidden="false" customHeight="false" outlineLevel="0" collapsed="false">
      <c r="A587" s="11" t="str">
        <f aca="false">Apontamentos!C587</f>
        <v/>
      </c>
      <c r="B587" s="11" t="str">
        <f aca="false">IF(Apontamentos!$C587="","",Apontamentos!A587&amp;"")</f>
        <v/>
      </c>
      <c r="C587" s="11" t="str">
        <f aca="false">IF(B587="","",IFERROR(INDEX(Execuções!$C$2:$C$97,MATCH(B587,Execuções!$A$2:$A$97,0)),"ID?"))</f>
        <v/>
      </c>
      <c r="D587" s="10" t="str">
        <f aca="false">IF(B587="","",IFERROR(INDEX(Execuções!$B$2:$B$97,MATCH(B587,Execuções!$A$2:$A$97,0)),"ID?"))</f>
        <v/>
      </c>
      <c r="E587" s="11" t="str">
        <f aca="false">IF(B587="","",Apontamentos!D587)</f>
        <v/>
      </c>
      <c r="F587" s="11" t="str">
        <f aca="false">IF(B587="","",Apontamentos!E587)</f>
        <v/>
      </c>
      <c r="G587" s="10" t="str">
        <f aca="false">IF(B587="","",Apontamentos!G587&amp;"")</f>
        <v/>
      </c>
      <c r="H587" s="14" t="str">
        <f aca="false">IF('Avaliador 1'!F587='Avaliador 2'!F587,'Avaliador 1'!F587&amp;"","")</f>
        <v/>
      </c>
      <c r="I587" s="14" t="str">
        <f aca="false">IF('Avaliador 1'!G587='Avaliador 2'!G587,'Avaliador 1'!G587&amp;"","")</f>
        <v/>
      </c>
      <c r="J587" s="14" t="str">
        <f aca="false">IF('Avaliador 1'!H587='Avaliador 2'!H587,'Avaliador 1'!H587&amp;"","")</f>
        <v/>
      </c>
      <c r="K587" s="14" t="str">
        <f aca="false">IF('Avaliador 1'!I587='Avaliador 2'!I587,'Avaliador 1'!I587&amp;"","")</f>
        <v/>
      </c>
      <c r="L587" s="13"/>
      <c r="M587" s="13" t="str">
        <f aca="false">IF('Avaliador 1'!J587='Avaliador 2'!J587,'Avaliador 1'!J587&amp;"","")</f>
        <v/>
      </c>
      <c r="N587" s="11" t="str">
        <f aca="false">IF(OR('Avaliador 1'!F587="",'Avaliador 2'!F587=""),"",IF(AND('Avaliador 1'!F587='Avaliador 2'!F587,'Avaliador 1'!G587='Avaliador 2'!G587,'Avaliador 1'!H587='Avaliador 2'!H587,'Avaliador 1'!I587='Avaliador 2'!I587),"Não","Sim"))</f>
        <v/>
      </c>
      <c r="O587" s="14"/>
      <c r="P587" s="10" t="str">
        <f aca="false">IF(LEN(H587)=3,"Defeito encontrado",IF(I587="Sim","Falso alarme",IF(H587="—","Nenhum defeito apontado","")))</f>
        <v/>
      </c>
    </row>
    <row r="588" customFormat="false" ht="15" hidden="false" customHeight="false" outlineLevel="0" collapsed="false">
      <c r="A588" s="11" t="str">
        <f aca="false">Apontamentos!C588</f>
        <v/>
      </c>
      <c r="B588" s="11" t="str">
        <f aca="false">IF(Apontamentos!$C588="","",Apontamentos!A588&amp;"")</f>
        <v/>
      </c>
      <c r="C588" s="11" t="str">
        <f aca="false">IF(B588="","",IFERROR(INDEX(Execuções!$C$2:$C$97,MATCH(B588,Execuções!$A$2:$A$97,0)),"ID?"))</f>
        <v/>
      </c>
      <c r="D588" s="10" t="str">
        <f aca="false">IF(B588="","",IFERROR(INDEX(Execuções!$B$2:$B$97,MATCH(B588,Execuções!$A$2:$A$97,0)),"ID?"))</f>
        <v/>
      </c>
      <c r="E588" s="11" t="str">
        <f aca="false">IF(B588="","",Apontamentos!D588)</f>
        <v/>
      </c>
      <c r="F588" s="11" t="str">
        <f aca="false">IF(B588="","",Apontamentos!E588)</f>
        <v/>
      </c>
      <c r="G588" s="10" t="str">
        <f aca="false">IF(B588="","",Apontamentos!G588&amp;"")</f>
        <v/>
      </c>
      <c r="H588" s="14" t="str">
        <f aca="false">IF('Avaliador 1'!F588='Avaliador 2'!F588,'Avaliador 1'!F588&amp;"","")</f>
        <v/>
      </c>
      <c r="I588" s="14" t="str">
        <f aca="false">IF('Avaliador 1'!G588='Avaliador 2'!G588,'Avaliador 1'!G588&amp;"","")</f>
        <v/>
      </c>
      <c r="J588" s="14" t="str">
        <f aca="false">IF('Avaliador 1'!H588='Avaliador 2'!H588,'Avaliador 1'!H588&amp;"","")</f>
        <v/>
      </c>
      <c r="K588" s="14" t="str">
        <f aca="false">IF('Avaliador 1'!I588='Avaliador 2'!I588,'Avaliador 1'!I588&amp;"","")</f>
        <v/>
      </c>
      <c r="L588" s="13"/>
      <c r="M588" s="13" t="str">
        <f aca="false">IF('Avaliador 1'!J588='Avaliador 2'!J588,'Avaliador 1'!J588&amp;"","")</f>
        <v/>
      </c>
      <c r="N588" s="11" t="str">
        <f aca="false">IF(OR('Avaliador 1'!F588="",'Avaliador 2'!F588=""),"",IF(AND('Avaliador 1'!F588='Avaliador 2'!F588,'Avaliador 1'!G588='Avaliador 2'!G588,'Avaliador 1'!H588='Avaliador 2'!H588,'Avaliador 1'!I588='Avaliador 2'!I588),"Não","Sim"))</f>
        <v/>
      </c>
      <c r="O588" s="14"/>
      <c r="P588" s="10" t="str">
        <f aca="false">IF(LEN(H588)=3,"Defeito encontrado",IF(I588="Sim","Falso alarme",IF(H588="—","Nenhum defeito apontado","")))</f>
        <v/>
      </c>
    </row>
    <row r="589" customFormat="false" ht="15" hidden="false" customHeight="false" outlineLevel="0" collapsed="false">
      <c r="A589" s="11" t="str">
        <f aca="false">Apontamentos!C589</f>
        <v/>
      </c>
      <c r="B589" s="11" t="str">
        <f aca="false">IF(Apontamentos!$C589="","",Apontamentos!A589&amp;"")</f>
        <v/>
      </c>
      <c r="C589" s="11" t="str">
        <f aca="false">IF(B589="","",IFERROR(INDEX(Execuções!$C$2:$C$97,MATCH(B589,Execuções!$A$2:$A$97,0)),"ID?"))</f>
        <v/>
      </c>
      <c r="D589" s="10" t="str">
        <f aca="false">IF(B589="","",IFERROR(INDEX(Execuções!$B$2:$B$97,MATCH(B589,Execuções!$A$2:$A$97,0)),"ID?"))</f>
        <v/>
      </c>
      <c r="E589" s="11" t="str">
        <f aca="false">IF(B589="","",Apontamentos!D589)</f>
        <v/>
      </c>
      <c r="F589" s="11" t="str">
        <f aca="false">IF(B589="","",Apontamentos!E589)</f>
        <v/>
      </c>
      <c r="G589" s="10" t="str">
        <f aca="false">IF(B589="","",Apontamentos!G589&amp;"")</f>
        <v/>
      </c>
      <c r="H589" s="14" t="str">
        <f aca="false">IF('Avaliador 1'!F589='Avaliador 2'!F589,'Avaliador 1'!F589&amp;"","")</f>
        <v/>
      </c>
      <c r="I589" s="14" t="str">
        <f aca="false">IF('Avaliador 1'!G589='Avaliador 2'!G589,'Avaliador 1'!G589&amp;"","")</f>
        <v/>
      </c>
      <c r="J589" s="14" t="str">
        <f aca="false">IF('Avaliador 1'!H589='Avaliador 2'!H589,'Avaliador 1'!H589&amp;"","")</f>
        <v/>
      </c>
      <c r="K589" s="14" t="str">
        <f aca="false">IF('Avaliador 1'!I589='Avaliador 2'!I589,'Avaliador 1'!I589&amp;"","")</f>
        <v/>
      </c>
      <c r="L589" s="13"/>
      <c r="M589" s="13" t="str">
        <f aca="false">IF('Avaliador 1'!J589='Avaliador 2'!J589,'Avaliador 1'!J589&amp;"","")</f>
        <v/>
      </c>
      <c r="N589" s="11" t="str">
        <f aca="false">IF(OR('Avaliador 1'!F589="",'Avaliador 2'!F589=""),"",IF(AND('Avaliador 1'!F589='Avaliador 2'!F589,'Avaliador 1'!G589='Avaliador 2'!G589,'Avaliador 1'!H589='Avaliador 2'!H589,'Avaliador 1'!I589='Avaliador 2'!I589),"Não","Sim"))</f>
        <v/>
      </c>
      <c r="O589" s="14"/>
      <c r="P589" s="10" t="str">
        <f aca="false">IF(LEN(H589)=3,"Defeito encontrado",IF(I589="Sim","Falso alarme",IF(H589="—","Nenhum defeito apontado","")))</f>
        <v/>
      </c>
    </row>
    <row r="590" customFormat="false" ht="15" hidden="false" customHeight="false" outlineLevel="0" collapsed="false">
      <c r="A590" s="11" t="str">
        <f aca="false">Apontamentos!C590</f>
        <v/>
      </c>
      <c r="B590" s="11" t="str">
        <f aca="false">IF(Apontamentos!$C590="","",Apontamentos!A590&amp;"")</f>
        <v/>
      </c>
      <c r="C590" s="11" t="str">
        <f aca="false">IF(B590="","",IFERROR(INDEX(Execuções!$C$2:$C$97,MATCH(B590,Execuções!$A$2:$A$97,0)),"ID?"))</f>
        <v/>
      </c>
      <c r="D590" s="10" t="str">
        <f aca="false">IF(B590="","",IFERROR(INDEX(Execuções!$B$2:$B$97,MATCH(B590,Execuções!$A$2:$A$97,0)),"ID?"))</f>
        <v/>
      </c>
      <c r="E590" s="11" t="str">
        <f aca="false">IF(B590="","",Apontamentos!D590)</f>
        <v/>
      </c>
      <c r="F590" s="11" t="str">
        <f aca="false">IF(B590="","",Apontamentos!E590)</f>
        <v/>
      </c>
      <c r="G590" s="10" t="str">
        <f aca="false">IF(B590="","",Apontamentos!G590&amp;"")</f>
        <v/>
      </c>
      <c r="H590" s="14" t="str">
        <f aca="false">IF('Avaliador 1'!F590='Avaliador 2'!F590,'Avaliador 1'!F590&amp;"","")</f>
        <v/>
      </c>
      <c r="I590" s="14" t="str">
        <f aca="false">IF('Avaliador 1'!G590='Avaliador 2'!G590,'Avaliador 1'!G590&amp;"","")</f>
        <v/>
      </c>
      <c r="J590" s="14" t="str">
        <f aca="false">IF('Avaliador 1'!H590='Avaliador 2'!H590,'Avaliador 1'!H590&amp;"","")</f>
        <v/>
      </c>
      <c r="K590" s="14" t="str">
        <f aca="false">IF('Avaliador 1'!I590='Avaliador 2'!I590,'Avaliador 1'!I590&amp;"","")</f>
        <v/>
      </c>
      <c r="L590" s="13"/>
      <c r="M590" s="13" t="str">
        <f aca="false">IF('Avaliador 1'!J590='Avaliador 2'!J590,'Avaliador 1'!J590&amp;"","")</f>
        <v/>
      </c>
      <c r="N590" s="11" t="str">
        <f aca="false">IF(OR('Avaliador 1'!F590="",'Avaliador 2'!F590=""),"",IF(AND('Avaliador 1'!F590='Avaliador 2'!F590,'Avaliador 1'!G590='Avaliador 2'!G590,'Avaliador 1'!H590='Avaliador 2'!H590,'Avaliador 1'!I590='Avaliador 2'!I590),"Não","Sim"))</f>
        <v/>
      </c>
      <c r="O590" s="14"/>
      <c r="P590" s="10" t="str">
        <f aca="false">IF(LEN(H590)=3,"Defeito encontrado",IF(I590="Sim","Falso alarme",IF(H590="—","Nenhum defeito apontado","")))</f>
        <v/>
      </c>
    </row>
    <row r="591" customFormat="false" ht="15" hidden="false" customHeight="false" outlineLevel="0" collapsed="false">
      <c r="A591" s="11" t="str">
        <f aca="false">Apontamentos!C591</f>
        <v/>
      </c>
      <c r="B591" s="11" t="str">
        <f aca="false">IF(Apontamentos!$C591="","",Apontamentos!A591&amp;"")</f>
        <v/>
      </c>
      <c r="C591" s="11" t="str">
        <f aca="false">IF(B591="","",IFERROR(INDEX(Execuções!$C$2:$C$97,MATCH(B591,Execuções!$A$2:$A$97,0)),"ID?"))</f>
        <v/>
      </c>
      <c r="D591" s="10" t="str">
        <f aca="false">IF(B591="","",IFERROR(INDEX(Execuções!$B$2:$B$97,MATCH(B591,Execuções!$A$2:$A$97,0)),"ID?"))</f>
        <v/>
      </c>
      <c r="E591" s="11" t="str">
        <f aca="false">IF(B591="","",Apontamentos!D591)</f>
        <v/>
      </c>
      <c r="F591" s="11" t="str">
        <f aca="false">IF(B591="","",Apontamentos!E591)</f>
        <v/>
      </c>
      <c r="G591" s="10" t="str">
        <f aca="false">IF(B591="","",Apontamentos!G591&amp;"")</f>
        <v/>
      </c>
      <c r="H591" s="14" t="str">
        <f aca="false">IF('Avaliador 1'!F591='Avaliador 2'!F591,'Avaliador 1'!F591&amp;"","")</f>
        <v/>
      </c>
      <c r="I591" s="14" t="str">
        <f aca="false">IF('Avaliador 1'!G591='Avaliador 2'!G591,'Avaliador 1'!G591&amp;"","")</f>
        <v/>
      </c>
      <c r="J591" s="14" t="str">
        <f aca="false">IF('Avaliador 1'!H591='Avaliador 2'!H591,'Avaliador 1'!H591&amp;"","")</f>
        <v/>
      </c>
      <c r="K591" s="14" t="str">
        <f aca="false">IF('Avaliador 1'!I591='Avaliador 2'!I591,'Avaliador 1'!I591&amp;"","")</f>
        <v/>
      </c>
      <c r="L591" s="13"/>
      <c r="M591" s="13" t="str">
        <f aca="false">IF('Avaliador 1'!J591='Avaliador 2'!J591,'Avaliador 1'!J591&amp;"","")</f>
        <v/>
      </c>
      <c r="N591" s="11" t="str">
        <f aca="false">IF(OR('Avaliador 1'!F591="",'Avaliador 2'!F591=""),"",IF(AND('Avaliador 1'!F591='Avaliador 2'!F591,'Avaliador 1'!G591='Avaliador 2'!G591,'Avaliador 1'!H591='Avaliador 2'!H591,'Avaliador 1'!I591='Avaliador 2'!I591),"Não","Sim"))</f>
        <v/>
      </c>
      <c r="O591" s="14"/>
      <c r="P591" s="10" t="str">
        <f aca="false">IF(LEN(H591)=3,"Defeito encontrado",IF(I591="Sim","Falso alarme",IF(H591="—","Nenhum defeito apontado","")))</f>
        <v/>
      </c>
    </row>
    <row r="592" customFormat="false" ht="15" hidden="false" customHeight="false" outlineLevel="0" collapsed="false">
      <c r="A592" s="11" t="str">
        <f aca="false">Apontamentos!C592</f>
        <v/>
      </c>
      <c r="B592" s="11" t="str">
        <f aca="false">IF(Apontamentos!$C592="","",Apontamentos!A592&amp;"")</f>
        <v/>
      </c>
      <c r="C592" s="11" t="str">
        <f aca="false">IF(B592="","",IFERROR(INDEX(Execuções!$C$2:$C$97,MATCH(B592,Execuções!$A$2:$A$97,0)),"ID?"))</f>
        <v/>
      </c>
      <c r="D592" s="10" t="str">
        <f aca="false">IF(B592="","",IFERROR(INDEX(Execuções!$B$2:$B$97,MATCH(B592,Execuções!$A$2:$A$97,0)),"ID?"))</f>
        <v/>
      </c>
      <c r="E592" s="11" t="str">
        <f aca="false">IF(B592="","",Apontamentos!D592)</f>
        <v/>
      </c>
      <c r="F592" s="11" t="str">
        <f aca="false">IF(B592="","",Apontamentos!E592)</f>
        <v/>
      </c>
      <c r="G592" s="10" t="str">
        <f aca="false">IF(B592="","",Apontamentos!G592&amp;"")</f>
        <v/>
      </c>
      <c r="H592" s="14" t="str">
        <f aca="false">IF('Avaliador 1'!F592='Avaliador 2'!F592,'Avaliador 1'!F592&amp;"","")</f>
        <v/>
      </c>
      <c r="I592" s="14" t="str">
        <f aca="false">IF('Avaliador 1'!G592='Avaliador 2'!G592,'Avaliador 1'!G592&amp;"","")</f>
        <v/>
      </c>
      <c r="J592" s="14" t="str">
        <f aca="false">IF('Avaliador 1'!H592='Avaliador 2'!H592,'Avaliador 1'!H592&amp;"","")</f>
        <v/>
      </c>
      <c r="K592" s="14" t="str">
        <f aca="false">IF('Avaliador 1'!I592='Avaliador 2'!I592,'Avaliador 1'!I592&amp;"","")</f>
        <v/>
      </c>
      <c r="L592" s="13"/>
      <c r="M592" s="13" t="str">
        <f aca="false">IF('Avaliador 1'!J592='Avaliador 2'!J592,'Avaliador 1'!J592&amp;"","")</f>
        <v/>
      </c>
      <c r="N592" s="11" t="str">
        <f aca="false">IF(OR('Avaliador 1'!F592="",'Avaliador 2'!F592=""),"",IF(AND('Avaliador 1'!F592='Avaliador 2'!F592,'Avaliador 1'!G592='Avaliador 2'!G592,'Avaliador 1'!H592='Avaliador 2'!H592,'Avaliador 1'!I592='Avaliador 2'!I592),"Não","Sim"))</f>
        <v/>
      </c>
      <c r="O592" s="14"/>
      <c r="P592" s="10" t="str">
        <f aca="false">IF(LEN(H592)=3,"Defeito encontrado",IF(I592="Sim","Falso alarme",IF(H592="—","Nenhum defeito apontado","")))</f>
        <v/>
      </c>
    </row>
    <row r="593" customFormat="false" ht="15" hidden="false" customHeight="false" outlineLevel="0" collapsed="false">
      <c r="A593" s="11" t="str">
        <f aca="false">Apontamentos!C593</f>
        <v/>
      </c>
      <c r="B593" s="11" t="str">
        <f aca="false">IF(Apontamentos!$C593="","",Apontamentos!A593&amp;"")</f>
        <v/>
      </c>
      <c r="C593" s="11" t="str">
        <f aca="false">IF(B593="","",IFERROR(INDEX(Execuções!$C$2:$C$97,MATCH(B593,Execuções!$A$2:$A$97,0)),"ID?"))</f>
        <v/>
      </c>
      <c r="D593" s="10" t="str">
        <f aca="false">IF(B593="","",IFERROR(INDEX(Execuções!$B$2:$B$97,MATCH(B593,Execuções!$A$2:$A$97,0)),"ID?"))</f>
        <v/>
      </c>
      <c r="E593" s="11" t="str">
        <f aca="false">IF(B593="","",Apontamentos!D593)</f>
        <v/>
      </c>
      <c r="F593" s="11" t="str">
        <f aca="false">IF(B593="","",Apontamentos!E593)</f>
        <v/>
      </c>
      <c r="G593" s="10" t="str">
        <f aca="false">IF(B593="","",Apontamentos!G593&amp;"")</f>
        <v/>
      </c>
      <c r="H593" s="14" t="str">
        <f aca="false">IF('Avaliador 1'!F593='Avaliador 2'!F593,'Avaliador 1'!F593&amp;"","")</f>
        <v/>
      </c>
      <c r="I593" s="14" t="str">
        <f aca="false">IF('Avaliador 1'!G593='Avaliador 2'!G593,'Avaliador 1'!G593&amp;"","")</f>
        <v/>
      </c>
      <c r="J593" s="14" t="str">
        <f aca="false">IF('Avaliador 1'!H593='Avaliador 2'!H593,'Avaliador 1'!H593&amp;"","")</f>
        <v/>
      </c>
      <c r="K593" s="14" t="str">
        <f aca="false">IF('Avaliador 1'!I593='Avaliador 2'!I593,'Avaliador 1'!I593&amp;"","")</f>
        <v/>
      </c>
      <c r="L593" s="13"/>
      <c r="M593" s="13" t="str">
        <f aca="false">IF('Avaliador 1'!J593='Avaliador 2'!J593,'Avaliador 1'!J593&amp;"","")</f>
        <v/>
      </c>
      <c r="N593" s="11" t="str">
        <f aca="false">IF(OR('Avaliador 1'!F593="",'Avaliador 2'!F593=""),"",IF(AND('Avaliador 1'!F593='Avaliador 2'!F593,'Avaliador 1'!G593='Avaliador 2'!G593,'Avaliador 1'!H593='Avaliador 2'!H593,'Avaliador 1'!I593='Avaliador 2'!I593),"Não","Sim"))</f>
        <v/>
      </c>
      <c r="O593" s="14"/>
      <c r="P593" s="10" t="str">
        <f aca="false">IF(LEN(H593)=3,"Defeito encontrado",IF(I593="Sim","Falso alarme",IF(H593="—","Nenhum defeito apontado","")))</f>
        <v/>
      </c>
    </row>
    <row r="594" customFormat="false" ht="15" hidden="false" customHeight="false" outlineLevel="0" collapsed="false">
      <c r="A594" s="11" t="str">
        <f aca="false">Apontamentos!C594</f>
        <v/>
      </c>
      <c r="B594" s="11" t="str">
        <f aca="false">IF(Apontamentos!$C594="","",Apontamentos!A594&amp;"")</f>
        <v/>
      </c>
      <c r="C594" s="11" t="str">
        <f aca="false">IF(B594="","",IFERROR(INDEX(Execuções!$C$2:$C$97,MATCH(B594,Execuções!$A$2:$A$97,0)),"ID?"))</f>
        <v/>
      </c>
      <c r="D594" s="10" t="str">
        <f aca="false">IF(B594="","",IFERROR(INDEX(Execuções!$B$2:$B$97,MATCH(B594,Execuções!$A$2:$A$97,0)),"ID?"))</f>
        <v/>
      </c>
      <c r="E594" s="11" t="str">
        <f aca="false">IF(B594="","",Apontamentos!D594)</f>
        <v/>
      </c>
      <c r="F594" s="11" t="str">
        <f aca="false">IF(B594="","",Apontamentos!E594)</f>
        <v/>
      </c>
      <c r="G594" s="10" t="str">
        <f aca="false">IF(B594="","",Apontamentos!G594&amp;"")</f>
        <v/>
      </c>
      <c r="H594" s="14" t="str">
        <f aca="false">IF('Avaliador 1'!F594='Avaliador 2'!F594,'Avaliador 1'!F594&amp;"","")</f>
        <v/>
      </c>
      <c r="I594" s="14" t="str">
        <f aca="false">IF('Avaliador 1'!G594='Avaliador 2'!G594,'Avaliador 1'!G594&amp;"","")</f>
        <v/>
      </c>
      <c r="J594" s="14" t="str">
        <f aca="false">IF('Avaliador 1'!H594='Avaliador 2'!H594,'Avaliador 1'!H594&amp;"","")</f>
        <v/>
      </c>
      <c r="K594" s="14" t="str">
        <f aca="false">IF('Avaliador 1'!I594='Avaliador 2'!I594,'Avaliador 1'!I594&amp;"","")</f>
        <v/>
      </c>
      <c r="L594" s="13"/>
      <c r="M594" s="13" t="str">
        <f aca="false">IF('Avaliador 1'!J594='Avaliador 2'!J594,'Avaliador 1'!J594&amp;"","")</f>
        <v/>
      </c>
      <c r="N594" s="11" t="str">
        <f aca="false">IF(OR('Avaliador 1'!F594="",'Avaliador 2'!F594=""),"",IF(AND('Avaliador 1'!F594='Avaliador 2'!F594,'Avaliador 1'!G594='Avaliador 2'!G594,'Avaliador 1'!H594='Avaliador 2'!H594,'Avaliador 1'!I594='Avaliador 2'!I594),"Não","Sim"))</f>
        <v/>
      </c>
      <c r="O594" s="14"/>
      <c r="P594" s="10" t="str">
        <f aca="false">IF(LEN(H594)=3,"Defeito encontrado",IF(I594="Sim","Falso alarme",IF(H594="—","Nenhum defeito apontado","")))</f>
        <v/>
      </c>
    </row>
    <row r="595" customFormat="false" ht="15" hidden="false" customHeight="false" outlineLevel="0" collapsed="false">
      <c r="A595" s="11" t="str">
        <f aca="false">Apontamentos!C595</f>
        <v/>
      </c>
      <c r="B595" s="11" t="str">
        <f aca="false">IF(Apontamentos!$C595="","",Apontamentos!A595&amp;"")</f>
        <v/>
      </c>
      <c r="C595" s="11" t="str">
        <f aca="false">IF(B595="","",IFERROR(INDEX(Execuções!$C$2:$C$97,MATCH(B595,Execuções!$A$2:$A$97,0)),"ID?"))</f>
        <v/>
      </c>
      <c r="D595" s="10" t="str">
        <f aca="false">IF(B595="","",IFERROR(INDEX(Execuções!$B$2:$B$97,MATCH(B595,Execuções!$A$2:$A$97,0)),"ID?"))</f>
        <v/>
      </c>
      <c r="E595" s="11" t="str">
        <f aca="false">IF(B595="","",Apontamentos!D595)</f>
        <v/>
      </c>
      <c r="F595" s="11" t="str">
        <f aca="false">IF(B595="","",Apontamentos!E595)</f>
        <v/>
      </c>
      <c r="G595" s="10" t="str">
        <f aca="false">IF(B595="","",Apontamentos!G595&amp;"")</f>
        <v/>
      </c>
      <c r="H595" s="14" t="str">
        <f aca="false">IF('Avaliador 1'!F595='Avaliador 2'!F595,'Avaliador 1'!F595&amp;"","")</f>
        <v/>
      </c>
      <c r="I595" s="14" t="str">
        <f aca="false">IF('Avaliador 1'!G595='Avaliador 2'!G595,'Avaliador 1'!G595&amp;"","")</f>
        <v/>
      </c>
      <c r="J595" s="14" t="str">
        <f aca="false">IF('Avaliador 1'!H595='Avaliador 2'!H595,'Avaliador 1'!H595&amp;"","")</f>
        <v/>
      </c>
      <c r="K595" s="14" t="str">
        <f aca="false">IF('Avaliador 1'!I595='Avaliador 2'!I595,'Avaliador 1'!I595&amp;"","")</f>
        <v/>
      </c>
      <c r="L595" s="13"/>
      <c r="M595" s="13" t="str">
        <f aca="false">IF('Avaliador 1'!J595='Avaliador 2'!J595,'Avaliador 1'!J595&amp;"","")</f>
        <v/>
      </c>
      <c r="N595" s="11" t="str">
        <f aca="false">IF(OR('Avaliador 1'!F595="",'Avaliador 2'!F595=""),"",IF(AND('Avaliador 1'!F595='Avaliador 2'!F595,'Avaliador 1'!G595='Avaliador 2'!G595,'Avaliador 1'!H595='Avaliador 2'!H595,'Avaliador 1'!I595='Avaliador 2'!I595),"Não","Sim"))</f>
        <v/>
      </c>
      <c r="O595" s="14"/>
      <c r="P595" s="10" t="str">
        <f aca="false">IF(LEN(H595)=3,"Defeito encontrado",IF(I595="Sim","Falso alarme",IF(H595="—","Nenhum defeito apontado","")))</f>
        <v/>
      </c>
    </row>
    <row r="596" customFormat="false" ht="15" hidden="false" customHeight="false" outlineLevel="0" collapsed="false">
      <c r="A596" s="11" t="str">
        <f aca="false">Apontamentos!C596</f>
        <v/>
      </c>
      <c r="B596" s="11" t="str">
        <f aca="false">IF(Apontamentos!$C596="","",Apontamentos!A596&amp;"")</f>
        <v/>
      </c>
      <c r="C596" s="11" t="str">
        <f aca="false">IF(B596="","",IFERROR(INDEX(Execuções!$C$2:$C$97,MATCH(B596,Execuções!$A$2:$A$97,0)),"ID?"))</f>
        <v/>
      </c>
      <c r="D596" s="10" t="str">
        <f aca="false">IF(B596="","",IFERROR(INDEX(Execuções!$B$2:$B$97,MATCH(B596,Execuções!$A$2:$A$97,0)),"ID?"))</f>
        <v/>
      </c>
      <c r="E596" s="11" t="str">
        <f aca="false">IF(B596="","",Apontamentos!D596)</f>
        <v/>
      </c>
      <c r="F596" s="11" t="str">
        <f aca="false">IF(B596="","",Apontamentos!E596)</f>
        <v/>
      </c>
      <c r="G596" s="10" t="str">
        <f aca="false">IF(B596="","",Apontamentos!G596&amp;"")</f>
        <v/>
      </c>
      <c r="H596" s="14" t="str">
        <f aca="false">IF('Avaliador 1'!F596='Avaliador 2'!F596,'Avaliador 1'!F596&amp;"","")</f>
        <v/>
      </c>
      <c r="I596" s="14" t="str">
        <f aca="false">IF('Avaliador 1'!G596='Avaliador 2'!G596,'Avaliador 1'!G596&amp;"","")</f>
        <v/>
      </c>
      <c r="J596" s="14" t="str">
        <f aca="false">IF('Avaliador 1'!H596='Avaliador 2'!H596,'Avaliador 1'!H596&amp;"","")</f>
        <v/>
      </c>
      <c r="K596" s="14" t="str">
        <f aca="false">IF('Avaliador 1'!I596='Avaliador 2'!I596,'Avaliador 1'!I596&amp;"","")</f>
        <v/>
      </c>
      <c r="L596" s="13"/>
      <c r="M596" s="13" t="str">
        <f aca="false">IF('Avaliador 1'!J596='Avaliador 2'!J596,'Avaliador 1'!J596&amp;"","")</f>
        <v/>
      </c>
      <c r="N596" s="11" t="str">
        <f aca="false">IF(OR('Avaliador 1'!F596="",'Avaliador 2'!F596=""),"",IF(AND('Avaliador 1'!F596='Avaliador 2'!F596,'Avaliador 1'!G596='Avaliador 2'!G596,'Avaliador 1'!H596='Avaliador 2'!H596,'Avaliador 1'!I596='Avaliador 2'!I596),"Não","Sim"))</f>
        <v/>
      </c>
      <c r="O596" s="14"/>
      <c r="P596" s="10" t="str">
        <f aca="false">IF(LEN(H596)=3,"Defeito encontrado",IF(I596="Sim","Falso alarme",IF(H596="—","Nenhum defeito apontado","")))</f>
        <v/>
      </c>
    </row>
    <row r="597" customFormat="false" ht="15" hidden="false" customHeight="false" outlineLevel="0" collapsed="false">
      <c r="A597" s="11" t="str">
        <f aca="false">Apontamentos!C597</f>
        <v/>
      </c>
      <c r="B597" s="11" t="str">
        <f aca="false">IF(Apontamentos!$C597="","",Apontamentos!A597&amp;"")</f>
        <v/>
      </c>
      <c r="C597" s="11" t="str">
        <f aca="false">IF(B597="","",IFERROR(INDEX(Execuções!$C$2:$C$97,MATCH(B597,Execuções!$A$2:$A$97,0)),"ID?"))</f>
        <v/>
      </c>
      <c r="D597" s="10" t="str">
        <f aca="false">IF(B597="","",IFERROR(INDEX(Execuções!$B$2:$B$97,MATCH(B597,Execuções!$A$2:$A$97,0)),"ID?"))</f>
        <v/>
      </c>
      <c r="E597" s="11" t="str">
        <f aca="false">IF(B597="","",Apontamentos!D597)</f>
        <v/>
      </c>
      <c r="F597" s="11" t="str">
        <f aca="false">IF(B597="","",Apontamentos!E597)</f>
        <v/>
      </c>
      <c r="G597" s="10" t="str">
        <f aca="false">IF(B597="","",Apontamentos!G597&amp;"")</f>
        <v/>
      </c>
      <c r="H597" s="14" t="str">
        <f aca="false">IF('Avaliador 1'!F597='Avaliador 2'!F597,'Avaliador 1'!F597&amp;"","")</f>
        <v/>
      </c>
      <c r="I597" s="14" t="str">
        <f aca="false">IF('Avaliador 1'!G597='Avaliador 2'!G597,'Avaliador 1'!G597&amp;"","")</f>
        <v/>
      </c>
      <c r="J597" s="14" t="str">
        <f aca="false">IF('Avaliador 1'!H597='Avaliador 2'!H597,'Avaliador 1'!H597&amp;"","")</f>
        <v/>
      </c>
      <c r="K597" s="14" t="str">
        <f aca="false">IF('Avaliador 1'!I597='Avaliador 2'!I597,'Avaliador 1'!I597&amp;"","")</f>
        <v/>
      </c>
      <c r="L597" s="13"/>
      <c r="M597" s="13" t="str">
        <f aca="false">IF('Avaliador 1'!J597='Avaliador 2'!J597,'Avaliador 1'!J597&amp;"","")</f>
        <v/>
      </c>
      <c r="N597" s="11" t="str">
        <f aca="false">IF(OR('Avaliador 1'!F597="",'Avaliador 2'!F597=""),"",IF(AND('Avaliador 1'!F597='Avaliador 2'!F597,'Avaliador 1'!G597='Avaliador 2'!G597,'Avaliador 1'!H597='Avaliador 2'!H597,'Avaliador 1'!I597='Avaliador 2'!I597),"Não","Sim"))</f>
        <v/>
      </c>
      <c r="O597" s="14"/>
      <c r="P597" s="10" t="str">
        <f aca="false">IF(LEN(H597)=3,"Defeito encontrado",IF(I597="Sim","Falso alarme",IF(H597="—","Nenhum defeito apontado","")))</f>
        <v/>
      </c>
    </row>
    <row r="598" customFormat="false" ht="15" hidden="false" customHeight="false" outlineLevel="0" collapsed="false">
      <c r="A598" s="11" t="str">
        <f aca="false">Apontamentos!C598</f>
        <v/>
      </c>
      <c r="B598" s="11" t="str">
        <f aca="false">IF(Apontamentos!$C598="","",Apontamentos!A598&amp;"")</f>
        <v/>
      </c>
      <c r="C598" s="11" t="str">
        <f aca="false">IF(B598="","",IFERROR(INDEX(Execuções!$C$2:$C$97,MATCH(B598,Execuções!$A$2:$A$97,0)),"ID?"))</f>
        <v/>
      </c>
      <c r="D598" s="10" t="str">
        <f aca="false">IF(B598="","",IFERROR(INDEX(Execuções!$B$2:$B$97,MATCH(B598,Execuções!$A$2:$A$97,0)),"ID?"))</f>
        <v/>
      </c>
      <c r="E598" s="11" t="str">
        <f aca="false">IF(B598="","",Apontamentos!D598)</f>
        <v/>
      </c>
      <c r="F598" s="11" t="str">
        <f aca="false">IF(B598="","",Apontamentos!E598)</f>
        <v/>
      </c>
      <c r="G598" s="10" t="str">
        <f aca="false">IF(B598="","",Apontamentos!G598&amp;"")</f>
        <v/>
      </c>
      <c r="H598" s="14" t="str">
        <f aca="false">IF('Avaliador 1'!F598='Avaliador 2'!F598,'Avaliador 1'!F598&amp;"","")</f>
        <v/>
      </c>
      <c r="I598" s="14" t="str">
        <f aca="false">IF('Avaliador 1'!G598='Avaliador 2'!G598,'Avaliador 1'!G598&amp;"","")</f>
        <v/>
      </c>
      <c r="J598" s="14" t="str">
        <f aca="false">IF('Avaliador 1'!H598='Avaliador 2'!H598,'Avaliador 1'!H598&amp;"","")</f>
        <v/>
      </c>
      <c r="K598" s="14" t="str">
        <f aca="false">IF('Avaliador 1'!I598='Avaliador 2'!I598,'Avaliador 1'!I598&amp;"","")</f>
        <v/>
      </c>
      <c r="L598" s="13"/>
      <c r="M598" s="13" t="str">
        <f aca="false">IF('Avaliador 1'!J598='Avaliador 2'!J598,'Avaliador 1'!J598&amp;"","")</f>
        <v/>
      </c>
      <c r="N598" s="11" t="str">
        <f aca="false">IF(OR('Avaliador 1'!F598="",'Avaliador 2'!F598=""),"",IF(AND('Avaliador 1'!F598='Avaliador 2'!F598,'Avaliador 1'!G598='Avaliador 2'!G598,'Avaliador 1'!H598='Avaliador 2'!H598,'Avaliador 1'!I598='Avaliador 2'!I598),"Não","Sim"))</f>
        <v/>
      </c>
      <c r="O598" s="14"/>
      <c r="P598" s="10" t="str">
        <f aca="false">IF(LEN(H598)=3,"Defeito encontrado",IF(I598="Sim","Falso alarme",IF(H598="—","Nenhum defeito apontado","")))</f>
        <v/>
      </c>
    </row>
    <row r="599" customFormat="false" ht="15" hidden="false" customHeight="false" outlineLevel="0" collapsed="false">
      <c r="A599" s="11" t="str">
        <f aca="false">Apontamentos!C599</f>
        <v/>
      </c>
      <c r="B599" s="11" t="str">
        <f aca="false">IF(Apontamentos!$C599="","",Apontamentos!A599&amp;"")</f>
        <v/>
      </c>
      <c r="C599" s="11" t="str">
        <f aca="false">IF(B599="","",IFERROR(INDEX(Execuções!$C$2:$C$97,MATCH(B599,Execuções!$A$2:$A$97,0)),"ID?"))</f>
        <v/>
      </c>
      <c r="D599" s="10" t="str">
        <f aca="false">IF(B599="","",IFERROR(INDEX(Execuções!$B$2:$B$97,MATCH(B599,Execuções!$A$2:$A$97,0)),"ID?"))</f>
        <v/>
      </c>
      <c r="E599" s="11" t="str">
        <f aca="false">IF(B599="","",Apontamentos!D599)</f>
        <v/>
      </c>
      <c r="F599" s="11" t="str">
        <f aca="false">IF(B599="","",Apontamentos!E599)</f>
        <v/>
      </c>
      <c r="G599" s="10" t="str">
        <f aca="false">IF(B599="","",Apontamentos!G599&amp;"")</f>
        <v/>
      </c>
      <c r="H599" s="14" t="str">
        <f aca="false">IF('Avaliador 1'!F599='Avaliador 2'!F599,'Avaliador 1'!F599&amp;"","")</f>
        <v/>
      </c>
      <c r="I599" s="14" t="str">
        <f aca="false">IF('Avaliador 1'!G599='Avaliador 2'!G599,'Avaliador 1'!G599&amp;"","")</f>
        <v/>
      </c>
      <c r="J599" s="14" t="str">
        <f aca="false">IF('Avaliador 1'!H599='Avaliador 2'!H599,'Avaliador 1'!H599&amp;"","")</f>
        <v/>
      </c>
      <c r="K599" s="14" t="str">
        <f aca="false">IF('Avaliador 1'!I599='Avaliador 2'!I599,'Avaliador 1'!I599&amp;"","")</f>
        <v/>
      </c>
      <c r="L599" s="13"/>
      <c r="M599" s="13" t="str">
        <f aca="false">IF('Avaliador 1'!J599='Avaliador 2'!J599,'Avaliador 1'!J599&amp;"","")</f>
        <v/>
      </c>
      <c r="N599" s="11" t="str">
        <f aca="false">IF(OR('Avaliador 1'!F599="",'Avaliador 2'!F599=""),"",IF(AND('Avaliador 1'!F599='Avaliador 2'!F599,'Avaliador 1'!G599='Avaliador 2'!G599,'Avaliador 1'!H599='Avaliador 2'!H599,'Avaliador 1'!I599='Avaliador 2'!I599),"Não","Sim"))</f>
        <v/>
      </c>
      <c r="O599" s="14"/>
      <c r="P599" s="10" t="str">
        <f aca="false">IF(LEN(H599)=3,"Defeito encontrado",IF(I599="Sim","Falso alarme",IF(H599="—","Nenhum defeito apontado","")))</f>
        <v/>
      </c>
    </row>
    <row r="600" customFormat="false" ht="15" hidden="false" customHeight="false" outlineLevel="0" collapsed="false">
      <c r="A600" s="11" t="str">
        <f aca="false">Apontamentos!C600</f>
        <v/>
      </c>
      <c r="B600" s="11" t="str">
        <f aca="false">IF(Apontamentos!$C600="","",Apontamentos!A600&amp;"")</f>
        <v/>
      </c>
      <c r="C600" s="11" t="str">
        <f aca="false">IF(B600="","",IFERROR(INDEX(Execuções!$C$2:$C$97,MATCH(B600,Execuções!$A$2:$A$97,0)),"ID?"))</f>
        <v/>
      </c>
      <c r="D600" s="10" t="str">
        <f aca="false">IF(B600="","",IFERROR(INDEX(Execuções!$B$2:$B$97,MATCH(B600,Execuções!$A$2:$A$97,0)),"ID?"))</f>
        <v/>
      </c>
      <c r="E600" s="11" t="str">
        <f aca="false">IF(B600="","",Apontamentos!D600)</f>
        <v/>
      </c>
      <c r="F600" s="11" t="str">
        <f aca="false">IF(B600="","",Apontamentos!E600)</f>
        <v/>
      </c>
      <c r="G600" s="10" t="str">
        <f aca="false">IF(B600="","",Apontamentos!G600&amp;"")</f>
        <v/>
      </c>
      <c r="H600" s="14" t="str">
        <f aca="false">IF('Avaliador 1'!F600='Avaliador 2'!F600,'Avaliador 1'!F600&amp;"","")</f>
        <v/>
      </c>
      <c r="I600" s="14" t="str">
        <f aca="false">IF('Avaliador 1'!G600='Avaliador 2'!G600,'Avaliador 1'!G600&amp;"","")</f>
        <v/>
      </c>
      <c r="J600" s="14" t="str">
        <f aca="false">IF('Avaliador 1'!H600='Avaliador 2'!H600,'Avaliador 1'!H600&amp;"","")</f>
        <v/>
      </c>
      <c r="K600" s="14" t="str">
        <f aca="false">IF('Avaliador 1'!I600='Avaliador 2'!I600,'Avaliador 1'!I600&amp;"","")</f>
        <v/>
      </c>
      <c r="L600" s="13"/>
      <c r="M600" s="13" t="str">
        <f aca="false">IF('Avaliador 1'!J600='Avaliador 2'!J600,'Avaliador 1'!J600&amp;"","")</f>
        <v/>
      </c>
      <c r="N600" s="11" t="str">
        <f aca="false">IF(OR('Avaliador 1'!F600="",'Avaliador 2'!F600=""),"",IF(AND('Avaliador 1'!F600='Avaliador 2'!F600,'Avaliador 1'!G600='Avaliador 2'!G600,'Avaliador 1'!H600='Avaliador 2'!H600,'Avaliador 1'!I600='Avaliador 2'!I600),"Não","Sim"))</f>
        <v/>
      </c>
      <c r="O600" s="14"/>
      <c r="P600" s="10" t="str">
        <f aca="false">IF(LEN(H600)=3,"Defeito encontrado",IF(I600="Sim","Falso alarme",IF(H600="—","Nenhum defeito apontado","")))</f>
        <v/>
      </c>
    </row>
    <row r="601" customFormat="false" ht="15" hidden="false" customHeight="false" outlineLevel="0" collapsed="false">
      <c r="A601" s="11" t="str">
        <f aca="false">Apontamentos!C601</f>
        <v/>
      </c>
      <c r="B601" s="11" t="str">
        <f aca="false">IF(Apontamentos!$C601="","",Apontamentos!A601&amp;"")</f>
        <v/>
      </c>
      <c r="C601" s="11" t="str">
        <f aca="false">IF(B601="","",IFERROR(INDEX(Execuções!$C$2:$C$97,MATCH(B601,Execuções!$A$2:$A$97,0)),"ID?"))</f>
        <v/>
      </c>
      <c r="D601" s="10" t="str">
        <f aca="false">IF(B601="","",IFERROR(INDEX(Execuções!$B$2:$B$97,MATCH(B601,Execuções!$A$2:$A$97,0)),"ID?"))</f>
        <v/>
      </c>
      <c r="E601" s="11" t="str">
        <f aca="false">IF(B601="","",Apontamentos!D601)</f>
        <v/>
      </c>
      <c r="F601" s="11" t="str">
        <f aca="false">IF(B601="","",Apontamentos!E601)</f>
        <v/>
      </c>
      <c r="G601" s="10" t="str">
        <f aca="false">IF(B601="","",Apontamentos!G601&amp;"")</f>
        <v/>
      </c>
      <c r="H601" s="14" t="str">
        <f aca="false">IF('Avaliador 1'!F601='Avaliador 2'!F601,'Avaliador 1'!F601&amp;"","")</f>
        <v/>
      </c>
      <c r="I601" s="14" t="str">
        <f aca="false">IF('Avaliador 1'!G601='Avaliador 2'!G601,'Avaliador 1'!G601&amp;"","")</f>
        <v/>
      </c>
      <c r="J601" s="14" t="str">
        <f aca="false">IF('Avaliador 1'!H601='Avaliador 2'!H601,'Avaliador 1'!H601&amp;"","")</f>
        <v/>
      </c>
      <c r="K601" s="14" t="str">
        <f aca="false">IF('Avaliador 1'!I601='Avaliador 2'!I601,'Avaliador 1'!I601&amp;"","")</f>
        <v/>
      </c>
      <c r="L601" s="13"/>
      <c r="M601" s="13" t="str">
        <f aca="false">IF('Avaliador 1'!J601='Avaliador 2'!J601,'Avaliador 1'!J601&amp;"","")</f>
        <v/>
      </c>
      <c r="N601" s="11" t="str">
        <f aca="false">IF(OR('Avaliador 1'!F601="",'Avaliador 2'!F601=""),"",IF(AND('Avaliador 1'!F601='Avaliador 2'!F601,'Avaliador 1'!G601='Avaliador 2'!G601,'Avaliador 1'!H601='Avaliador 2'!H601,'Avaliador 1'!I601='Avaliador 2'!I601),"Não","Sim"))</f>
        <v/>
      </c>
      <c r="O601" s="14"/>
      <c r="P601" s="10" t="str">
        <f aca="false">IF(LEN(H601)=3,"Defeito encontrado",IF(I601="Sim","Falso alarme",IF(H601="—","Nenhum defeito apontado","")))</f>
        <v/>
      </c>
    </row>
  </sheetData>
  <autoFilter ref="A1:P601"/>
  <conditionalFormatting sqref="A2:P601">
    <cfRule type="expression" priority="2" aboveAverage="0" equalAverage="0" bottom="0" percent="0" rank="0" text="" dxfId="6">
      <formula>$N2="Sim"</formula>
    </cfRule>
  </conditionalFormatting>
  <dataValidations count="4">
    <dataValidation allowBlank="true" error="Escolha um valor da lista." errorStyle="stop" operator="between" showDropDown="false" showErrorMessage="true" showInputMessage="false" sqref="H2:H601" type="list">
      <formula1>Listas!$A$2:$A$14</formula1>
      <formula2>0</formula2>
    </dataValidation>
    <dataValidation allowBlank="true" error="Escolha um valor da lista." errorStyle="stop" operator="between" showDropDown="false" showErrorMessage="true" showInputMessage="false" sqref="I2:K601" type="list">
      <formula1>Listas!$B$2:$B$3</formula1>
      <formula2>0</formula2>
    </dataValidation>
    <dataValidation allowBlank="true" error="Escolha um valor da lista." errorStyle="stop" operator="between" showDropDown="false" showErrorMessage="true" showInputMessage="false" sqref="O2:O601" type="list">
      <formula1>Listas!$B$2:$B$3</formula1>
      <formula2>0</formula2>
    </dataValidation>
    <dataValidation allowBlank="true" errorStyle="stop" operator="between" showDropDown="false" showErrorMessage="false" showInputMessage="false" sqref="M2:M601" type="list">
      <formula1>Listas!$C$2:$C$13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36" hidden="false" customHeight="true" outlineLevel="0" collapsed="false">
      <c r="A1" s="8" t="s">
        <v>40</v>
      </c>
      <c r="B1" s="8" t="s">
        <v>41</v>
      </c>
      <c r="C1" s="8" t="s">
        <v>42</v>
      </c>
      <c r="D1" s="8" t="s">
        <v>44</v>
      </c>
      <c r="E1" s="8" t="s">
        <v>19</v>
      </c>
      <c r="F1" s="8" t="s">
        <v>278</v>
      </c>
      <c r="G1" s="8" t="s">
        <v>279</v>
      </c>
      <c r="H1" s="8" t="s">
        <v>280</v>
      </c>
    </row>
    <row r="2" customFormat="false" ht="15" hidden="false" customHeight="false" outlineLevel="0" collapsed="false">
      <c r="A2" s="11" t="s">
        <v>84</v>
      </c>
      <c r="B2" s="10" t="s">
        <v>57</v>
      </c>
      <c r="C2" s="11" t="n">
        <v>1</v>
      </c>
      <c r="D2" s="11" t="s">
        <v>78</v>
      </c>
      <c r="E2" s="11" t="s">
        <v>281</v>
      </c>
      <c r="F2" s="10" t="s">
        <v>282</v>
      </c>
      <c r="G2" s="11" t="str">
        <f aca="false">IF(Execuções!$I$9="","",IF(COUNTIFS(Consenso!$B$2:$B$601,A2,Consenso!$H$2:$H$601,E2)&gt;0,"Sim","Não"))</f>
        <v/>
      </c>
      <c r="H2" s="11" t="str">
        <f aca="false">IF(G2="","",IF(G2="Não","Sim","Não"))</f>
        <v/>
      </c>
    </row>
    <row r="3" customFormat="false" ht="15" hidden="false" customHeight="false" outlineLevel="0" collapsed="false">
      <c r="A3" s="11" t="s">
        <v>84</v>
      </c>
      <c r="B3" s="10" t="s">
        <v>57</v>
      </c>
      <c r="C3" s="11" t="n">
        <v>1</v>
      </c>
      <c r="D3" s="11" t="s">
        <v>78</v>
      </c>
      <c r="E3" s="11" t="s">
        <v>283</v>
      </c>
      <c r="F3" s="10" t="s">
        <v>284</v>
      </c>
      <c r="G3" s="11" t="str">
        <f aca="false">IF(Execuções!$I$9="","",IF(COUNTIFS(Consenso!$B$2:$B$601,A3,Consenso!$H$2:$H$601,E3)&gt;0,"Sim","Não"))</f>
        <v/>
      </c>
      <c r="H3" s="11" t="str">
        <f aca="false">IF(G3="","",IF(G3="Não","Sim","Não"))</f>
        <v/>
      </c>
    </row>
    <row r="4" customFormat="false" ht="15" hidden="false" customHeight="false" outlineLevel="0" collapsed="false">
      <c r="A4" s="11" t="s">
        <v>84</v>
      </c>
      <c r="B4" s="10" t="s">
        <v>57</v>
      </c>
      <c r="C4" s="11" t="n">
        <v>1</v>
      </c>
      <c r="D4" s="11" t="s">
        <v>78</v>
      </c>
      <c r="E4" s="11" t="s">
        <v>285</v>
      </c>
      <c r="F4" s="10" t="s">
        <v>286</v>
      </c>
      <c r="G4" s="11" t="str">
        <f aca="false">IF(Execuções!$I$9="","",IF(COUNTIFS(Consenso!$B$2:$B$601,A4,Consenso!$H$2:$H$601,E4)&gt;0,"Sim","Não"))</f>
        <v/>
      </c>
      <c r="H4" s="11" t="str">
        <f aca="false">IF(G4="","",IF(G4="Não","Sim","Não"))</f>
        <v/>
      </c>
    </row>
    <row r="5" customFormat="false" ht="15" hidden="false" customHeight="false" outlineLevel="0" collapsed="false">
      <c r="A5" s="11" t="s">
        <v>99</v>
      </c>
      <c r="B5" s="10" t="s">
        <v>57</v>
      </c>
      <c r="C5" s="11" t="n">
        <v>2</v>
      </c>
      <c r="D5" s="11" t="s">
        <v>78</v>
      </c>
      <c r="E5" s="11" t="s">
        <v>281</v>
      </c>
      <c r="F5" s="10" t="s">
        <v>282</v>
      </c>
      <c r="G5" s="11" t="str">
        <f aca="false">IF(Execuções!$I$16="","",IF(COUNTIFS(Consenso!$B$2:$B$601,A5,Consenso!$H$2:$H$601,E5)&gt;0,"Sim","Não"))</f>
        <v/>
      </c>
      <c r="H5" s="11" t="str">
        <f aca="false">IF(G5="","",IF(G5="Não","Sim","Não"))</f>
        <v/>
      </c>
    </row>
    <row r="6" customFormat="false" ht="15" hidden="false" customHeight="false" outlineLevel="0" collapsed="false">
      <c r="A6" s="11" t="s">
        <v>99</v>
      </c>
      <c r="B6" s="10" t="s">
        <v>57</v>
      </c>
      <c r="C6" s="11" t="n">
        <v>2</v>
      </c>
      <c r="D6" s="11" t="s">
        <v>78</v>
      </c>
      <c r="E6" s="11" t="s">
        <v>283</v>
      </c>
      <c r="F6" s="10" t="s">
        <v>284</v>
      </c>
      <c r="G6" s="11" t="str">
        <f aca="false">IF(Execuções!$I$16="","",IF(COUNTIFS(Consenso!$B$2:$B$601,A6,Consenso!$H$2:$H$601,E6)&gt;0,"Sim","Não"))</f>
        <v/>
      </c>
      <c r="H6" s="11" t="str">
        <f aca="false">IF(G6="","",IF(G6="Não","Sim","Não"))</f>
        <v/>
      </c>
    </row>
    <row r="7" customFormat="false" ht="15" hidden="false" customHeight="false" outlineLevel="0" collapsed="false">
      <c r="A7" s="11" t="s">
        <v>99</v>
      </c>
      <c r="B7" s="10" t="s">
        <v>57</v>
      </c>
      <c r="C7" s="11" t="n">
        <v>2</v>
      </c>
      <c r="D7" s="11" t="s">
        <v>78</v>
      </c>
      <c r="E7" s="11" t="s">
        <v>285</v>
      </c>
      <c r="F7" s="10" t="s">
        <v>286</v>
      </c>
      <c r="G7" s="11" t="str">
        <f aca="false">IF(Execuções!$I$16="","",IF(COUNTIFS(Consenso!$B$2:$B$601,A7,Consenso!$H$2:$H$601,E7)&gt;0,"Sim","Não"))</f>
        <v/>
      </c>
      <c r="H7" s="11" t="str">
        <f aca="false">IF(G7="","",IF(G7="Não","Sim","Não"))</f>
        <v/>
      </c>
    </row>
    <row r="8" customFormat="false" ht="15" hidden="false" customHeight="false" outlineLevel="0" collapsed="false">
      <c r="A8" s="11" t="s">
        <v>117</v>
      </c>
      <c r="B8" s="10" t="s">
        <v>57</v>
      </c>
      <c r="C8" s="11" t="n">
        <v>3</v>
      </c>
      <c r="D8" s="11" t="s">
        <v>78</v>
      </c>
      <c r="E8" s="11" t="s">
        <v>281</v>
      </c>
      <c r="F8" s="10" t="s">
        <v>282</v>
      </c>
      <c r="G8" s="11" t="str">
        <f aca="false">IF(Execuções!$I$25="","",IF(COUNTIFS(Consenso!$B$2:$B$601,A8,Consenso!$H$2:$H$601,E8)&gt;0,"Sim","Não"))</f>
        <v/>
      </c>
      <c r="H8" s="11" t="str">
        <f aca="false">IF(G8="","",IF(G8="Não","Sim","Não"))</f>
        <v/>
      </c>
    </row>
    <row r="9" customFormat="false" ht="15" hidden="false" customHeight="false" outlineLevel="0" collapsed="false">
      <c r="A9" s="11" t="s">
        <v>117</v>
      </c>
      <c r="B9" s="10" t="s">
        <v>57</v>
      </c>
      <c r="C9" s="11" t="n">
        <v>3</v>
      </c>
      <c r="D9" s="11" t="s">
        <v>78</v>
      </c>
      <c r="E9" s="11" t="s">
        <v>283</v>
      </c>
      <c r="F9" s="10" t="s">
        <v>284</v>
      </c>
      <c r="G9" s="11" t="str">
        <f aca="false">IF(Execuções!$I$25="","",IF(COUNTIFS(Consenso!$B$2:$B$601,A9,Consenso!$H$2:$H$601,E9)&gt;0,"Sim","Não"))</f>
        <v/>
      </c>
      <c r="H9" s="11" t="str">
        <f aca="false">IF(G9="","",IF(G9="Não","Sim","Não"))</f>
        <v/>
      </c>
    </row>
    <row r="10" customFormat="false" ht="15" hidden="false" customHeight="false" outlineLevel="0" collapsed="false">
      <c r="A10" s="11" t="s">
        <v>117</v>
      </c>
      <c r="B10" s="10" t="s">
        <v>57</v>
      </c>
      <c r="C10" s="11" t="n">
        <v>3</v>
      </c>
      <c r="D10" s="11" t="s">
        <v>78</v>
      </c>
      <c r="E10" s="11" t="s">
        <v>285</v>
      </c>
      <c r="F10" s="10" t="s">
        <v>286</v>
      </c>
      <c r="G10" s="11" t="str">
        <f aca="false">IF(Execuções!$I$25="","",IF(COUNTIFS(Consenso!$B$2:$B$601,A10,Consenso!$H$2:$H$601,E10)&gt;0,"Sim","Não"))</f>
        <v/>
      </c>
      <c r="H10" s="11" t="str">
        <f aca="false">IF(G10="","",IF(G10="Não","Sim","Não"))</f>
        <v/>
      </c>
    </row>
    <row r="11" customFormat="false" ht="15" hidden="false" customHeight="false" outlineLevel="0" collapsed="false">
      <c r="A11" s="11" t="s">
        <v>81</v>
      </c>
      <c r="B11" s="10" t="s">
        <v>57</v>
      </c>
      <c r="C11" s="11" t="n">
        <v>1</v>
      </c>
      <c r="D11" s="11" t="s">
        <v>71</v>
      </c>
      <c r="E11" s="11" t="s">
        <v>287</v>
      </c>
      <c r="F11" s="10" t="s">
        <v>288</v>
      </c>
      <c r="G11" s="11" t="str">
        <f aca="false">IF(Execuções!$I$8="","",IF(COUNTIFS(Consenso!$B$2:$B$601,A11,Consenso!$H$2:$H$601,E11)&gt;0,"Sim","Não"))</f>
        <v/>
      </c>
      <c r="H11" s="11" t="str">
        <f aca="false">IF(G11="","",IF(G11="Não","Sim","Não"))</f>
        <v/>
      </c>
    </row>
    <row r="12" customFormat="false" ht="15" hidden="false" customHeight="false" outlineLevel="0" collapsed="false">
      <c r="A12" s="11" t="s">
        <v>81</v>
      </c>
      <c r="B12" s="10" t="s">
        <v>57</v>
      </c>
      <c r="C12" s="11" t="n">
        <v>1</v>
      </c>
      <c r="D12" s="11" t="s">
        <v>71</v>
      </c>
      <c r="E12" s="11" t="s">
        <v>289</v>
      </c>
      <c r="F12" s="10" t="s">
        <v>290</v>
      </c>
      <c r="G12" s="11" t="str">
        <f aca="false">IF(Execuções!$I$8="","",IF(COUNTIFS(Consenso!$B$2:$B$601,A12,Consenso!$H$2:$H$601,E12)&gt;0,"Sim","Não"))</f>
        <v/>
      </c>
      <c r="H12" s="11" t="str">
        <f aca="false">IF(G12="","",IF(G12="Não","Sim","Não"))</f>
        <v/>
      </c>
    </row>
    <row r="13" customFormat="false" ht="15" hidden="false" customHeight="false" outlineLevel="0" collapsed="false">
      <c r="A13" s="11" t="s">
        <v>81</v>
      </c>
      <c r="B13" s="10" t="s">
        <v>57</v>
      </c>
      <c r="C13" s="11" t="n">
        <v>1</v>
      </c>
      <c r="D13" s="11" t="s">
        <v>71</v>
      </c>
      <c r="E13" s="11" t="s">
        <v>291</v>
      </c>
      <c r="F13" s="10" t="s">
        <v>284</v>
      </c>
      <c r="G13" s="11" t="str">
        <f aca="false">IF(Execuções!$I$8="","",IF(COUNTIFS(Consenso!$B$2:$B$601,A13,Consenso!$H$2:$H$601,E13)&gt;0,"Sim","Não"))</f>
        <v/>
      </c>
      <c r="H13" s="11" t="str">
        <f aca="false">IF(G13="","",IF(G13="Não","Sim","Não"))</f>
        <v/>
      </c>
    </row>
    <row r="14" customFormat="false" ht="15" hidden="false" customHeight="false" outlineLevel="0" collapsed="false">
      <c r="A14" s="11" t="s">
        <v>91</v>
      </c>
      <c r="B14" s="10" t="s">
        <v>57</v>
      </c>
      <c r="C14" s="11" t="n">
        <v>2</v>
      </c>
      <c r="D14" s="11" t="s">
        <v>71</v>
      </c>
      <c r="E14" s="11" t="s">
        <v>287</v>
      </c>
      <c r="F14" s="10" t="s">
        <v>288</v>
      </c>
      <c r="G14" s="11" t="str">
        <f aca="false">IF(Execuções!$I$12="","",IF(COUNTIFS(Consenso!$B$2:$B$601,A14,Consenso!$H$2:$H$601,E14)&gt;0,"Sim","Não"))</f>
        <v/>
      </c>
      <c r="H14" s="11" t="str">
        <f aca="false">IF(G14="","",IF(G14="Não","Sim","Não"))</f>
        <v/>
      </c>
    </row>
    <row r="15" customFormat="false" ht="15" hidden="false" customHeight="false" outlineLevel="0" collapsed="false">
      <c r="A15" s="11" t="s">
        <v>91</v>
      </c>
      <c r="B15" s="10" t="s">
        <v>57</v>
      </c>
      <c r="C15" s="11" t="n">
        <v>2</v>
      </c>
      <c r="D15" s="11" t="s">
        <v>71</v>
      </c>
      <c r="E15" s="11" t="s">
        <v>289</v>
      </c>
      <c r="F15" s="10" t="s">
        <v>290</v>
      </c>
      <c r="G15" s="11" t="str">
        <f aca="false">IF(Execuções!$I$12="","",IF(COUNTIFS(Consenso!$B$2:$B$601,A15,Consenso!$H$2:$H$601,E15)&gt;0,"Sim","Não"))</f>
        <v/>
      </c>
      <c r="H15" s="11" t="str">
        <f aca="false">IF(G15="","",IF(G15="Não","Sim","Não"))</f>
        <v/>
      </c>
    </row>
    <row r="16" customFormat="false" ht="15" hidden="false" customHeight="false" outlineLevel="0" collapsed="false">
      <c r="A16" s="11" t="s">
        <v>91</v>
      </c>
      <c r="B16" s="10" t="s">
        <v>57</v>
      </c>
      <c r="C16" s="11" t="n">
        <v>2</v>
      </c>
      <c r="D16" s="11" t="s">
        <v>71</v>
      </c>
      <c r="E16" s="11" t="s">
        <v>291</v>
      </c>
      <c r="F16" s="10" t="s">
        <v>284</v>
      </c>
      <c r="G16" s="11" t="str">
        <f aca="false">IF(Execuções!$I$12="","",IF(COUNTIFS(Consenso!$B$2:$B$601,A16,Consenso!$H$2:$H$601,E16)&gt;0,"Sim","Não"))</f>
        <v/>
      </c>
      <c r="H16" s="11" t="str">
        <f aca="false">IF(G16="","",IF(G16="Não","Sim","Não"))</f>
        <v/>
      </c>
    </row>
    <row r="17" customFormat="false" ht="15" hidden="false" customHeight="false" outlineLevel="0" collapsed="false">
      <c r="A17" s="11" t="s">
        <v>103</v>
      </c>
      <c r="B17" s="10" t="s">
        <v>57</v>
      </c>
      <c r="C17" s="11" t="n">
        <v>3</v>
      </c>
      <c r="D17" s="11" t="s">
        <v>71</v>
      </c>
      <c r="E17" s="11" t="s">
        <v>287</v>
      </c>
      <c r="F17" s="10" t="s">
        <v>288</v>
      </c>
      <c r="G17" s="11" t="str">
        <f aca="false">IF(Execuções!$I$18="","",IF(COUNTIFS(Consenso!$B$2:$B$601,A17,Consenso!$H$2:$H$601,E17)&gt;0,"Sim","Não"))</f>
        <v/>
      </c>
      <c r="H17" s="11" t="str">
        <f aca="false">IF(G17="","",IF(G17="Não","Sim","Não"))</f>
        <v/>
      </c>
    </row>
    <row r="18" customFormat="false" ht="15" hidden="false" customHeight="false" outlineLevel="0" collapsed="false">
      <c r="A18" s="11" t="s">
        <v>103</v>
      </c>
      <c r="B18" s="10" t="s">
        <v>57</v>
      </c>
      <c r="C18" s="11" t="n">
        <v>3</v>
      </c>
      <c r="D18" s="11" t="s">
        <v>71</v>
      </c>
      <c r="E18" s="11" t="s">
        <v>289</v>
      </c>
      <c r="F18" s="10" t="s">
        <v>290</v>
      </c>
      <c r="G18" s="11" t="str">
        <f aca="false">IF(Execuções!$I$18="","",IF(COUNTIFS(Consenso!$B$2:$B$601,A18,Consenso!$H$2:$H$601,E18)&gt;0,"Sim","Não"))</f>
        <v/>
      </c>
      <c r="H18" s="11" t="str">
        <f aca="false">IF(G18="","",IF(G18="Não","Sim","Não"))</f>
        <v/>
      </c>
    </row>
    <row r="19" customFormat="false" ht="15" hidden="false" customHeight="false" outlineLevel="0" collapsed="false">
      <c r="A19" s="11" t="s">
        <v>103</v>
      </c>
      <c r="B19" s="10" t="s">
        <v>57</v>
      </c>
      <c r="C19" s="11" t="n">
        <v>3</v>
      </c>
      <c r="D19" s="11" t="s">
        <v>71</v>
      </c>
      <c r="E19" s="11" t="s">
        <v>291</v>
      </c>
      <c r="F19" s="10" t="s">
        <v>284</v>
      </c>
      <c r="G19" s="11" t="str">
        <f aca="false">IF(Execuções!$I$18="","",IF(COUNTIFS(Consenso!$B$2:$B$601,A19,Consenso!$H$2:$H$601,E19)&gt;0,"Sim","Não"))</f>
        <v/>
      </c>
      <c r="H19" s="11" t="str">
        <f aca="false">IF(G19="","",IF(G19="Não","Sim","Não"))</f>
        <v/>
      </c>
    </row>
    <row r="20" customFormat="false" ht="15" hidden="false" customHeight="false" outlineLevel="0" collapsed="false">
      <c r="A20" s="11" t="s">
        <v>74</v>
      </c>
      <c r="B20" s="10" t="s">
        <v>57</v>
      </c>
      <c r="C20" s="11" t="n">
        <v>1</v>
      </c>
      <c r="D20" s="11" t="s">
        <v>63</v>
      </c>
      <c r="E20" s="11" t="s">
        <v>292</v>
      </c>
      <c r="F20" s="10" t="s">
        <v>282</v>
      </c>
      <c r="G20" s="11" t="str">
        <f aca="false">IF(Execuções!$I$6="","",IF(COUNTIFS(Consenso!$B$2:$B$601,A20,Consenso!$H$2:$H$601,E20)&gt;0,"Sim","Não"))</f>
        <v/>
      </c>
      <c r="H20" s="11" t="str">
        <f aca="false">IF(G20="","",IF(G20="Não","Sim","Não"))</f>
        <v/>
      </c>
    </row>
    <row r="21" customFormat="false" ht="15" hidden="false" customHeight="false" outlineLevel="0" collapsed="false">
      <c r="A21" s="11" t="s">
        <v>74</v>
      </c>
      <c r="B21" s="10" t="s">
        <v>57</v>
      </c>
      <c r="C21" s="11" t="n">
        <v>1</v>
      </c>
      <c r="D21" s="11" t="s">
        <v>63</v>
      </c>
      <c r="E21" s="11" t="s">
        <v>293</v>
      </c>
      <c r="F21" s="10" t="s">
        <v>290</v>
      </c>
      <c r="G21" s="11" t="str">
        <f aca="false">IF(Execuções!$I$6="","",IF(COUNTIFS(Consenso!$B$2:$B$601,A21,Consenso!$H$2:$H$601,E21)&gt;0,"Sim","Não"))</f>
        <v/>
      </c>
      <c r="H21" s="11" t="str">
        <f aca="false">IF(G21="","",IF(G21="Não","Sim","Não"))</f>
        <v/>
      </c>
    </row>
    <row r="22" customFormat="false" ht="15" hidden="false" customHeight="false" outlineLevel="0" collapsed="false">
      <c r="A22" s="11" t="s">
        <v>74</v>
      </c>
      <c r="B22" s="10" t="s">
        <v>57</v>
      </c>
      <c r="C22" s="11" t="n">
        <v>1</v>
      </c>
      <c r="D22" s="11" t="s">
        <v>63</v>
      </c>
      <c r="E22" s="11" t="s">
        <v>294</v>
      </c>
      <c r="F22" s="10" t="s">
        <v>288</v>
      </c>
      <c r="G22" s="11" t="str">
        <f aca="false">IF(Execuções!$I$6="","",IF(COUNTIFS(Consenso!$B$2:$B$601,A22,Consenso!$H$2:$H$601,E22)&gt;0,"Sim","Não"))</f>
        <v/>
      </c>
      <c r="H22" s="11" t="str">
        <f aca="false">IF(G22="","",IF(G22="Não","Sim","Não"))</f>
        <v/>
      </c>
    </row>
    <row r="23" customFormat="false" ht="15" hidden="false" customHeight="false" outlineLevel="0" collapsed="false">
      <c r="A23" s="11" t="s">
        <v>89</v>
      </c>
      <c r="B23" s="10" t="s">
        <v>57</v>
      </c>
      <c r="C23" s="11" t="n">
        <v>2</v>
      </c>
      <c r="D23" s="11" t="s">
        <v>63</v>
      </c>
      <c r="E23" s="11" t="s">
        <v>292</v>
      </c>
      <c r="F23" s="10" t="s">
        <v>282</v>
      </c>
      <c r="G23" s="11" t="str">
        <f aca="false">IF(Execuções!$I$11="","",IF(COUNTIFS(Consenso!$B$2:$B$601,A23,Consenso!$H$2:$H$601,E23)&gt;0,"Sim","Não"))</f>
        <v/>
      </c>
      <c r="H23" s="11" t="str">
        <f aca="false">IF(G23="","",IF(G23="Não","Sim","Não"))</f>
        <v/>
      </c>
    </row>
    <row r="24" customFormat="false" ht="15" hidden="false" customHeight="false" outlineLevel="0" collapsed="false">
      <c r="A24" s="11" t="s">
        <v>89</v>
      </c>
      <c r="B24" s="10" t="s">
        <v>57</v>
      </c>
      <c r="C24" s="11" t="n">
        <v>2</v>
      </c>
      <c r="D24" s="11" t="s">
        <v>63</v>
      </c>
      <c r="E24" s="11" t="s">
        <v>293</v>
      </c>
      <c r="F24" s="10" t="s">
        <v>290</v>
      </c>
      <c r="G24" s="11" t="str">
        <f aca="false">IF(Execuções!$I$11="","",IF(COUNTIFS(Consenso!$B$2:$B$601,A24,Consenso!$H$2:$H$601,E24)&gt;0,"Sim","Não"))</f>
        <v/>
      </c>
      <c r="H24" s="11" t="str">
        <f aca="false">IF(G24="","",IF(G24="Não","Sim","Não"))</f>
        <v/>
      </c>
    </row>
    <row r="25" customFormat="false" ht="15" hidden="false" customHeight="false" outlineLevel="0" collapsed="false">
      <c r="A25" s="11" t="s">
        <v>89</v>
      </c>
      <c r="B25" s="10" t="s">
        <v>57</v>
      </c>
      <c r="C25" s="11" t="n">
        <v>2</v>
      </c>
      <c r="D25" s="11" t="s">
        <v>63</v>
      </c>
      <c r="E25" s="11" t="s">
        <v>294</v>
      </c>
      <c r="F25" s="10" t="s">
        <v>288</v>
      </c>
      <c r="G25" s="11" t="str">
        <f aca="false">IF(Execuções!$I$11="","",IF(COUNTIFS(Consenso!$B$2:$B$601,A25,Consenso!$H$2:$H$601,E25)&gt;0,"Sim","Não"))</f>
        <v/>
      </c>
      <c r="H25" s="11" t="str">
        <f aca="false">IF(G25="","",IF(G25="Não","Sim","Não"))</f>
        <v/>
      </c>
    </row>
    <row r="26" customFormat="false" ht="15" hidden="false" customHeight="false" outlineLevel="0" collapsed="false">
      <c r="A26" s="11" t="s">
        <v>115</v>
      </c>
      <c r="B26" s="10" t="s">
        <v>57</v>
      </c>
      <c r="C26" s="11" t="n">
        <v>3</v>
      </c>
      <c r="D26" s="11" t="s">
        <v>63</v>
      </c>
      <c r="E26" s="11" t="s">
        <v>292</v>
      </c>
      <c r="F26" s="10" t="s">
        <v>282</v>
      </c>
      <c r="G26" s="11" t="str">
        <f aca="false">IF(Execuções!$I$24="","",IF(COUNTIFS(Consenso!$B$2:$B$601,A26,Consenso!$H$2:$H$601,E26)&gt;0,"Sim","Não"))</f>
        <v/>
      </c>
      <c r="H26" s="11" t="str">
        <f aca="false">IF(G26="","",IF(G26="Não","Sim","Não"))</f>
        <v/>
      </c>
    </row>
    <row r="27" customFormat="false" ht="15" hidden="false" customHeight="false" outlineLevel="0" collapsed="false">
      <c r="A27" s="11" t="s">
        <v>115</v>
      </c>
      <c r="B27" s="10" t="s">
        <v>57</v>
      </c>
      <c r="C27" s="11" t="n">
        <v>3</v>
      </c>
      <c r="D27" s="11" t="s">
        <v>63</v>
      </c>
      <c r="E27" s="11" t="s">
        <v>293</v>
      </c>
      <c r="F27" s="10" t="s">
        <v>290</v>
      </c>
      <c r="G27" s="11" t="str">
        <f aca="false">IF(Execuções!$I$24="","",IF(COUNTIFS(Consenso!$B$2:$B$601,A27,Consenso!$H$2:$H$601,E27)&gt;0,"Sim","Não"))</f>
        <v/>
      </c>
      <c r="H27" s="11" t="str">
        <f aca="false">IF(G27="","",IF(G27="Não","Sim","Não"))</f>
        <v/>
      </c>
    </row>
    <row r="28" customFormat="false" ht="15" hidden="false" customHeight="false" outlineLevel="0" collapsed="false">
      <c r="A28" s="11" t="s">
        <v>115</v>
      </c>
      <c r="B28" s="10" t="s">
        <v>57</v>
      </c>
      <c r="C28" s="11" t="n">
        <v>3</v>
      </c>
      <c r="D28" s="11" t="s">
        <v>63</v>
      </c>
      <c r="E28" s="11" t="s">
        <v>294</v>
      </c>
      <c r="F28" s="10" t="s">
        <v>288</v>
      </c>
      <c r="G28" s="11" t="str">
        <f aca="false">IF(Execuções!$I$24="","",IF(COUNTIFS(Consenso!$B$2:$B$601,A28,Consenso!$H$2:$H$601,E28)&gt;0,"Sim","Não"))</f>
        <v/>
      </c>
      <c r="H28" s="11" t="str">
        <f aca="false">IF(G28="","",IF(G28="Não","Sim","Não"))</f>
        <v/>
      </c>
    </row>
    <row r="29" customFormat="false" ht="15" hidden="false" customHeight="false" outlineLevel="0" collapsed="false">
      <c r="A29" s="11" t="s">
        <v>66</v>
      </c>
      <c r="B29" s="10" t="s">
        <v>57</v>
      </c>
      <c r="C29" s="11" t="n">
        <v>1</v>
      </c>
      <c r="D29" s="11" t="s">
        <v>58</v>
      </c>
      <c r="E29" s="11" t="s">
        <v>295</v>
      </c>
      <c r="F29" s="10" t="s">
        <v>284</v>
      </c>
      <c r="G29" s="11" t="str">
        <f aca="false">IF(Execuções!$I$4="","",IF(COUNTIFS(Consenso!$B$2:$B$601,A29,Consenso!$H$2:$H$601,E29)&gt;0,"Sim","Não"))</f>
        <v/>
      </c>
      <c r="H29" s="11" t="str">
        <f aca="false">IF(G29="","",IF(G29="Não","Sim","Não"))</f>
        <v/>
      </c>
    </row>
    <row r="30" customFormat="false" ht="15" hidden="false" customHeight="false" outlineLevel="0" collapsed="false">
      <c r="A30" s="11" t="s">
        <v>66</v>
      </c>
      <c r="B30" s="10" t="s">
        <v>57</v>
      </c>
      <c r="C30" s="11" t="n">
        <v>1</v>
      </c>
      <c r="D30" s="11" t="s">
        <v>58</v>
      </c>
      <c r="E30" s="11" t="s">
        <v>296</v>
      </c>
      <c r="F30" s="10" t="s">
        <v>290</v>
      </c>
      <c r="G30" s="11" t="str">
        <f aca="false">IF(Execuções!$I$4="","",IF(COUNTIFS(Consenso!$B$2:$B$601,A30,Consenso!$H$2:$H$601,E30)&gt;0,"Sim","Não"))</f>
        <v/>
      </c>
      <c r="H30" s="11" t="str">
        <f aca="false">IF(G30="","",IF(G30="Não","Sim","Não"))</f>
        <v/>
      </c>
    </row>
    <row r="31" customFormat="false" ht="15" hidden="false" customHeight="false" outlineLevel="0" collapsed="false">
      <c r="A31" s="11" t="s">
        <v>66</v>
      </c>
      <c r="B31" s="10" t="s">
        <v>57</v>
      </c>
      <c r="C31" s="11" t="n">
        <v>1</v>
      </c>
      <c r="D31" s="11" t="s">
        <v>58</v>
      </c>
      <c r="E31" s="11" t="s">
        <v>297</v>
      </c>
      <c r="F31" s="10" t="s">
        <v>282</v>
      </c>
      <c r="G31" s="11" t="str">
        <f aca="false">IF(Execuções!$I$4="","",IF(COUNTIFS(Consenso!$B$2:$B$601,A31,Consenso!$H$2:$H$601,E31)&gt;0,"Sim","Não"))</f>
        <v/>
      </c>
      <c r="H31" s="11" t="str">
        <f aca="false">IF(G31="","",IF(G31="Não","Sim","Não"))</f>
        <v/>
      </c>
    </row>
    <row r="32" customFormat="false" ht="15" hidden="false" customHeight="false" outlineLevel="0" collapsed="false">
      <c r="A32" s="11" t="s">
        <v>93</v>
      </c>
      <c r="B32" s="10" t="s">
        <v>57</v>
      </c>
      <c r="C32" s="11" t="n">
        <v>2</v>
      </c>
      <c r="D32" s="11" t="s">
        <v>58</v>
      </c>
      <c r="E32" s="11" t="s">
        <v>295</v>
      </c>
      <c r="F32" s="10" t="s">
        <v>284</v>
      </c>
      <c r="G32" s="11" t="str">
        <f aca="false">IF(Execuções!$I$13="","",IF(COUNTIFS(Consenso!$B$2:$B$601,A32,Consenso!$H$2:$H$601,E32)&gt;0,"Sim","Não"))</f>
        <v/>
      </c>
      <c r="H32" s="11" t="str">
        <f aca="false">IF(G32="","",IF(G32="Não","Sim","Não"))</f>
        <v/>
      </c>
    </row>
    <row r="33" customFormat="false" ht="15" hidden="false" customHeight="false" outlineLevel="0" collapsed="false">
      <c r="A33" s="11" t="s">
        <v>93</v>
      </c>
      <c r="B33" s="10" t="s">
        <v>57</v>
      </c>
      <c r="C33" s="11" t="n">
        <v>2</v>
      </c>
      <c r="D33" s="11" t="s">
        <v>58</v>
      </c>
      <c r="E33" s="11" t="s">
        <v>296</v>
      </c>
      <c r="F33" s="10" t="s">
        <v>290</v>
      </c>
      <c r="G33" s="11" t="str">
        <f aca="false">IF(Execuções!$I$13="","",IF(COUNTIFS(Consenso!$B$2:$B$601,A33,Consenso!$H$2:$H$601,E33)&gt;0,"Sim","Não"))</f>
        <v/>
      </c>
      <c r="H33" s="11" t="str">
        <f aca="false">IF(G33="","",IF(G33="Não","Sim","Não"))</f>
        <v/>
      </c>
    </row>
    <row r="34" customFormat="false" ht="15" hidden="false" customHeight="false" outlineLevel="0" collapsed="false">
      <c r="A34" s="11" t="s">
        <v>93</v>
      </c>
      <c r="B34" s="10" t="s">
        <v>57</v>
      </c>
      <c r="C34" s="11" t="n">
        <v>2</v>
      </c>
      <c r="D34" s="11" t="s">
        <v>58</v>
      </c>
      <c r="E34" s="11" t="s">
        <v>297</v>
      </c>
      <c r="F34" s="10" t="s">
        <v>282</v>
      </c>
      <c r="G34" s="11" t="str">
        <f aca="false">IF(Execuções!$I$13="","",IF(COUNTIFS(Consenso!$B$2:$B$601,A34,Consenso!$H$2:$H$601,E34)&gt;0,"Sim","Não"))</f>
        <v/>
      </c>
      <c r="H34" s="11" t="str">
        <f aca="false">IF(G34="","",IF(G34="Não","Sim","Não"))</f>
        <v/>
      </c>
    </row>
    <row r="35" customFormat="false" ht="15" hidden="false" customHeight="false" outlineLevel="0" collapsed="false">
      <c r="A35" s="11" t="s">
        <v>105</v>
      </c>
      <c r="B35" s="10" t="s">
        <v>57</v>
      </c>
      <c r="C35" s="11" t="n">
        <v>3</v>
      </c>
      <c r="D35" s="11" t="s">
        <v>58</v>
      </c>
      <c r="E35" s="11" t="s">
        <v>295</v>
      </c>
      <c r="F35" s="10" t="s">
        <v>284</v>
      </c>
      <c r="G35" s="11" t="str">
        <f aca="false">IF(Execuções!$I$19="","",IF(COUNTIFS(Consenso!$B$2:$B$601,A35,Consenso!$H$2:$H$601,E35)&gt;0,"Sim","Não"))</f>
        <v/>
      </c>
      <c r="H35" s="11" t="str">
        <f aca="false">IF(G35="","",IF(G35="Não","Sim","Não"))</f>
        <v/>
      </c>
    </row>
    <row r="36" customFormat="false" ht="15" hidden="false" customHeight="false" outlineLevel="0" collapsed="false">
      <c r="A36" s="11" t="s">
        <v>105</v>
      </c>
      <c r="B36" s="10" t="s">
        <v>57</v>
      </c>
      <c r="C36" s="11" t="n">
        <v>3</v>
      </c>
      <c r="D36" s="11" t="s">
        <v>58</v>
      </c>
      <c r="E36" s="11" t="s">
        <v>296</v>
      </c>
      <c r="F36" s="10" t="s">
        <v>290</v>
      </c>
      <c r="G36" s="11" t="str">
        <f aca="false">IF(Execuções!$I$19="","",IF(COUNTIFS(Consenso!$B$2:$B$601,A36,Consenso!$H$2:$H$601,E36)&gt;0,"Sim","Não"))</f>
        <v/>
      </c>
      <c r="H36" s="11" t="str">
        <f aca="false">IF(G36="","",IF(G36="Não","Sim","Não"))</f>
        <v/>
      </c>
    </row>
    <row r="37" customFormat="false" ht="15" hidden="false" customHeight="false" outlineLevel="0" collapsed="false">
      <c r="A37" s="11" t="s">
        <v>105</v>
      </c>
      <c r="B37" s="10" t="s">
        <v>57</v>
      </c>
      <c r="C37" s="11" t="n">
        <v>3</v>
      </c>
      <c r="D37" s="11" t="s">
        <v>58</v>
      </c>
      <c r="E37" s="11" t="s">
        <v>297</v>
      </c>
      <c r="F37" s="10" t="s">
        <v>282</v>
      </c>
      <c r="G37" s="11" t="str">
        <f aca="false">IF(Execuções!$I$19="","",IF(COUNTIFS(Consenso!$B$2:$B$601,A37,Consenso!$H$2:$H$601,E37)&gt;0,"Sim","Não"))</f>
        <v/>
      </c>
      <c r="H37" s="11" t="str">
        <f aca="false">IF(G37="","",IF(G37="Não","Sim","Não"))</f>
        <v/>
      </c>
    </row>
    <row r="38" customFormat="false" ht="15" hidden="false" customHeight="false" outlineLevel="0" collapsed="false">
      <c r="A38" s="11" t="s">
        <v>128</v>
      </c>
      <c r="B38" s="10" t="s">
        <v>120</v>
      </c>
      <c r="C38" s="11" t="n">
        <v>1</v>
      </c>
      <c r="D38" s="11" t="s">
        <v>78</v>
      </c>
      <c r="E38" s="11" t="s">
        <v>281</v>
      </c>
      <c r="F38" s="10" t="s">
        <v>282</v>
      </c>
      <c r="G38" s="11" t="str">
        <f aca="false">IF(Execuções!$I$30="","",IF(COUNTIFS(Consenso!$B$2:$B$601,A38,Consenso!$H$2:$H$601,E38)&gt;0,"Sim","Não"))</f>
        <v/>
      </c>
      <c r="H38" s="11" t="str">
        <f aca="false">IF(G38="","",IF(G38="Não","Sim","Não"))</f>
        <v/>
      </c>
    </row>
    <row r="39" customFormat="false" ht="15" hidden="false" customHeight="false" outlineLevel="0" collapsed="false">
      <c r="A39" s="11" t="s">
        <v>128</v>
      </c>
      <c r="B39" s="10" t="s">
        <v>120</v>
      </c>
      <c r="C39" s="11" t="n">
        <v>1</v>
      </c>
      <c r="D39" s="11" t="s">
        <v>78</v>
      </c>
      <c r="E39" s="11" t="s">
        <v>283</v>
      </c>
      <c r="F39" s="10" t="s">
        <v>284</v>
      </c>
      <c r="G39" s="11" t="str">
        <f aca="false">IF(Execuções!$I$30="","",IF(COUNTIFS(Consenso!$B$2:$B$601,A39,Consenso!$H$2:$H$601,E39)&gt;0,"Sim","Não"))</f>
        <v/>
      </c>
      <c r="H39" s="11" t="str">
        <f aca="false">IF(G39="","",IF(G39="Não","Sim","Não"))</f>
        <v/>
      </c>
    </row>
    <row r="40" customFormat="false" ht="15" hidden="false" customHeight="false" outlineLevel="0" collapsed="false">
      <c r="A40" s="11" t="s">
        <v>128</v>
      </c>
      <c r="B40" s="10" t="s">
        <v>120</v>
      </c>
      <c r="C40" s="11" t="n">
        <v>1</v>
      </c>
      <c r="D40" s="11" t="s">
        <v>78</v>
      </c>
      <c r="E40" s="11" t="s">
        <v>285</v>
      </c>
      <c r="F40" s="10" t="s">
        <v>286</v>
      </c>
      <c r="G40" s="11" t="str">
        <f aca="false">IF(Execuções!$I$30="","",IF(COUNTIFS(Consenso!$B$2:$B$601,A40,Consenso!$H$2:$H$601,E40)&gt;0,"Sim","Não"))</f>
        <v/>
      </c>
      <c r="H40" s="11" t="str">
        <f aca="false">IF(G40="","",IF(G40="Não","Sim","Não"))</f>
        <v/>
      </c>
    </row>
    <row r="41" customFormat="false" ht="15" hidden="false" customHeight="false" outlineLevel="0" collapsed="false">
      <c r="A41" s="11" t="s">
        <v>148</v>
      </c>
      <c r="B41" s="10" t="s">
        <v>120</v>
      </c>
      <c r="C41" s="11" t="n">
        <v>2</v>
      </c>
      <c r="D41" s="11" t="s">
        <v>78</v>
      </c>
      <c r="E41" s="11" t="s">
        <v>281</v>
      </c>
      <c r="F41" s="10" t="s">
        <v>282</v>
      </c>
      <c r="G41" s="11" t="str">
        <f aca="false">IF(Execuções!$I$40="","",IF(COUNTIFS(Consenso!$B$2:$B$601,A41,Consenso!$H$2:$H$601,E41)&gt;0,"Sim","Não"))</f>
        <v/>
      </c>
      <c r="H41" s="11" t="str">
        <f aca="false">IF(G41="","",IF(G41="Não","Sim","Não"))</f>
        <v/>
      </c>
    </row>
    <row r="42" customFormat="false" ht="15" hidden="false" customHeight="false" outlineLevel="0" collapsed="false">
      <c r="A42" s="11" t="s">
        <v>148</v>
      </c>
      <c r="B42" s="10" t="s">
        <v>120</v>
      </c>
      <c r="C42" s="11" t="n">
        <v>2</v>
      </c>
      <c r="D42" s="11" t="s">
        <v>78</v>
      </c>
      <c r="E42" s="11" t="s">
        <v>283</v>
      </c>
      <c r="F42" s="10" t="s">
        <v>284</v>
      </c>
      <c r="G42" s="11" t="str">
        <f aca="false">IF(Execuções!$I$40="","",IF(COUNTIFS(Consenso!$B$2:$B$601,A42,Consenso!$H$2:$H$601,E42)&gt;0,"Sim","Não"))</f>
        <v/>
      </c>
      <c r="H42" s="11" t="str">
        <f aca="false">IF(G42="","",IF(G42="Não","Sim","Não"))</f>
        <v/>
      </c>
    </row>
    <row r="43" customFormat="false" ht="15" hidden="false" customHeight="false" outlineLevel="0" collapsed="false">
      <c r="A43" s="11" t="s">
        <v>148</v>
      </c>
      <c r="B43" s="10" t="s">
        <v>120</v>
      </c>
      <c r="C43" s="11" t="n">
        <v>2</v>
      </c>
      <c r="D43" s="11" t="s">
        <v>78</v>
      </c>
      <c r="E43" s="11" t="s">
        <v>285</v>
      </c>
      <c r="F43" s="10" t="s">
        <v>286</v>
      </c>
      <c r="G43" s="11" t="str">
        <f aca="false">IF(Execuções!$I$40="","",IF(COUNTIFS(Consenso!$B$2:$B$601,A43,Consenso!$H$2:$H$601,E43)&gt;0,"Sim","Não"))</f>
        <v/>
      </c>
      <c r="H43" s="11" t="str">
        <f aca="false">IF(G43="","",IF(G43="Não","Sim","Não"))</f>
        <v/>
      </c>
    </row>
    <row r="44" customFormat="false" ht="15" hidden="false" customHeight="false" outlineLevel="0" collapsed="false">
      <c r="A44" s="11" t="s">
        <v>152</v>
      </c>
      <c r="B44" s="10" t="s">
        <v>120</v>
      </c>
      <c r="C44" s="11" t="n">
        <v>3</v>
      </c>
      <c r="D44" s="11" t="s">
        <v>78</v>
      </c>
      <c r="E44" s="11" t="s">
        <v>281</v>
      </c>
      <c r="F44" s="10" t="s">
        <v>282</v>
      </c>
      <c r="G44" s="11" t="str">
        <f aca="false">IF(Execuções!$I$42="","",IF(COUNTIFS(Consenso!$B$2:$B$601,A44,Consenso!$H$2:$H$601,E44)&gt;0,"Sim","Não"))</f>
        <v/>
      </c>
      <c r="H44" s="11" t="str">
        <f aca="false">IF(G44="","",IF(G44="Não","Sim","Não"))</f>
        <v/>
      </c>
    </row>
    <row r="45" customFormat="false" ht="15" hidden="false" customHeight="false" outlineLevel="0" collapsed="false">
      <c r="A45" s="11" t="s">
        <v>152</v>
      </c>
      <c r="B45" s="10" t="s">
        <v>120</v>
      </c>
      <c r="C45" s="11" t="n">
        <v>3</v>
      </c>
      <c r="D45" s="11" t="s">
        <v>78</v>
      </c>
      <c r="E45" s="11" t="s">
        <v>283</v>
      </c>
      <c r="F45" s="10" t="s">
        <v>284</v>
      </c>
      <c r="G45" s="11" t="str">
        <f aca="false">IF(Execuções!$I$42="","",IF(COUNTIFS(Consenso!$B$2:$B$601,A45,Consenso!$H$2:$H$601,E45)&gt;0,"Sim","Não"))</f>
        <v/>
      </c>
      <c r="H45" s="11" t="str">
        <f aca="false">IF(G45="","",IF(G45="Não","Sim","Não"))</f>
        <v/>
      </c>
    </row>
    <row r="46" customFormat="false" ht="15" hidden="false" customHeight="false" outlineLevel="0" collapsed="false">
      <c r="A46" s="11" t="s">
        <v>152</v>
      </c>
      <c r="B46" s="10" t="s">
        <v>120</v>
      </c>
      <c r="C46" s="11" t="n">
        <v>3</v>
      </c>
      <c r="D46" s="11" t="s">
        <v>78</v>
      </c>
      <c r="E46" s="11" t="s">
        <v>285</v>
      </c>
      <c r="F46" s="10" t="s">
        <v>286</v>
      </c>
      <c r="G46" s="11" t="str">
        <f aca="false">IF(Execuções!$I$42="","",IF(COUNTIFS(Consenso!$B$2:$B$601,A46,Consenso!$H$2:$H$601,E46)&gt;0,"Sim","Não"))</f>
        <v/>
      </c>
      <c r="H46" s="11" t="str">
        <f aca="false">IF(G46="","",IF(G46="Não","Sim","Não"))</f>
        <v/>
      </c>
    </row>
    <row r="47" customFormat="false" ht="15" hidden="false" customHeight="false" outlineLevel="0" collapsed="false">
      <c r="A47" s="11" t="s">
        <v>132</v>
      </c>
      <c r="B47" s="10" t="s">
        <v>120</v>
      </c>
      <c r="C47" s="11" t="n">
        <v>1</v>
      </c>
      <c r="D47" s="11" t="s">
        <v>71</v>
      </c>
      <c r="E47" s="11" t="s">
        <v>287</v>
      </c>
      <c r="F47" s="10" t="s">
        <v>288</v>
      </c>
      <c r="G47" s="11" t="str">
        <f aca="false">IF(Execuções!$I$32="","",IF(COUNTIFS(Consenso!$B$2:$B$601,A47,Consenso!$H$2:$H$601,E47)&gt;0,"Sim","Não"))</f>
        <v/>
      </c>
      <c r="H47" s="11" t="str">
        <f aca="false">IF(G47="","",IF(G47="Não","Sim","Não"))</f>
        <v/>
      </c>
    </row>
    <row r="48" customFormat="false" ht="15" hidden="false" customHeight="false" outlineLevel="0" collapsed="false">
      <c r="A48" s="11" t="s">
        <v>132</v>
      </c>
      <c r="B48" s="10" t="s">
        <v>120</v>
      </c>
      <c r="C48" s="11" t="n">
        <v>1</v>
      </c>
      <c r="D48" s="11" t="s">
        <v>71</v>
      </c>
      <c r="E48" s="11" t="s">
        <v>289</v>
      </c>
      <c r="F48" s="10" t="s">
        <v>290</v>
      </c>
      <c r="G48" s="11" t="str">
        <f aca="false">IF(Execuções!$I$32="","",IF(COUNTIFS(Consenso!$B$2:$B$601,A48,Consenso!$H$2:$H$601,E48)&gt;0,"Sim","Não"))</f>
        <v/>
      </c>
      <c r="H48" s="11" t="str">
        <f aca="false">IF(G48="","",IF(G48="Não","Sim","Não"))</f>
        <v/>
      </c>
    </row>
    <row r="49" customFormat="false" ht="15" hidden="false" customHeight="false" outlineLevel="0" collapsed="false">
      <c r="A49" s="11" t="s">
        <v>132</v>
      </c>
      <c r="B49" s="10" t="s">
        <v>120</v>
      </c>
      <c r="C49" s="11" t="n">
        <v>1</v>
      </c>
      <c r="D49" s="11" t="s">
        <v>71</v>
      </c>
      <c r="E49" s="11" t="s">
        <v>291</v>
      </c>
      <c r="F49" s="10" t="s">
        <v>284</v>
      </c>
      <c r="G49" s="11" t="str">
        <f aca="false">IF(Execuções!$I$32="","",IF(COUNTIFS(Consenso!$B$2:$B$601,A49,Consenso!$H$2:$H$601,E49)&gt;0,"Sim","Não"))</f>
        <v/>
      </c>
      <c r="H49" s="11" t="str">
        <f aca="false">IF(G49="","",IF(G49="Não","Sim","Não"))</f>
        <v/>
      </c>
    </row>
    <row r="50" customFormat="false" ht="15" hidden="false" customHeight="false" outlineLevel="0" collapsed="false">
      <c r="A50" s="11" t="s">
        <v>146</v>
      </c>
      <c r="B50" s="10" t="s">
        <v>120</v>
      </c>
      <c r="C50" s="11" t="n">
        <v>2</v>
      </c>
      <c r="D50" s="11" t="s">
        <v>71</v>
      </c>
      <c r="E50" s="11" t="s">
        <v>287</v>
      </c>
      <c r="F50" s="10" t="s">
        <v>288</v>
      </c>
      <c r="G50" s="11" t="str">
        <f aca="false">IF(Execuções!$I$39="","",IF(COUNTIFS(Consenso!$B$2:$B$601,A50,Consenso!$H$2:$H$601,E50)&gt;0,"Sim","Não"))</f>
        <v/>
      </c>
      <c r="H50" s="11" t="str">
        <f aca="false">IF(G50="","",IF(G50="Não","Sim","Não"))</f>
        <v/>
      </c>
    </row>
    <row r="51" customFormat="false" ht="15" hidden="false" customHeight="false" outlineLevel="0" collapsed="false">
      <c r="A51" s="11" t="s">
        <v>146</v>
      </c>
      <c r="B51" s="10" t="s">
        <v>120</v>
      </c>
      <c r="C51" s="11" t="n">
        <v>2</v>
      </c>
      <c r="D51" s="11" t="s">
        <v>71</v>
      </c>
      <c r="E51" s="11" t="s">
        <v>289</v>
      </c>
      <c r="F51" s="10" t="s">
        <v>290</v>
      </c>
      <c r="G51" s="11" t="str">
        <f aca="false">IF(Execuções!$I$39="","",IF(COUNTIFS(Consenso!$B$2:$B$601,A51,Consenso!$H$2:$H$601,E51)&gt;0,"Sim","Não"))</f>
        <v/>
      </c>
      <c r="H51" s="11" t="str">
        <f aca="false">IF(G51="","",IF(G51="Não","Sim","Não"))</f>
        <v/>
      </c>
    </row>
    <row r="52" customFormat="false" ht="15" hidden="false" customHeight="false" outlineLevel="0" collapsed="false">
      <c r="A52" s="11" t="s">
        <v>146</v>
      </c>
      <c r="B52" s="10" t="s">
        <v>120</v>
      </c>
      <c r="C52" s="11" t="n">
        <v>2</v>
      </c>
      <c r="D52" s="11" t="s">
        <v>71</v>
      </c>
      <c r="E52" s="11" t="s">
        <v>291</v>
      </c>
      <c r="F52" s="10" t="s">
        <v>284</v>
      </c>
      <c r="G52" s="11" t="str">
        <f aca="false">IF(Execuções!$I$39="","",IF(COUNTIFS(Consenso!$B$2:$B$601,A52,Consenso!$H$2:$H$601,E52)&gt;0,"Sim","Não"))</f>
        <v/>
      </c>
      <c r="H52" s="11" t="str">
        <f aca="false">IF(G52="","",IF(G52="Não","Sim","Não"))</f>
        <v/>
      </c>
    </row>
    <row r="53" customFormat="false" ht="15" hidden="false" customHeight="false" outlineLevel="0" collapsed="false">
      <c r="A53" s="11" t="s">
        <v>156</v>
      </c>
      <c r="B53" s="10" t="s">
        <v>120</v>
      </c>
      <c r="C53" s="11" t="n">
        <v>3</v>
      </c>
      <c r="D53" s="11" t="s">
        <v>71</v>
      </c>
      <c r="E53" s="11" t="s">
        <v>287</v>
      </c>
      <c r="F53" s="10" t="s">
        <v>288</v>
      </c>
      <c r="G53" s="11" t="str">
        <f aca="false">IF(Execuções!$I$44="","",IF(COUNTIFS(Consenso!$B$2:$B$601,A53,Consenso!$H$2:$H$601,E53)&gt;0,"Sim","Não"))</f>
        <v/>
      </c>
      <c r="H53" s="11" t="str">
        <f aca="false">IF(G53="","",IF(G53="Não","Sim","Não"))</f>
        <v/>
      </c>
    </row>
    <row r="54" customFormat="false" ht="15" hidden="false" customHeight="false" outlineLevel="0" collapsed="false">
      <c r="A54" s="11" t="s">
        <v>156</v>
      </c>
      <c r="B54" s="10" t="s">
        <v>120</v>
      </c>
      <c r="C54" s="11" t="n">
        <v>3</v>
      </c>
      <c r="D54" s="11" t="s">
        <v>71</v>
      </c>
      <c r="E54" s="11" t="s">
        <v>289</v>
      </c>
      <c r="F54" s="10" t="s">
        <v>290</v>
      </c>
      <c r="G54" s="11" t="str">
        <f aca="false">IF(Execuções!$I$44="","",IF(COUNTIFS(Consenso!$B$2:$B$601,A54,Consenso!$H$2:$H$601,E54)&gt;0,"Sim","Não"))</f>
        <v/>
      </c>
      <c r="H54" s="11" t="str">
        <f aca="false">IF(G54="","",IF(G54="Não","Sim","Não"))</f>
        <v/>
      </c>
    </row>
    <row r="55" customFormat="false" ht="15" hidden="false" customHeight="false" outlineLevel="0" collapsed="false">
      <c r="A55" s="11" t="s">
        <v>156</v>
      </c>
      <c r="B55" s="10" t="s">
        <v>120</v>
      </c>
      <c r="C55" s="11" t="n">
        <v>3</v>
      </c>
      <c r="D55" s="11" t="s">
        <v>71</v>
      </c>
      <c r="E55" s="11" t="s">
        <v>291</v>
      </c>
      <c r="F55" s="10" t="s">
        <v>284</v>
      </c>
      <c r="G55" s="11" t="str">
        <f aca="false">IF(Execuções!$I$44="","",IF(COUNTIFS(Consenso!$B$2:$B$601,A55,Consenso!$H$2:$H$601,E55)&gt;0,"Sim","Não"))</f>
        <v/>
      </c>
      <c r="H55" s="11" t="str">
        <f aca="false">IF(G55="","",IF(G55="Não","Sim","Não"))</f>
        <v/>
      </c>
    </row>
    <row r="56" customFormat="false" ht="15" hidden="false" customHeight="false" outlineLevel="0" collapsed="false">
      <c r="A56" s="11" t="s">
        <v>126</v>
      </c>
      <c r="B56" s="10" t="s">
        <v>120</v>
      </c>
      <c r="C56" s="11" t="n">
        <v>1</v>
      </c>
      <c r="D56" s="11" t="s">
        <v>63</v>
      </c>
      <c r="E56" s="11" t="s">
        <v>292</v>
      </c>
      <c r="F56" s="10" t="s">
        <v>282</v>
      </c>
      <c r="G56" s="11" t="str">
        <f aca="false">IF(Execuções!$I$29="","",IF(COUNTIFS(Consenso!$B$2:$B$601,A56,Consenso!$H$2:$H$601,E56)&gt;0,"Sim","Não"))</f>
        <v/>
      </c>
      <c r="H56" s="11" t="str">
        <f aca="false">IF(G56="","",IF(G56="Não","Sim","Não"))</f>
        <v/>
      </c>
    </row>
    <row r="57" customFormat="false" ht="15" hidden="false" customHeight="false" outlineLevel="0" collapsed="false">
      <c r="A57" s="11" t="s">
        <v>126</v>
      </c>
      <c r="B57" s="10" t="s">
        <v>120</v>
      </c>
      <c r="C57" s="11" t="n">
        <v>1</v>
      </c>
      <c r="D57" s="11" t="s">
        <v>63</v>
      </c>
      <c r="E57" s="11" t="s">
        <v>293</v>
      </c>
      <c r="F57" s="10" t="s">
        <v>290</v>
      </c>
      <c r="G57" s="11" t="str">
        <f aca="false">IF(Execuções!$I$29="","",IF(COUNTIFS(Consenso!$B$2:$B$601,A57,Consenso!$H$2:$H$601,E57)&gt;0,"Sim","Não"))</f>
        <v/>
      </c>
      <c r="H57" s="11" t="str">
        <f aca="false">IF(G57="","",IF(G57="Não","Sim","Não"))</f>
        <v/>
      </c>
    </row>
    <row r="58" customFormat="false" ht="15" hidden="false" customHeight="false" outlineLevel="0" collapsed="false">
      <c r="A58" s="11" t="s">
        <v>126</v>
      </c>
      <c r="B58" s="10" t="s">
        <v>120</v>
      </c>
      <c r="C58" s="11" t="n">
        <v>1</v>
      </c>
      <c r="D58" s="11" t="s">
        <v>63</v>
      </c>
      <c r="E58" s="11" t="s">
        <v>294</v>
      </c>
      <c r="F58" s="10" t="s">
        <v>288</v>
      </c>
      <c r="G58" s="11" t="str">
        <f aca="false">IF(Execuções!$I$29="","",IF(COUNTIFS(Consenso!$B$2:$B$601,A58,Consenso!$H$2:$H$601,E58)&gt;0,"Sim","Não"))</f>
        <v/>
      </c>
      <c r="H58" s="11" t="str">
        <f aca="false">IF(G58="","",IF(G58="Não","Sim","Não"))</f>
        <v/>
      </c>
    </row>
    <row r="59" customFormat="false" ht="15" hidden="false" customHeight="false" outlineLevel="0" collapsed="false">
      <c r="A59" s="11" t="s">
        <v>150</v>
      </c>
      <c r="B59" s="10" t="s">
        <v>120</v>
      </c>
      <c r="C59" s="11" t="n">
        <v>2</v>
      </c>
      <c r="D59" s="11" t="s">
        <v>63</v>
      </c>
      <c r="E59" s="11" t="s">
        <v>292</v>
      </c>
      <c r="F59" s="10" t="s">
        <v>282</v>
      </c>
      <c r="G59" s="11" t="str">
        <f aca="false">IF(Execuções!$I$41="","",IF(COUNTIFS(Consenso!$B$2:$B$601,A59,Consenso!$H$2:$H$601,E59)&gt;0,"Sim","Não"))</f>
        <v/>
      </c>
      <c r="H59" s="11" t="str">
        <f aca="false">IF(G59="","",IF(G59="Não","Sim","Não"))</f>
        <v/>
      </c>
    </row>
    <row r="60" customFormat="false" ht="15" hidden="false" customHeight="false" outlineLevel="0" collapsed="false">
      <c r="A60" s="11" t="s">
        <v>150</v>
      </c>
      <c r="B60" s="10" t="s">
        <v>120</v>
      </c>
      <c r="C60" s="11" t="n">
        <v>2</v>
      </c>
      <c r="D60" s="11" t="s">
        <v>63</v>
      </c>
      <c r="E60" s="11" t="s">
        <v>293</v>
      </c>
      <c r="F60" s="10" t="s">
        <v>290</v>
      </c>
      <c r="G60" s="11" t="str">
        <f aca="false">IF(Execuções!$I$41="","",IF(COUNTIFS(Consenso!$B$2:$B$601,A60,Consenso!$H$2:$H$601,E60)&gt;0,"Sim","Não"))</f>
        <v/>
      </c>
      <c r="H60" s="11" t="str">
        <f aca="false">IF(G60="","",IF(G60="Não","Sim","Não"))</f>
        <v/>
      </c>
    </row>
    <row r="61" customFormat="false" ht="15" hidden="false" customHeight="false" outlineLevel="0" collapsed="false">
      <c r="A61" s="11" t="s">
        <v>150</v>
      </c>
      <c r="B61" s="10" t="s">
        <v>120</v>
      </c>
      <c r="C61" s="11" t="n">
        <v>2</v>
      </c>
      <c r="D61" s="11" t="s">
        <v>63</v>
      </c>
      <c r="E61" s="11" t="s">
        <v>294</v>
      </c>
      <c r="F61" s="10" t="s">
        <v>288</v>
      </c>
      <c r="G61" s="11" t="str">
        <f aca="false">IF(Execuções!$I$41="","",IF(COUNTIFS(Consenso!$B$2:$B$601,A61,Consenso!$H$2:$H$601,E61)&gt;0,"Sim","Não"))</f>
        <v/>
      </c>
      <c r="H61" s="11" t="str">
        <f aca="false">IF(G61="","",IF(G61="Não","Sim","Não"))</f>
        <v/>
      </c>
    </row>
    <row r="62" customFormat="false" ht="15" hidden="false" customHeight="false" outlineLevel="0" collapsed="false">
      <c r="A62" s="11" t="s">
        <v>166</v>
      </c>
      <c r="B62" s="10" t="s">
        <v>120</v>
      </c>
      <c r="C62" s="11" t="n">
        <v>3</v>
      </c>
      <c r="D62" s="11" t="s">
        <v>63</v>
      </c>
      <c r="E62" s="11" t="s">
        <v>292</v>
      </c>
      <c r="F62" s="10" t="s">
        <v>282</v>
      </c>
      <c r="G62" s="11" t="str">
        <f aca="false">IF(Execuções!$I$49="","",IF(COUNTIFS(Consenso!$B$2:$B$601,A62,Consenso!$H$2:$H$601,E62)&gt;0,"Sim","Não"))</f>
        <v/>
      </c>
      <c r="H62" s="11" t="str">
        <f aca="false">IF(G62="","",IF(G62="Não","Sim","Não"))</f>
        <v/>
      </c>
    </row>
    <row r="63" customFormat="false" ht="15" hidden="false" customHeight="false" outlineLevel="0" collapsed="false">
      <c r="A63" s="11" t="s">
        <v>166</v>
      </c>
      <c r="B63" s="10" t="s">
        <v>120</v>
      </c>
      <c r="C63" s="11" t="n">
        <v>3</v>
      </c>
      <c r="D63" s="11" t="s">
        <v>63</v>
      </c>
      <c r="E63" s="11" t="s">
        <v>293</v>
      </c>
      <c r="F63" s="10" t="s">
        <v>290</v>
      </c>
      <c r="G63" s="11" t="str">
        <f aca="false">IF(Execuções!$I$49="","",IF(COUNTIFS(Consenso!$B$2:$B$601,A63,Consenso!$H$2:$H$601,E63)&gt;0,"Sim","Não"))</f>
        <v/>
      </c>
      <c r="H63" s="11" t="str">
        <f aca="false">IF(G63="","",IF(G63="Não","Sim","Não"))</f>
        <v/>
      </c>
    </row>
    <row r="64" customFormat="false" ht="15" hidden="false" customHeight="false" outlineLevel="0" collapsed="false">
      <c r="A64" s="11" t="s">
        <v>166</v>
      </c>
      <c r="B64" s="10" t="s">
        <v>120</v>
      </c>
      <c r="C64" s="11" t="n">
        <v>3</v>
      </c>
      <c r="D64" s="11" t="s">
        <v>63</v>
      </c>
      <c r="E64" s="11" t="s">
        <v>294</v>
      </c>
      <c r="F64" s="10" t="s">
        <v>288</v>
      </c>
      <c r="G64" s="11" t="str">
        <f aca="false">IF(Execuções!$I$49="","",IF(COUNTIFS(Consenso!$B$2:$B$601,A64,Consenso!$H$2:$H$601,E64)&gt;0,"Sim","Não"))</f>
        <v/>
      </c>
      <c r="H64" s="11" t="str">
        <f aca="false">IF(G64="","",IF(G64="Não","Sim","Não"))</f>
        <v/>
      </c>
    </row>
    <row r="65" customFormat="false" ht="15" hidden="false" customHeight="false" outlineLevel="0" collapsed="false">
      <c r="A65" s="11" t="s">
        <v>130</v>
      </c>
      <c r="B65" s="10" t="s">
        <v>120</v>
      </c>
      <c r="C65" s="11" t="n">
        <v>1</v>
      </c>
      <c r="D65" s="11" t="s">
        <v>58</v>
      </c>
      <c r="E65" s="11" t="s">
        <v>295</v>
      </c>
      <c r="F65" s="10" t="s">
        <v>284</v>
      </c>
      <c r="G65" s="11" t="str">
        <f aca="false">IF(Execuções!$I$31="","",IF(COUNTIFS(Consenso!$B$2:$B$601,A65,Consenso!$H$2:$H$601,E65)&gt;0,"Sim","Não"))</f>
        <v/>
      </c>
      <c r="H65" s="11" t="str">
        <f aca="false">IF(G65="","",IF(G65="Não","Sim","Não"))</f>
        <v/>
      </c>
    </row>
    <row r="66" customFormat="false" ht="15" hidden="false" customHeight="false" outlineLevel="0" collapsed="false">
      <c r="A66" s="11" t="s">
        <v>130</v>
      </c>
      <c r="B66" s="10" t="s">
        <v>120</v>
      </c>
      <c r="C66" s="11" t="n">
        <v>1</v>
      </c>
      <c r="D66" s="11" t="s">
        <v>58</v>
      </c>
      <c r="E66" s="11" t="s">
        <v>296</v>
      </c>
      <c r="F66" s="10" t="s">
        <v>290</v>
      </c>
      <c r="G66" s="11" t="str">
        <f aca="false">IF(Execuções!$I$31="","",IF(COUNTIFS(Consenso!$B$2:$B$601,A66,Consenso!$H$2:$H$601,E66)&gt;0,"Sim","Não"))</f>
        <v/>
      </c>
      <c r="H66" s="11" t="str">
        <f aca="false">IF(G66="","",IF(G66="Não","Sim","Não"))</f>
        <v/>
      </c>
    </row>
    <row r="67" customFormat="false" ht="15" hidden="false" customHeight="false" outlineLevel="0" collapsed="false">
      <c r="A67" s="11" t="s">
        <v>130</v>
      </c>
      <c r="B67" s="10" t="s">
        <v>120</v>
      </c>
      <c r="C67" s="11" t="n">
        <v>1</v>
      </c>
      <c r="D67" s="11" t="s">
        <v>58</v>
      </c>
      <c r="E67" s="11" t="s">
        <v>297</v>
      </c>
      <c r="F67" s="10" t="s">
        <v>282</v>
      </c>
      <c r="G67" s="11" t="str">
        <f aca="false">IF(Execuções!$I$31="","",IF(COUNTIFS(Consenso!$B$2:$B$601,A67,Consenso!$H$2:$H$601,E67)&gt;0,"Sim","Não"))</f>
        <v/>
      </c>
      <c r="H67" s="11" t="str">
        <f aca="false">IF(G67="","",IF(G67="Não","Sim","Não"))</f>
        <v/>
      </c>
    </row>
    <row r="68" customFormat="false" ht="15" hidden="false" customHeight="false" outlineLevel="0" collapsed="false">
      <c r="A68" s="11" t="s">
        <v>144</v>
      </c>
      <c r="B68" s="10" t="s">
        <v>120</v>
      </c>
      <c r="C68" s="11" t="n">
        <v>2</v>
      </c>
      <c r="D68" s="11" t="s">
        <v>58</v>
      </c>
      <c r="E68" s="11" t="s">
        <v>295</v>
      </c>
      <c r="F68" s="10" t="s">
        <v>284</v>
      </c>
      <c r="G68" s="11" t="str">
        <f aca="false">IF(Execuções!$I$38="","",IF(COUNTIFS(Consenso!$B$2:$B$601,A68,Consenso!$H$2:$H$601,E68)&gt;0,"Sim","Não"))</f>
        <v/>
      </c>
      <c r="H68" s="11" t="str">
        <f aca="false">IF(G68="","",IF(G68="Não","Sim","Não"))</f>
        <v/>
      </c>
    </row>
    <row r="69" customFormat="false" ht="15" hidden="false" customHeight="false" outlineLevel="0" collapsed="false">
      <c r="A69" s="11" t="s">
        <v>144</v>
      </c>
      <c r="B69" s="10" t="s">
        <v>120</v>
      </c>
      <c r="C69" s="11" t="n">
        <v>2</v>
      </c>
      <c r="D69" s="11" t="s">
        <v>58</v>
      </c>
      <c r="E69" s="11" t="s">
        <v>296</v>
      </c>
      <c r="F69" s="10" t="s">
        <v>290</v>
      </c>
      <c r="G69" s="11" t="str">
        <f aca="false">IF(Execuções!$I$38="","",IF(COUNTIFS(Consenso!$B$2:$B$601,A69,Consenso!$H$2:$H$601,E69)&gt;0,"Sim","Não"))</f>
        <v/>
      </c>
      <c r="H69" s="11" t="str">
        <f aca="false">IF(G69="","",IF(G69="Não","Sim","Não"))</f>
        <v/>
      </c>
    </row>
    <row r="70" customFormat="false" ht="15" hidden="false" customHeight="false" outlineLevel="0" collapsed="false">
      <c r="A70" s="11" t="s">
        <v>144</v>
      </c>
      <c r="B70" s="10" t="s">
        <v>120</v>
      </c>
      <c r="C70" s="11" t="n">
        <v>2</v>
      </c>
      <c r="D70" s="11" t="s">
        <v>58</v>
      </c>
      <c r="E70" s="11" t="s">
        <v>297</v>
      </c>
      <c r="F70" s="10" t="s">
        <v>282</v>
      </c>
      <c r="G70" s="11" t="str">
        <f aca="false">IF(Execuções!$I$38="","",IF(COUNTIFS(Consenso!$B$2:$B$601,A70,Consenso!$H$2:$H$601,E70)&gt;0,"Sim","Não"))</f>
        <v/>
      </c>
      <c r="H70" s="11" t="str">
        <f aca="false">IF(G70="","",IF(G70="Não","Sim","Não"))</f>
        <v/>
      </c>
    </row>
    <row r="71" customFormat="false" ht="15" hidden="false" customHeight="false" outlineLevel="0" collapsed="false">
      <c r="A71" s="11" t="s">
        <v>164</v>
      </c>
      <c r="B71" s="10" t="s">
        <v>120</v>
      </c>
      <c r="C71" s="11" t="n">
        <v>3</v>
      </c>
      <c r="D71" s="11" t="s">
        <v>58</v>
      </c>
      <c r="E71" s="11" t="s">
        <v>295</v>
      </c>
      <c r="F71" s="10" t="s">
        <v>284</v>
      </c>
      <c r="G71" s="11" t="str">
        <f aca="false">IF(Execuções!$I$48="","",IF(COUNTIFS(Consenso!$B$2:$B$601,A71,Consenso!$H$2:$H$601,E71)&gt;0,"Sim","Não"))</f>
        <v/>
      </c>
      <c r="H71" s="11" t="str">
        <f aca="false">IF(G71="","",IF(G71="Não","Sim","Não"))</f>
        <v/>
      </c>
    </row>
    <row r="72" customFormat="false" ht="15" hidden="false" customHeight="false" outlineLevel="0" collapsed="false">
      <c r="A72" s="11" t="s">
        <v>164</v>
      </c>
      <c r="B72" s="10" t="s">
        <v>120</v>
      </c>
      <c r="C72" s="11" t="n">
        <v>3</v>
      </c>
      <c r="D72" s="11" t="s">
        <v>58</v>
      </c>
      <c r="E72" s="11" t="s">
        <v>296</v>
      </c>
      <c r="F72" s="10" t="s">
        <v>290</v>
      </c>
      <c r="G72" s="11" t="str">
        <f aca="false">IF(Execuções!$I$48="","",IF(COUNTIFS(Consenso!$B$2:$B$601,A72,Consenso!$H$2:$H$601,E72)&gt;0,"Sim","Não"))</f>
        <v/>
      </c>
      <c r="H72" s="11" t="str">
        <f aca="false">IF(G72="","",IF(G72="Não","Sim","Não"))</f>
        <v/>
      </c>
    </row>
    <row r="73" customFormat="false" ht="15" hidden="false" customHeight="false" outlineLevel="0" collapsed="false">
      <c r="A73" s="11" t="s">
        <v>164</v>
      </c>
      <c r="B73" s="10" t="s">
        <v>120</v>
      </c>
      <c r="C73" s="11" t="n">
        <v>3</v>
      </c>
      <c r="D73" s="11" t="s">
        <v>58</v>
      </c>
      <c r="E73" s="11" t="s">
        <v>297</v>
      </c>
      <c r="F73" s="10" t="s">
        <v>282</v>
      </c>
      <c r="G73" s="11" t="str">
        <f aca="false">IF(Execuções!$I$48="","",IF(COUNTIFS(Consenso!$B$2:$B$601,A73,Consenso!$H$2:$H$601,E73)&gt;0,"Sim","Não"))</f>
        <v/>
      </c>
      <c r="H73" s="11" t="str">
        <f aca="false">IF(G73="","",IF(G73="Não","Sim","Não"))</f>
        <v/>
      </c>
    </row>
    <row r="74" customFormat="false" ht="15" hidden="false" customHeight="false" outlineLevel="0" collapsed="false">
      <c r="A74" s="11" t="s">
        <v>173</v>
      </c>
      <c r="B74" s="10" t="s">
        <v>169</v>
      </c>
      <c r="C74" s="11" t="n">
        <v>1</v>
      </c>
      <c r="D74" s="11" t="s">
        <v>78</v>
      </c>
      <c r="E74" s="11" t="s">
        <v>281</v>
      </c>
      <c r="F74" s="10" t="s">
        <v>282</v>
      </c>
      <c r="G74" s="11" t="str">
        <f aca="false">IF(Execuções!$I$52="","",IF(COUNTIFS(Consenso!$B$2:$B$601,A74,Consenso!$H$2:$H$601,E74)&gt;0,"Sim","Não"))</f>
        <v/>
      </c>
      <c r="H74" s="11" t="str">
        <f aca="false">IF(G74="","",IF(G74="Não","Sim","Não"))</f>
        <v/>
      </c>
    </row>
    <row r="75" customFormat="false" ht="15" hidden="false" customHeight="false" outlineLevel="0" collapsed="false">
      <c r="A75" s="11" t="s">
        <v>173</v>
      </c>
      <c r="B75" s="10" t="s">
        <v>169</v>
      </c>
      <c r="C75" s="11" t="n">
        <v>1</v>
      </c>
      <c r="D75" s="11" t="s">
        <v>78</v>
      </c>
      <c r="E75" s="11" t="s">
        <v>283</v>
      </c>
      <c r="F75" s="10" t="s">
        <v>284</v>
      </c>
      <c r="G75" s="11" t="str">
        <f aca="false">IF(Execuções!$I$52="","",IF(COUNTIFS(Consenso!$B$2:$B$601,A75,Consenso!$H$2:$H$601,E75)&gt;0,"Sim","Não"))</f>
        <v/>
      </c>
      <c r="H75" s="11" t="str">
        <f aca="false">IF(G75="","",IF(G75="Não","Sim","Não"))</f>
        <v/>
      </c>
    </row>
    <row r="76" customFormat="false" ht="15" hidden="false" customHeight="false" outlineLevel="0" collapsed="false">
      <c r="A76" s="11" t="s">
        <v>173</v>
      </c>
      <c r="B76" s="10" t="s">
        <v>169</v>
      </c>
      <c r="C76" s="11" t="n">
        <v>1</v>
      </c>
      <c r="D76" s="11" t="s">
        <v>78</v>
      </c>
      <c r="E76" s="11" t="s">
        <v>285</v>
      </c>
      <c r="F76" s="10" t="s">
        <v>286</v>
      </c>
      <c r="G76" s="11" t="str">
        <f aca="false">IF(Execuções!$I$52="","",IF(COUNTIFS(Consenso!$B$2:$B$601,A76,Consenso!$H$2:$H$601,E76)&gt;0,"Sim","Não"))</f>
        <v/>
      </c>
      <c r="H76" s="11" t="str">
        <f aca="false">IF(G76="","",IF(G76="Não","Sim","Não"))</f>
        <v/>
      </c>
    </row>
    <row r="77" customFormat="false" ht="15" hidden="false" customHeight="false" outlineLevel="0" collapsed="false">
      <c r="A77" s="11" t="s">
        <v>193</v>
      </c>
      <c r="B77" s="10" t="s">
        <v>169</v>
      </c>
      <c r="C77" s="11" t="n">
        <v>2</v>
      </c>
      <c r="D77" s="11" t="s">
        <v>78</v>
      </c>
      <c r="E77" s="11" t="s">
        <v>281</v>
      </c>
      <c r="F77" s="10" t="s">
        <v>282</v>
      </c>
      <c r="G77" s="11" t="str">
        <f aca="false">IF(Execuções!$I$62="","",IF(COUNTIFS(Consenso!$B$2:$B$601,A77,Consenso!$H$2:$H$601,E77)&gt;0,"Sim","Não"))</f>
        <v/>
      </c>
      <c r="H77" s="11" t="str">
        <f aca="false">IF(G77="","",IF(G77="Não","Sim","Não"))</f>
        <v/>
      </c>
    </row>
    <row r="78" customFormat="false" ht="15" hidden="false" customHeight="false" outlineLevel="0" collapsed="false">
      <c r="A78" s="11" t="s">
        <v>193</v>
      </c>
      <c r="B78" s="10" t="s">
        <v>169</v>
      </c>
      <c r="C78" s="11" t="n">
        <v>2</v>
      </c>
      <c r="D78" s="11" t="s">
        <v>78</v>
      </c>
      <c r="E78" s="11" t="s">
        <v>283</v>
      </c>
      <c r="F78" s="10" t="s">
        <v>284</v>
      </c>
      <c r="G78" s="11" t="str">
        <f aca="false">IF(Execuções!$I$62="","",IF(COUNTIFS(Consenso!$B$2:$B$601,A78,Consenso!$H$2:$H$601,E78)&gt;0,"Sim","Não"))</f>
        <v/>
      </c>
      <c r="H78" s="11" t="str">
        <f aca="false">IF(G78="","",IF(G78="Não","Sim","Não"))</f>
        <v/>
      </c>
    </row>
    <row r="79" customFormat="false" ht="15" hidden="false" customHeight="false" outlineLevel="0" collapsed="false">
      <c r="A79" s="11" t="s">
        <v>193</v>
      </c>
      <c r="B79" s="10" t="s">
        <v>169</v>
      </c>
      <c r="C79" s="11" t="n">
        <v>2</v>
      </c>
      <c r="D79" s="11" t="s">
        <v>78</v>
      </c>
      <c r="E79" s="11" t="s">
        <v>285</v>
      </c>
      <c r="F79" s="10" t="s">
        <v>286</v>
      </c>
      <c r="G79" s="11" t="str">
        <f aca="false">IF(Execuções!$I$62="","",IF(COUNTIFS(Consenso!$B$2:$B$601,A79,Consenso!$H$2:$H$601,E79)&gt;0,"Sim","Não"))</f>
        <v/>
      </c>
      <c r="H79" s="11" t="str">
        <f aca="false">IF(G79="","",IF(G79="Não","Sim","Não"))</f>
        <v/>
      </c>
    </row>
    <row r="80" customFormat="false" ht="15" hidden="false" customHeight="false" outlineLevel="0" collapsed="false">
      <c r="A80" s="11" t="s">
        <v>215</v>
      </c>
      <c r="B80" s="10" t="s">
        <v>169</v>
      </c>
      <c r="C80" s="11" t="n">
        <v>3</v>
      </c>
      <c r="D80" s="11" t="s">
        <v>78</v>
      </c>
      <c r="E80" s="11" t="s">
        <v>281</v>
      </c>
      <c r="F80" s="10" t="s">
        <v>282</v>
      </c>
      <c r="G80" s="11" t="str">
        <f aca="false">IF(Execuções!$I$73="","",IF(COUNTIFS(Consenso!$B$2:$B$601,A80,Consenso!$H$2:$H$601,E80)&gt;0,"Sim","Não"))</f>
        <v/>
      </c>
      <c r="H80" s="11" t="str">
        <f aca="false">IF(G80="","",IF(G80="Não","Sim","Não"))</f>
        <v/>
      </c>
    </row>
    <row r="81" customFormat="false" ht="15" hidden="false" customHeight="false" outlineLevel="0" collapsed="false">
      <c r="A81" s="11" t="s">
        <v>215</v>
      </c>
      <c r="B81" s="10" t="s">
        <v>169</v>
      </c>
      <c r="C81" s="11" t="n">
        <v>3</v>
      </c>
      <c r="D81" s="11" t="s">
        <v>78</v>
      </c>
      <c r="E81" s="11" t="s">
        <v>283</v>
      </c>
      <c r="F81" s="10" t="s">
        <v>284</v>
      </c>
      <c r="G81" s="11" t="str">
        <f aca="false">IF(Execuções!$I$73="","",IF(COUNTIFS(Consenso!$B$2:$B$601,A81,Consenso!$H$2:$H$601,E81)&gt;0,"Sim","Não"))</f>
        <v/>
      </c>
      <c r="H81" s="11" t="str">
        <f aca="false">IF(G81="","",IF(G81="Não","Sim","Não"))</f>
        <v/>
      </c>
    </row>
    <row r="82" customFormat="false" ht="15" hidden="false" customHeight="false" outlineLevel="0" collapsed="false">
      <c r="A82" s="11" t="s">
        <v>215</v>
      </c>
      <c r="B82" s="10" t="s">
        <v>169</v>
      </c>
      <c r="C82" s="11" t="n">
        <v>3</v>
      </c>
      <c r="D82" s="11" t="s">
        <v>78</v>
      </c>
      <c r="E82" s="11" t="s">
        <v>285</v>
      </c>
      <c r="F82" s="10" t="s">
        <v>286</v>
      </c>
      <c r="G82" s="11" t="str">
        <f aca="false">IF(Execuções!$I$73="","",IF(COUNTIFS(Consenso!$B$2:$B$601,A82,Consenso!$H$2:$H$601,E82)&gt;0,"Sim","Não"))</f>
        <v/>
      </c>
      <c r="H82" s="11" t="str">
        <f aca="false">IF(G82="","",IF(G82="Não","Sim","Não"))</f>
        <v/>
      </c>
    </row>
    <row r="83" customFormat="false" ht="15" hidden="false" customHeight="false" outlineLevel="0" collapsed="false">
      <c r="A83" s="11" t="s">
        <v>181</v>
      </c>
      <c r="B83" s="10" t="s">
        <v>169</v>
      </c>
      <c r="C83" s="11" t="n">
        <v>1</v>
      </c>
      <c r="D83" s="11" t="s">
        <v>71</v>
      </c>
      <c r="E83" s="11" t="s">
        <v>287</v>
      </c>
      <c r="F83" s="10" t="s">
        <v>288</v>
      </c>
      <c r="G83" s="11" t="str">
        <f aca="false">IF(Execuções!$I$56="","",IF(COUNTIFS(Consenso!$B$2:$B$601,A83,Consenso!$H$2:$H$601,E83)&gt;0,"Sim","Não"))</f>
        <v/>
      </c>
      <c r="H83" s="11" t="str">
        <f aca="false">IF(G83="","",IF(G83="Não","Sim","Não"))</f>
        <v/>
      </c>
    </row>
    <row r="84" customFormat="false" ht="15" hidden="false" customHeight="false" outlineLevel="0" collapsed="false">
      <c r="A84" s="11" t="s">
        <v>181</v>
      </c>
      <c r="B84" s="10" t="s">
        <v>169</v>
      </c>
      <c r="C84" s="11" t="n">
        <v>1</v>
      </c>
      <c r="D84" s="11" t="s">
        <v>71</v>
      </c>
      <c r="E84" s="11" t="s">
        <v>289</v>
      </c>
      <c r="F84" s="10" t="s">
        <v>290</v>
      </c>
      <c r="G84" s="11" t="str">
        <f aca="false">IF(Execuções!$I$56="","",IF(COUNTIFS(Consenso!$B$2:$B$601,A84,Consenso!$H$2:$H$601,E84)&gt;0,"Sim","Não"))</f>
        <v/>
      </c>
      <c r="H84" s="11" t="str">
        <f aca="false">IF(G84="","",IF(G84="Não","Sim","Não"))</f>
        <v/>
      </c>
    </row>
    <row r="85" customFormat="false" ht="15" hidden="false" customHeight="false" outlineLevel="0" collapsed="false">
      <c r="A85" s="11" t="s">
        <v>181</v>
      </c>
      <c r="B85" s="10" t="s">
        <v>169</v>
      </c>
      <c r="C85" s="11" t="n">
        <v>1</v>
      </c>
      <c r="D85" s="11" t="s">
        <v>71</v>
      </c>
      <c r="E85" s="11" t="s">
        <v>291</v>
      </c>
      <c r="F85" s="10" t="s">
        <v>284</v>
      </c>
      <c r="G85" s="11" t="str">
        <f aca="false">IF(Execuções!$I$56="","",IF(COUNTIFS(Consenso!$B$2:$B$601,A85,Consenso!$H$2:$H$601,E85)&gt;0,"Sim","Não"))</f>
        <v/>
      </c>
      <c r="H85" s="11" t="str">
        <f aca="false">IF(G85="","",IF(G85="Não","Sim","Não"))</f>
        <v/>
      </c>
    </row>
    <row r="86" customFormat="false" ht="15" hidden="false" customHeight="false" outlineLevel="0" collapsed="false">
      <c r="A86" s="11" t="s">
        <v>189</v>
      </c>
      <c r="B86" s="10" t="s">
        <v>169</v>
      </c>
      <c r="C86" s="11" t="n">
        <v>2</v>
      </c>
      <c r="D86" s="11" t="s">
        <v>71</v>
      </c>
      <c r="E86" s="11" t="s">
        <v>287</v>
      </c>
      <c r="F86" s="10" t="s">
        <v>288</v>
      </c>
      <c r="G86" s="11" t="str">
        <f aca="false">IF(Execuções!$I$60="","",IF(COUNTIFS(Consenso!$B$2:$B$601,A86,Consenso!$H$2:$H$601,E86)&gt;0,"Sim","Não"))</f>
        <v/>
      </c>
      <c r="H86" s="11" t="str">
        <f aca="false">IF(G86="","",IF(G86="Não","Sim","Não"))</f>
        <v/>
      </c>
    </row>
    <row r="87" customFormat="false" ht="15" hidden="false" customHeight="false" outlineLevel="0" collapsed="false">
      <c r="A87" s="11" t="s">
        <v>189</v>
      </c>
      <c r="B87" s="10" t="s">
        <v>169</v>
      </c>
      <c r="C87" s="11" t="n">
        <v>2</v>
      </c>
      <c r="D87" s="11" t="s">
        <v>71</v>
      </c>
      <c r="E87" s="11" t="s">
        <v>289</v>
      </c>
      <c r="F87" s="10" t="s">
        <v>290</v>
      </c>
      <c r="G87" s="11" t="str">
        <f aca="false">IF(Execuções!$I$60="","",IF(COUNTIFS(Consenso!$B$2:$B$601,A87,Consenso!$H$2:$H$601,E87)&gt;0,"Sim","Não"))</f>
        <v/>
      </c>
      <c r="H87" s="11" t="str">
        <f aca="false">IF(G87="","",IF(G87="Não","Sim","Não"))</f>
        <v/>
      </c>
    </row>
    <row r="88" customFormat="false" ht="15" hidden="false" customHeight="false" outlineLevel="0" collapsed="false">
      <c r="A88" s="11" t="s">
        <v>189</v>
      </c>
      <c r="B88" s="10" t="s">
        <v>169</v>
      </c>
      <c r="C88" s="11" t="n">
        <v>2</v>
      </c>
      <c r="D88" s="11" t="s">
        <v>71</v>
      </c>
      <c r="E88" s="11" t="s">
        <v>291</v>
      </c>
      <c r="F88" s="10" t="s">
        <v>284</v>
      </c>
      <c r="G88" s="11" t="str">
        <f aca="false">IF(Execuções!$I$60="","",IF(COUNTIFS(Consenso!$B$2:$B$601,A88,Consenso!$H$2:$H$601,E88)&gt;0,"Sim","Não"))</f>
        <v/>
      </c>
      <c r="H88" s="11" t="str">
        <f aca="false">IF(G88="","",IF(G88="Não","Sim","Não"))</f>
        <v/>
      </c>
    </row>
    <row r="89" customFormat="false" ht="15" hidden="false" customHeight="false" outlineLevel="0" collapsed="false">
      <c r="A89" s="11" t="s">
        <v>207</v>
      </c>
      <c r="B89" s="10" t="s">
        <v>169</v>
      </c>
      <c r="C89" s="11" t="n">
        <v>3</v>
      </c>
      <c r="D89" s="11" t="s">
        <v>71</v>
      </c>
      <c r="E89" s="11" t="s">
        <v>287</v>
      </c>
      <c r="F89" s="10" t="s">
        <v>288</v>
      </c>
      <c r="G89" s="11" t="str">
        <f aca="false">IF(Execuções!$I$69="","",IF(COUNTIFS(Consenso!$B$2:$B$601,A89,Consenso!$H$2:$H$601,E89)&gt;0,"Sim","Não"))</f>
        <v/>
      </c>
      <c r="H89" s="11" t="str">
        <f aca="false">IF(G89="","",IF(G89="Não","Sim","Não"))</f>
        <v/>
      </c>
    </row>
    <row r="90" customFormat="false" ht="15" hidden="false" customHeight="false" outlineLevel="0" collapsed="false">
      <c r="A90" s="11" t="s">
        <v>207</v>
      </c>
      <c r="B90" s="10" t="s">
        <v>169</v>
      </c>
      <c r="C90" s="11" t="n">
        <v>3</v>
      </c>
      <c r="D90" s="11" t="s">
        <v>71</v>
      </c>
      <c r="E90" s="11" t="s">
        <v>289</v>
      </c>
      <c r="F90" s="10" t="s">
        <v>290</v>
      </c>
      <c r="G90" s="11" t="str">
        <f aca="false">IF(Execuções!$I$69="","",IF(COUNTIFS(Consenso!$B$2:$B$601,A90,Consenso!$H$2:$H$601,E90)&gt;0,"Sim","Não"))</f>
        <v/>
      </c>
      <c r="H90" s="11" t="str">
        <f aca="false">IF(G90="","",IF(G90="Não","Sim","Não"))</f>
        <v/>
      </c>
    </row>
    <row r="91" customFormat="false" ht="15" hidden="false" customHeight="false" outlineLevel="0" collapsed="false">
      <c r="A91" s="11" t="s">
        <v>207</v>
      </c>
      <c r="B91" s="10" t="s">
        <v>169</v>
      </c>
      <c r="C91" s="11" t="n">
        <v>3</v>
      </c>
      <c r="D91" s="11" t="s">
        <v>71</v>
      </c>
      <c r="E91" s="11" t="s">
        <v>291</v>
      </c>
      <c r="F91" s="10" t="s">
        <v>284</v>
      </c>
      <c r="G91" s="11" t="str">
        <f aca="false">IF(Execuções!$I$69="","",IF(COUNTIFS(Consenso!$B$2:$B$601,A91,Consenso!$H$2:$H$601,E91)&gt;0,"Sim","Não"))</f>
        <v/>
      </c>
      <c r="H91" s="11" t="str">
        <f aca="false">IF(G91="","",IF(G91="Não","Sim","Não"))</f>
        <v/>
      </c>
    </row>
    <row r="92" customFormat="false" ht="15" hidden="false" customHeight="false" outlineLevel="0" collapsed="false">
      <c r="A92" s="11" t="s">
        <v>183</v>
      </c>
      <c r="B92" s="10" t="s">
        <v>169</v>
      </c>
      <c r="C92" s="11" t="n">
        <v>1</v>
      </c>
      <c r="D92" s="11" t="s">
        <v>63</v>
      </c>
      <c r="E92" s="11" t="s">
        <v>292</v>
      </c>
      <c r="F92" s="10" t="s">
        <v>282</v>
      </c>
      <c r="G92" s="11" t="str">
        <f aca="false">IF(Execuções!$I$57="","",IF(COUNTIFS(Consenso!$B$2:$B$601,A92,Consenso!$H$2:$H$601,E92)&gt;0,"Sim","Não"))</f>
        <v/>
      </c>
      <c r="H92" s="11" t="str">
        <f aca="false">IF(G92="","",IF(G92="Não","Sim","Não"))</f>
        <v/>
      </c>
    </row>
    <row r="93" customFormat="false" ht="15" hidden="false" customHeight="false" outlineLevel="0" collapsed="false">
      <c r="A93" s="11" t="s">
        <v>183</v>
      </c>
      <c r="B93" s="10" t="s">
        <v>169</v>
      </c>
      <c r="C93" s="11" t="n">
        <v>1</v>
      </c>
      <c r="D93" s="11" t="s">
        <v>63</v>
      </c>
      <c r="E93" s="11" t="s">
        <v>293</v>
      </c>
      <c r="F93" s="10" t="s">
        <v>290</v>
      </c>
      <c r="G93" s="11" t="str">
        <f aca="false">IF(Execuções!$I$57="","",IF(COUNTIFS(Consenso!$B$2:$B$601,A93,Consenso!$H$2:$H$601,E93)&gt;0,"Sim","Não"))</f>
        <v/>
      </c>
      <c r="H93" s="11" t="str">
        <f aca="false">IF(G93="","",IF(G93="Não","Sim","Não"))</f>
        <v/>
      </c>
    </row>
    <row r="94" customFormat="false" ht="15" hidden="false" customHeight="false" outlineLevel="0" collapsed="false">
      <c r="A94" s="11" t="s">
        <v>183</v>
      </c>
      <c r="B94" s="10" t="s">
        <v>169</v>
      </c>
      <c r="C94" s="11" t="n">
        <v>1</v>
      </c>
      <c r="D94" s="11" t="s">
        <v>63</v>
      </c>
      <c r="E94" s="11" t="s">
        <v>294</v>
      </c>
      <c r="F94" s="10" t="s">
        <v>288</v>
      </c>
      <c r="G94" s="11" t="str">
        <f aca="false">IF(Execuções!$I$57="","",IF(COUNTIFS(Consenso!$B$2:$B$601,A94,Consenso!$H$2:$H$601,E94)&gt;0,"Sim","Não"))</f>
        <v/>
      </c>
      <c r="H94" s="11" t="str">
        <f aca="false">IF(G94="","",IF(G94="Não","Sim","Não"))</f>
        <v/>
      </c>
    </row>
    <row r="95" customFormat="false" ht="15" hidden="false" customHeight="false" outlineLevel="0" collapsed="false">
      <c r="A95" s="11" t="s">
        <v>187</v>
      </c>
      <c r="B95" s="10" t="s">
        <v>169</v>
      </c>
      <c r="C95" s="11" t="n">
        <v>2</v>
      </c>
      <c r="D95" s="11" t="s">
        <v>63</v>
      </c>
      <c r="E95" s="11" t="s">
        <v>292</v>
      </c>
      <c r="F95" s="10" t="s">
        <v>282</v>
      </c>
      <c r="G95" s="11" t="str">
        <f aca="false">IF(Execuções!$I$59="","",IF(COUNTIFS(Consenso!$B$2:$B$601,A95,Consenso!$H$2:$H$601,E95)&gt;0,"Sim","Não"))</f>
        <v/>
      </c>
      <c r="H95" s="11" t="str">
        <f aca="false">IF(G95="","",IF(G95="Não","Sim","Não"))</f>
        <v/>
      </c>
    </row>
    <row r="96" customFormat="false" ht="15" hidden="false" customHeight="false" outlineLevel="0" collapsed="false">
      <c r="A96" s="11" t="s">
        <v>187</v>
      </c>
      <c r="B96" s="10" t="s">
        <v>169</v>
      </c>
      <c r="C96" s="11" t="n">
        <v>2</v>
      </c>
      <c r="D96" s="11" t="s">
        <v>63</v>
      </c>
      <c r="E96" s="11" t="s">
        <v>293</v>
      </c>
      <c r="F96" s="10" t="s">
        <v>290</v>
      </c>
      <c r="G96" s="11" t="str">
        <f aca="false">IF(Execuções!$I$59="","",IF(COUNTIFS(Consenso!$B$2:$B$601,A96,Consenso!$H$2:$H$601,E96)&gt;0,"Sim","Não"))</f>
        <v/>
      </c>
      <c r="H96" s="11" t="str">
        <f aca="false">IF(G96="","",IF(G96="Não","Sim","Não"))</f>
        <v/>
      </c>
    </row>
    <row r="97" customFormat="false" ht="15" hidden="false" customHeight="false" outlineLevel="0" collapsed="false">
      <c r="A97" s="11" t="s">
        <v>187</v>
      </c>
      <c r="B97" s="10" t="s">
        <v>169</v>
      </c>
      <c r="C97" s="11" t="n">
        <v>2</v>
      </c>
      <c r="D97" s="11" t="s">
        <v>63</v>
      </c>
      <c r="E97" s="11" t="s">
        <v>294</v>
      </c>
      <c r="F97" s="10" t="s">
        <v>288</v>
      </c>
      <c r="G97" s="11" t="str">
        <f aca="false">IF(Execuções!$I$59="","",IF(COUNTIFS(Consenso!$B$2:$B$601,A97,Consenso!$H$2:$H$601,E97)&gt;0,"Sim","Não"))</f>
        <v/>
      </c>
      <c r="H97" s="11" t="str">
        <f aca="false">IF(G97="","",IF(G97="Não","Sim","Não"))</f>
        <v/>
      </c>
    </row>
    <row r="98" customFormat="false" ht="15" hidden="false" customHeight="false" outlineLevel="0" collapsed="false">
      <c r="A98" s="11" t="s">
        <v>211</v>
      </c>
      <c r="B98" s="10" t="s">
        <v>169</v>
      </c>
      <c r="C98" s="11" t="n">
        <v>3</v>
      </c>
      <c r="D98" s="11" t="s">
        <v>63</v>
      </c>
      <c r="E98" s="11" t="s">
        <v>292</v>
      </c>
      <c r="F98" s="10" t="s">
        <v>282</v>
      </c>
      <c r="G98" s="11" t="str">
        <f aca="false">IF(Execuções!$I$71="","",IF(COUNTIFS(Consenso!$B$2:$B$601,A98,Consenso!$H$2:$H$601,E98)&gt;0,"Sim","Não"))</f>
        <v/>
      </c>
      <c r="H98" s="11" t="str">
        <f aca="false">IF(G98="","",IF(G98="Não","Sim","Não"))</f>
        <v/>
      </c>
    </row>
    <row r="99" customFormat="false" ht="15" hidden="false" customHeight="false" outlineLevel="0" collapsed="false">
      <c r="A99" s="11" t="s">
        <v>211</v>
      </c>
      <c r="B99" s="10" t="s">
        <v>169</v>
      </c>
      <c r="C99" s="11" t="n">
        <v>3</v>
      </c>
      <c r="D99" s="11" t="s">
        <v>63</v>
      </c>
      <c r="E99" s="11" t="s">
        <v>293</v>
      </c>
      <c r="F99" s="10" t="s">
        <v>290</v>
      </c>
      <c r="G99" s="11" t="str">
        <f aca="false">IF(Execuções!$I$71="","",IF(COUNTIFS(Consenso!$B$2:$B$601,A99,Consenso!$H$2:$H$601,E99)&gt;0,"Sim","Não"))</f>
        <v/>
      </c>
      <c r="H99" s="11" t="str">
        <f aca="false">IF(G99="","",IF(G99="Não","Sim","Não"))</f>
        <v/>
      </c>
    </row>
    <row r="100" customFormat="false" ht="15" hidden="false" customHeight="false" outlineLevel="0" collapsed="false">
      <c r="A100" s="11" t="s">
        <v>211</v>
      </c>
      <c r="B100" s="10" t="s">
        <v>169</v>
      </c>
      <c r="C100" s="11" t="n">
        <v>3</v>
      </c>
      <c r="D100" s="11" t="s">
        <v>63</v>
      </c>
      <c r="E100" s="11" t="s">
        <v>294</v>
      </c>
      <c r="F100" s="10" t="s">
        <v>288</v>
      </c>
      <c r="G100" s="11" t="str">
        <f aca="false">IF(Execuções!$I$71="","",IF(COUNTIFS(Consenso!$B$2:$B$601,A100,Consenso!$H$2:$H$601,E100)&gt;0,"Sim","Não"))</f>
        <v/>
      </c>
      <c r="H100" s="11" t="str">
        <f aca="false">IF(G100="","",IF(G100="Não","Sim","Não"))</f>
        <v/>
      </c>
    </row>
    <row r="101" customFormat="false" ht="15" hidden="false" customHeight="false" outlineLevel="0" collapsed="false">
      <c r="A101" s="11" t="s">
        <v>171</v>
      </c>
      <c r="B101" s="10" t="s">
        <v>169</v>
      </c>
      <c r="C101" s="11" t="n">
        <v>1</v>
      </c>
      <c r="D101" s="11" t="s">
        <v>58</v>
      </c>
      <c r="E101" s="11" t="s">
        <v>295</v>
      </c>
      <c r="F101" s="10" t="s">
        <v>284</v>
      </c>
      <c r="G101" s="11" t="str">
        <f aca="false">IF(Execuções!$I$51="","",IF(COUNTIFS(Consenso!$B$2:$B$601,A101,Consenso!$H$2:$H$601,E101)&gt;0,"Sim","Não"))</f>
        <v/>
      </c>
      <c r="H101" s="11" t="str">
        <f aca="false">IF(G101="","",IF(G101="Não","Sim","Não"))</f>
        <v/>
      </c>
    </row>
    <row r="102" customFormat="false" ht="15" hidden="false" customHeight="false" outlineLevel="0" collapsed="false">
      <c r="A102" s="11" t="s">
        <v>171</v>
      </c>
      <c r="B102" s="10" t="s">
        <v>169</v>
      </c>
      <c r="C102" s="11" t="n">
        <v>1</v>
      </c>
      <c r="D102" s="11" t="s">
        <v>58</v>
      </c>
      <c r="E102" s="11" t="s">
        <v>296</v>
      </c>
      <c r="F102" s="10" t="s">
        <v>290</v>
      </c>
      <c r="G102" s="11" t="str">
        <f aca="false">IF(Execuções!$I$51="","",IF(COUNTIFS(Consenso!$B$2:$B$601,A102,Consenso!$H$2:$H$601,E102)&gt;0,"Sim","Não"))</f>
        <v/>
      </c>
      <c r="H102" s="11" t="str">
        <f aca="false">IF(G102="","",IF(G102="Não","Sim","Não"))</f>
        <v/>
      </c>
    </row>
    <row r="103" customFormat="false" ht="15" hidden="false" customHeight="false" outlineLevel="0" collapsed="false">
      <c r="A103" s="11" t="s">
        <v>171</v>
      </c>
      <c r="B103" s="10" t="s">
        <v>169</v>
      </c>
      <c r="C103" s="11" t="n">
        <v>1</v>
      </c>
      <c r="D103" s="11" t="s">
        <v>58</v>
      </c>
      <c r="E103" s="11" t="s">
        <v>297</v>
      </c>
      <c r="F103" s="10" t="s">
        <v>282</v>
      </c>
      <c r="G103" s="11" t="str">
        <f aca="false">IF(Execuções!$I$51="","",IF(COUNTIFS(Consenso!$B$2:$B$601,A103,Consenso!$H$2:$H$601,E103)&gt;0,"Sim","Não"))</f>
        <v/>
      </c>
      <c r="H103" s="11" t="str">
        <f aca="false">IF(G103="","",IF(G103="Não","Sim","Não"))</f>
        <v/>
      </c>
    </row>
    <row r="104" customFormat="false" ht="15" hidden="false" customHeight="false" outlineLevel="0" collapsed="false">
      <c r="A104" s="11" t="s">
        <v>185</v>
      </c>
      <c r="B104" s="10" t="s">
        <v>169</v>
      </c>
      <c r="C104" s="11" t="n">
        <v>2</v>
      </c>
      <c r="D104" s="11" t="s">
        <v>58</v>
      </c>
      <c r="E104" s="11" t="s">
        <v>295</v>
      </c>
      <c r="F104" s="10" t="s">
        <v>284</v>
      </c>
      <c r="G104" s="11" t="str">
        <f aca="false">IF(Execuções!$I$58="","",IF(COUNTIFS(Consenso!$B$2:$B$601,A104,Consenso!$H$2:$H$601,E104)&gt;0,"Sim","Não"))</f>
        <v/>
      </c>
      <c r="H104" s="11" t="str">
        <f aca="false">IF(G104="","",IF(G104="Não","Sim","Não"))</f>
        <v/>
      </c>
    </row>
    <row r="105" customFormat="false" ht="15" hidden="false" customHeight="false" outlineLevel="0" collapsed="false">
      <c r="A105" s="11" t="s">
        <v>185</v>
      </c>
      <c r="B105" s="10" t="s">
        <v>169</v>
      </c>
      <c r="C105" s="11" t="n">
        <v>2</v>
      </c>
      <c r="D105" s="11" t="s">
        <v>58</v>
      </c>
      <c r="E105" s="11" t="s">
        <v>296</v>
      </c>
      <c r="F105" s="10" t="s">
        <v>290</v>
      </c>
      <c r="G105" s="11" t="str">
        <f aca="false">IF(Execuções!$I$58="","",IF(COUNTIFS(Consenso!$B$2:$B$601,A105,Consenso!$H$2:$H$601,E105)&gt;0,"Sim","Não"))</f>
        <v/>
      </c>
      <c r="H105" s="11" t="str">
        <f aca="false">IF(G105="","",IF(G105="Não","Sim","Não"))</f>
        <v/>
      </c>
    </row>
    <row r="106" customFormat="false" ht="15" hidden="false" customHeight="false" outlineLevel="0" collapsed="false">
      <c r="A106" s="11" t="s">
        <v>185</v>
      </c>
      <c r="B106" s="10" t="s">
        <v>169</v>
      </c>
      <c r="C106" s="11" t="n">
        <v>2</v>
      </c>
      <c r="D106" s="11" t="s">
        <v>58</v>
      </c>
      <c r="E106" s="11" t="s">
        <v>297</v>
      </c>
      <c r="F106" s="10" t="s">
        <v>282</v>
      </c>
      <c r="G106" s="11" t="str">
        <f aca="false">IF(Execuções!$I$58="","",IF(COUNTIFS(Consenso!$B$2:$B$601,A106,Consenso!$H$2:$H$601,E106)&gt;0,"Sim","Não"))</f>
        <v/>
      </c>
      <c r="H106" s="11" t="str">
        <f aca="false">IF(G106="","",IF(G106="Não","Sim","Não"))</f>
        <v/>
      </c>
    </row>
    <row r="107" customFormat="false" ht="15" hidden="false" customHeight="false" outlineLevel="0" collapsed="false">
      <c r="A107" s="11" t="s">
        <v>203</v>
      </c>
      <c r="B107" s="10" t="s">
        <v>169</v>
      </c>
      <c r="C107" s="11" t="n">
        <v>3</v>
      </c>
      <c r="D107" s="11" t="s">
        <v>58</v>
      </c>
      <c r="E107" s="11" t="s">
        <v>295</v>
      </c>
      <c r="F107" s="10" t="s">
        <v>284</v>
      </c>
      <c r="G107" s="11" t="str">
        <f aca="false">IF(Execuções!$I$67="","",IF(COUNTIFS(Consenso!$B$2:$B$601,A107,Consenso!$H$2:$H$601,E107)&gt;0,"Sim","Não"))</f>
        <v/>
      </c>
      <c r="H107" s="11" t="str">
        <f aca="false">IF(G107="","",IF(G107="Não","Sim","Não"))</f>
        <v/>
      </c>
    </row>
    <row r="108" customFormat="false" ht="15" hidden="false" customHeight="false" outlineLevel="0" collapsed="false">
      <c r="A108" s="11" t="s">
        <v>203</v>
      </c>
      <c r="B108" s="10" t="s">
        <v>169</v>
      </c>
      <c r="C108" s="11" t="n">
        <v>3</v>
      </c>
      <c r="D108" s="11" t="s">
        <v>58</v>
      </c>
      <c r="E108" s="11" t="s">
        <v>296</v>
      </c>
      <c r="F108" s="10" t="s">
        <v>290</v>
      </c>
      <c r="G108" s="11" t="str">
        <f aca="false">IF(Execuções!$I$67="","",IF(COUNTIFS(Consenso!$B$2:$B$601,A108,Consenso!$H$2:$H$601,E108)&gt;0,"Sim","Não"))</f>
        <v/>
      </c>
      <c r="H108" s="11" t="str">
        <f aca="false">IF(G108="","",IF(G108="Não","Sim","Não"))</f>
        <v/>
      </c>
    </row>
    <row r="109" customFormat="false" ht="15" hidden="false" customHeight="false" outlineLevel="0" collapsed="false">
      <c r="A109" s="11" t="s">
        <v>203</v>
      </c>
      <c r="B109" s="10" t="s">
        <v>169</v>
      </c>
      <c r="C109" s="11" t="n">
        <v>3</v>
      </c>
      <c r="D109" s="11" t="s">
        <v>58</v>
      </c>
      <c r="E109" s="11" t="s">
        <v>297</v>
      </c>
      <c r="F109" s="10" t="s">
        <v>282</v>
      </c>
      <c r="G109" s="11" t="str">
        <f aca="false">IF(Execuções!$I$67="","",IF(COUNTIFS(Consenso!$B$2:$B$601,A109,Consenso!$H$2:$H$601,E109)&gt;0,"Sim","Não"))</f>
        <v/>
      </c>
      <c r="H109" s="11" t="str">
        <f aca="false">IF(G109="","",IF(G109="Não","Sim","Não"))</f>
        <v/>
      </c>
    </row>
    <row r="110" customFormat="false" ht="15" hidden="false" customHeight="false" outlineLevel="0" collapsed="false">
      <c r="A110" s="11" t="s">
        <v>230</v>
      </c>
      <c r="B110" s="10" t="s">
        <v>218</v>
      </c>
      <c r="C110" s="11" t="n">
        <v>1</v>
      </c>
      <c r="D110" s="11" t="s">
        <v>78</v>
      </c>
      <c r="E110" s="11" t="s">
        <v>281</v>
      </c>
      <c r="F110" s="10" t="s">
        <v>282</v>
      </c>
      <c r="G110" s="11" t="str">
        <f aca="false">IF(Execuções!$I$80="","",IF(COUNTIFS(Consenso!$B$2:$B$601,A110,Consenso!$H$2:$H$601,E110)&gt;0,"Sim","Não"))</f>
        <v/>
      </c>
      <c r="H110" s="11" t="str">
        <f aca="false">IF(G110="","",IF(G110="Não","Sim","Não"))</f>
        <v/>
      </c>
    </row>
    <row r="111" customFormat="false" ht="15" hidden="false" customHeight="false" outlineLevel="0" collapsed="false">
      <c r="A111" s="11" t="s">
        <v>230</v>
      </c>
      <c r="B111" s="10" t="s">
        <v>218</v>
      </c>
      <c r="C111" s="11" t="n">
        <v>1</v>
      </c>
      <c r="D111" s="11" t="s">
        <v>78</v>
      </c>
      <c r="E111" s="11" t="s">
        <v>283</v>
      </c>
      <c r="F111" s="10" t="s">
        <v>284</v>
      </c>
      <c r="G111" s="11" t="str">
        <f aca="false">IF(Execuções!$I$80="","",IF(COUNTIFS(Consenso!$B$2:$B$601,A111,Consenso!$H$2:$H$601,E111)&gt;0,"Sim","Não"))</f>
        <v/>
      </c>
      <c r="H111" s="11" t="str">
        <f aca="false">IF(G111="","",IF(G111="Não","Sim","Não"))</f>
        <v/>
      </c>
    </row>
    <row r="112" customFormat="false" ht="15" hidden="false" customHeight="false" outlineLevel="0" collapsed="false">
      <c r="A112" s="11" t="s">
        <v>230</v>
      </c>
      <c r="B112" s="10" t="s">
        <v>218</v>
      </c>
      <c r="C112" s="11" t="n">
        <v>1</v>
      </c>
      <c r="D112" s="11" t="s">
        <v>78</v>
      </c>
      <c r="E112" s="11" t="s">
        <v>285</v>
      </c>
      <c r="F112" s="10" t="s">
        <v>286</v>
      </c>
      <c r="G112" s="11" t="str">
        <f aca="false">IF(Execuções!$I$80="","",IF(COUNTIFS(Consenso!$B$2:$B$601,A112,Consenso!$H$2:$H$601,E112)&gt;0,"Sim","Não"))</f>
        <v/>
      </c>
      <c r="H112" s="11" t="str">
        <f aca="false">IF(G112="","",IF(G112="Não","Sim","Não"))</f>
        <v/>
      </c>
    </row>
    <row r="113" customFormat="false" ht="15" hidden="false" customHeight="false" outlineLevel="0" collapsed="false">
      <c r="A113" s="11" t="s">
        <v>240</v>
      </c>
      <c r="B113" s="10" t="s">
        <v>218</v>
      </c>
      <c r="C113" s="11" t="n">
        <v>2</v>
      </c>
      <c r="D113" s="11" t="s">
        <v>78</v>
      </c>
      <c r="E113" s="11" t="s">
        <v>281</v>
      </c>
      <c r="F113" s="10" t="s">
        <v>282</v>
      </c>
      <c r="G113" s="11" t="str">
        <f aca="false">IF(Execuções!$I$85="","",IF(COUNTIFS(Consenso!$B$2:$B$601,A113,Consenso!$H$2:$H$601,E113)&gt;0,"Sim","Não"))</f>
        <v/>
      </c>
      <c r="H113" s="11" t="str">
        <f aca="false">IF(G113="","",IF(G113="Não","Sim","Não"))</f>
        <v/>
      </c>
    </row>
    <row r="114" customFormat="false" ht="15" hidden="false" customHeight="false" outlineLevel="0" collapsed="false">
      <c r="A114" s="11" t="s">
        <v>240</v>
      </c>
      <c r="B114" s="10" t="s">
        <v>218</v>
      </c>
      <c r="C114" s="11" t="n">
        <v>2</v>
      </c>
      <c r="D114" s="11" t="s">
        <v>78</v>
      </c>
      <c r="E114" s="11" t="s">
        <v>283</v>
      </c>
      <c r="F114" s="10" t="s">
        <v>284</v>
      </c>
      <c r="G114" s="11" t="str">
        <f aca="false">IF(Execuções!$I$85="","",IF(COUNTIFS(Consenso!$B$2:$B$601,A114,Consenso!$H$2:$H$601,E114)&gt;0,"Sim","Não"))</f>
        <v/>
      </c>
      <c r="H114" s="11" t="str">
        <f aca="false">IF(G114="","",IF(G114="Não","Sim","Não"))</f>
        <v/>
      </c>
    </row>
    <row r="115" customFormat="false" ht="15" hidden="false" customHeight="false" outlineLevel="0" collapsed="false">
      <c r="A115" s="11" t="s">
        <v>240</v>
      </c>
      <c r="B115" s="10" t="s">
        <v>218</v>
      </c>
      <c r="C115" s="11" t="n">
        <v>2</v>
      </c>
      <c r="D115" s="11" t="s">
        <v>78</v>
      </c>
      <c r="E115" s="11" t="s">
        <v>285</v>
      </c>
      <c r="F115" s="10" t="s">
        <v>286</v>
      </c>
      <c r="G115" s="11" t="str">
        <f aca="false">IF(Execuções!$I$85="","",IF(COUNTIFS(Consenso!$B$2:$B$601,A115,Consenso!$H$2:$H$601,E115)&gt;0,"Sim","Não"))</f>
        <v/>
      </c>
      <c r="H115" s="11" t="str">
        <f aca="false">IF(G115="","",IF(G115="Não","Sim","Não"))</f>
        <v/>
      </c>
    </row>
    <row r="116" customFormat="false" ht="15" hidden="false" customHeight="false" outlineLevel="0" collapsed="false">
      <c r="A116" s="11" t="s">
        <v>262</v>
      </c>
      <c r="B116" s="10" t="s">
        <v>218</v>
      </c>
      <c r="C116" s="11" t="n">
        <v>3</v>
      </c>
      <c r="D116" s="11" t="s">
        <v>78</v>
      </c>
      <c r="E116" s="11" t="s">
        <v>281</v>
      </c>
      <c r="F116" s="10" t="s">
        <v>282</v>
      </c>
      <c r="G116" s="11" t="str">
        <f aca="false">IF(Execuções!$I$96="","",IF(COUNTIFS(Consenso!$B$2:$B$601,A116,Consenso!$H$2:$H$601,E116)&gt;0,"Sim","Não"))</f>
        <v/>
      </c>
      <c r="H116" s="11" t="str">
        <f aca="false">IF(G116="","",IF(G116="Não","Sim","Não"))</f>
        <v/>
      </c>
    </row>
    <row r="117" customFormat="false" ht="15" hidden="false" customHeight="false" outlineLevel="0" collapsed="false">
      <c r="A117" s="11" t="s">
        <v>262</v>
      </c>
      <c r="B117" s="10" t="s">
        <v>218</v>
      </c>
      <c r="C117" s="11" t="n">
        <v>3</v>
      </c>
      <c r="D117" s="11" t="s">
        <v>78</v>
      </c>
      <c r="E117" s="11" t="s">
        <v>283</v>
      </c>
      <c r="F117" s="10" t="s">
        <v>284</v>
      </c>
      <c r="G117" s="11" t="str">
        <f aca="false">IF(Execuções!$I$96="","",IF(COUNTIFS(Consenso!$B$2:$B$601,A117,Consenso!$H$2:$H$601,E117)&gt;0,"Sim","Não"))</f>
        <v/>
      </c>
      <c r="H117" s="11" t="str">
        <f aca="false">IF(G117="","",IF(G117="Não","Sim","Não"))</f>
        <v/>
      </c>
    </row>
    <row r="118" customFormat="false" ht="15" hidden="false" customHeight="false" outlineLevel="0" collapsed="false">
      <c r="A118" s="11" t="s">
        <v>262</v>
      </c>
      <c r="B118" s="10" t="s">
        <v>218</v>
      </c>
      <c r="C118" s="11" t="n">
        <v>3</v>
      </c>
      <c r="D118" s="11" t="s">
        <v>78</v>
      </c>
      <c r="E118" s="11" t="s">
        <v>285</v>
      </c>
      <c r="F118" s="10" t="s">
        <v>286</v>
      </c>
      <c r="G118" s="11" t="str">
        <f aca="false">IF(Execuções!$I$96="","",IF(COUNTIFS(Consenso!$B$2:$B$601,A118,Consenso!$H$2:$H$601,E118)&gt;0,"Sim","Não"))</f>
        <v/>
      </c>
      <c r="H118" s="11" t="str">
        <f aca="false">IF(G118="","",IF(G118="Não","Sim","Não"))</f>
        <v/>
      </c>
    </row>
    <row r="119" customFormat="false" ht="15" hidden="false" customHeight="false" outlineLevel="0" collapsed="false">
      <c r="A119" s="11" t="s">
        <v>232</v>
      </c>
      <c r="B119" s="10" t="s">
        <v>218</v>
      </c>
      <c r="C119" s="11" t="n">
        <v>1</v>
      </c>
      <c r="D119" s="11" t="s">
        <v>71</v>
      </c>
      <c r="E119" s="11" t="s">
        <v>287</v>
      </c>
      <c r="F119" s="10" t="s">
        <v>288</v>
      </c>
      <c r="G119" s="11" t="str">
        <f aca="false">IF(Execuções!$I$81="","",IF(COUNTIFS(Consenso!$B$2:$B$601,A119,Consenso!$H$2:$H$601,E119)&gt;0,"Sim","Não"))</f>
        <v/>
      </c>
      <c r="H119" s="11" t="str">
        <f aca="false">IF(G119="","",IF(G119="Não","Sim","Não"))</f>
        <v/>
      </c>
    </row>
    <row r="120" customFormat="false" ht="15" hidden="false" customHeight="false" outlineLevel="0" collapsed="false">
      <c r="A120" s="11" t="s">
        <v>232</v>
      </c>
      <c r="B120" s="10" t="s">
        <v>218</v>
      </c>
      <c r="C120" s="11" t="n">
        <v>1</v>
      </c>
      <c r="D120" s="11" t="s">
        <v>71</v>
      </c>
      <c r="E120" s="11" t="s">
        <v>289</v>
      </c>
      <c r="F120" s="10" t="s">
        <v>290</v>
      </c>
      <c r="G120" s="11" t="str">
        <f aca="false">IF(Execuções!$I$81="","",IF(COUNTIFS(Consenso!$B$2:$B$601,A120,Consenso!$H$2:$H$601,E120)&gt;0,"Sim","Não"))</f>
        <v/>
      </c>
      <c r="H120" s="11" t="str">
        <f aca="false">IF(G120="","",IF(G120="Não","Sim","Não"))</f>
        <v/>
      </c>
    </row>
    <row r="121" customFormat="false" ht="15" hidden="false" customHeight="false" outlineLevel="0" collapsed="false">
      <c r="A121" s="11" t="s">
        <v>232</v>
      </c>
      <c r="B121" s="10" t="s">
        <v>218</v>
      </c>
      <c r="C121" s="11" t="n">
        <v>1</v>
      </c>
      <c r="D121" s="11" t="s">
        <v>71</v>
      </c>
      <c r="E121" s="11" t="s">
        <v>291</v>
      </c>
      <c r="F121" s="10" t="s">
        <v>284</v>
      </c>
      <c r="G121" s="11" t="str">
        <f aca="false">IF(Execuções!$I$81="","",IF(COUNTIFS(Consenso!$B$2:$B$601,A121,Consenso!$H$2:$H$601,E121)&gt;0,"Sim","Não"))</f>
        <v/>
      </c>
      <c r="H121" s="11" t="str">
        <f aca="false">IF(G121="","",IF(G121="Não","Sim","Não"))</f>
        <v/>
      </c>
    </row>
    <row r="122" customFormat="false" ht="15" hidden="false" customHeight="false" outlineLevel="0" collapsed="false">
      <c r="A122" s="11" t="s">
        <v>238</v>
      </c>
      <c r="B122" s="10" t="s">
        <v>218</v>
      </c>
      <c r="C122" s="11" t="n">
        <v>2</v>
      </c>
      <c r="D122" s="11" t="s">
        <v>71</v>
      </c>
      <c r="E122" s="11" t="s">
        <v>287</v>
      </c>
      <c r="F122" s="10" t="s">
        <v>288</v>
      </c>
      <c r="G122" s="11" t="str">
        <f aca="false">IF(Execuções!$I$84="","",IF(COUNTIFS(Consenso!$B$2:$B$601,A122,Consenso!$H$2:$H$601,E122)&gt;0,"Sim","Não"))</f>
        <v/>
      </c>
      <c r="H122" s="11" t="str">
        <f aca="false">IF(G122="","",IF(G122="Não","Sim","Não"))</f>
        <v/>
      </c>
    </row>
    <row r="123" customFormat="false" ht="15" hidden="false" customHeight="false" outlineLevel="0" collapsed="false">
      <c r="A123" s="11" t="s">
        <v>238</v>
      </c>
      <c r="B123" s="10" t="s">
        <v>218</v>
      </c>
      <c r="C123" s="11" t="n">
        <v>2</v>
      </c>
      <c r="D123" s="11" t="s">
        <v>71</v>
      </c>
      <c r="E123" s="11" t="s">
        <v>289</v>
      </c>
      <c r="F123" s="10" t="s">
        <v>290</v>
      </c>
      <c r="G123" s="11" t="str">
        <f aca="false">IF(Execuções!$I$84="","",IF(COUNTIFS(Consenso!$B$2:$B$601,A123,Consenso!$H$2:$H$601,E123)&gt;0,"Sim","Não"))</f>
        <v/>
      </c>
      <c r="H123" s="11" t="str">
        <f aca="false">IF(G123="","",IF(G123="Não","Sim","Não"))</f>
        <v/>
      </c>
    </row>
    <row r="124" customFormat="false" ht="15" hidden="false" customHeight="false" outlineLevel="0" collapsed="false">
      <c r="A124" s="11" t="s">
        <v>238</v>
      </c>
      <c r="B124" s="10" t="s">
        <v>218</v>
      </c>
      <c r="C124" s="11" t="n">
        <v>2</v>
      </c>
      <c r="D124" s="11" t="s">
        <v>71</v>
      </c>
      <c r="E124" s="11" t="s">
        <v>291</v>
      </c>
      <c r="F124" s="10" t="s">
        <v>284</v>
      </c>
      <c r="G124" s="11" t="str">
        <f aca="false">IF(Execuções!$I$84="","",IF(COUNTIFS(Consenso!$B$2:$B$601,A124,Consenso!$H$2:$H$601,E124)&gt;0,"Sim","Não"))</f>
        <v/>
      </c>
      <c r="H124" s="11" t="str">
        <f aca="false">IF(G124="","",IF(G124="Não","Sim","Não"))</f>
        <v/>
      </c>
    </row>
    <row r="125" customFormat="false" ht="15" hidden="false" customHeight="false" outlineLevel="0" collapsed="false">
      <c r="A125" s="11" t="s">
        <v>254</v>
      </c>
      <c r="B125" s="10" t="s">
        <v>218</v>
      </c>
      <c r="C125" s="11" t="n">
        <v>3</v>
      </c>
      <c r="D125" s="11" t="s">
        <v>71</v>
      </c>
      <c r="E125" s="11" t="s">
        <v>287</v>
      </c>
      <c r="F125" s="10" t="s">
        <v>288</v>
      </c>
      <c r="G125" s="11" t="str">
        <f aca="false">IF(Execuções!$I$92="","",IF(COUNTIFS(Consenso!$B$2:$B$601,A125,Consenso!$H$2:$H$601,E125)&gt;0,"Sim","Não"))</f>
        <v/>
      </c>
      <c r="H125" s="11" t="str">
        <f aca="false">IF(G125="","",IF(G125="Não","Sim","Não"))</f>
        <v/>
      </c>
    </row>
    <row r="126" customFormat="false" ht="15" hidden="false" customHeight="false" outlineLevel="0" collapsed="false">
      <c r="A126" s="11" t="s">
        <v>254</v>
      </c>
      <c r="B126" s="10" t="s">
        <v>218</v>
      </c>
      <c r="C126" s="11" t="n">
        <v>3</v>
      </c>
      <c r="D126" s="11" t="s">
        <v>71</v>
      </c>
      <c r="E126" s="11" t="s">
        <v>289</v>
      </c>
      <c r="F126" s="10" t="s">
        <v>290</v>
      </c>
      <c r="G126" s="11" t="str">
        <f aca="false">IF(Execuções!$I$92="","",IF(COUNTIFS(Consenso!$B$2:$B$601,A126,Consenso!$H$2:$H$601,E126)&gt;0,"Sim","Não"))</f>
        <v/>
      </c>
      <c r="H126" s="11" t="str">
        <f aca="false">IF(G126="","",IF(G126="Não","Sim","Não"))</f>
        <v/>
      </c>
    </row>
    <row r="127" customFormat="false" ht="15" hidden="false" customHeight="false" outlineLevel="0" collapsed="false">
      <c r="A127" s="11" t="s">
        <v>254</v>
      </c>
      <c r="B127" s="10" t="s">
        <v>218</v>
      </c>
      <c r="C127" s="11" t="n">
        <v>3</v>
      </c>
      <c r="D127" s="11" t="s">
        <v>71</v>
      </c>
      <c r="E127" s="11" t="s">
        <v>291</v>
      </c>
      <c r="F127" s="10" t="s">
        <v>284</v>
      </c>
      <c r="G127" s="11" t="str">
        <f aca="false">IF(Execuções!$I$92="","",IF(COUNTIFS(Consenso!$B$2:$B$601,A127,Consenso!$H$2:$H$601,E127)&gt;0,"Sim","Não"))</f>
        <v/>
      </c>
      <c r="H127" s="11" t="str">
        <f aca="false">IF(G127="","",IF(G127="Não","Sim","Não"))</f>
        <v/>
      </c>
    </row>
    <row r="128" customFormat="false" ht="15" hidden="false" customHeight="false" outlineLevel="0" collapsed="false">
      <c r="A128" s="11" t="s">
        <v>226</v>
      </c>
      <c r="B128" s="10" t="s">
        <v>218</v>
      </c>
      <c r="C128" s="11" t="n">
        <v>1</v>
      </c>
      <c r="D128" s="11" t="s">
        <v>63</v>
      </c>
      <c r="E128" s="11" t="s">
        <v>292</v>
      </c>
      <c r="F128" s="10" t="s">
        <v>282</v>
      </c>
      <c r="G128" s="11" t="str">
        <f aca="false">IF(Execuções!$I$78="","",IF(COUNTIFS(Consenso!$B$2:$B$601,A128,Consenso!$H$2:$H$601,E128)&gt;0,"Sim","Não"))</f>
        <v/>
      </c>
      <c r="H128" s="11" t="str">
        <f aca="false">IF(G128="","",IF(G128="Não","Sim","Não"))</f>
        <v/>
      </c>
    </row>
    <row r="129" customFormat="false" ht="15" hidden="false" customHeight="false" outlineLevel="0" collapsed="false">
      <c r="A129" s="11" t="s">
        <v>226</v>
      </c>
      <c r="B129" s="10" t="s">
        <v>218</v>
      </c>
      <c r="C129" s="11" t="n">
        <v>1</v>
      </c>
      <c r="D129" s="11" t="s">
        <v>63</v>
      </c>
      <c r="E129" s="11" t="s">
        <v>293</v>
      </c>
      <c r="F129" s="10" t="s">
        <v>290</v>
      </c>
      <c r="G129" s="11" t="str">
        <f aca="false">IF(Execuções!$I$78="","",IF(COUNTIFS(Consenso!$B$2:$B$601,A129,Consenso!$H$2:$H$601,E129)&gt;0,"Sim","Não"))</f>
        <v/>
      </c>
      <c r="H129" s="11" t="str">
        <f aca="false">IF(G129="","",IF(G129="Não","Sim","Não"))</f>
        <v/>
      </c>
    </row>
    <row r="130" customFormat="false" ht="15" hidden="false" customHeight="false" outlineLevel="0" collapsed="false">
      <c r="A130" s="11" t="s">
        <v>226</v>
      </c>
      <c r="B130" s="10" t="s">
        <v>218</v>
      </c>
      <c r="C130" s="11" t="n">
        <v>1</v>
      </c>
      <c r="D130" s="11" t="s">
        <v>63</v>
      </c>
      <c r="E130" s="11" t="s">
        <v>294</v>
      </c>
      <c r="F130" s="10" t="s">
        <v>288</v>
      </c>
      <c r="G130" s="11" t="str">
        <f aca="false">IF(Execuções!$I$78="","",IF(COUNTIFS(Consenso!$B$2:$B$601,A130,Consenso!$H$2:$H$601,E130)&gt;0,"Sim","Não"))</f>
        <v/>
      </c>
      <c r="H130" s="11" t="str">
        <f aca="false">IF(G130="","",IF(G130="Não","Sim","Não"))</f>
        <v/>
      </c>
    </row>
    <row r="131" customFormat="false" ht="15" hidden="false" customHeight="false" outlineLevel="0" collapsed="false">
      <c r="A131" s="11" t="s">
        <v>244</v>
      </c>
      <c r="B131" s="10" t="s">
        <v>218</v>
      </c>
      <c r="C131" s="11" t="n">
        <v>2</v>
      </c>
      <c r="D131" s="11" t="s">
        <v>63</v>
      </c>
      <c r="E131" s="11" t="s">
        <v>292</v>
      </c>
      <c r="F131" s="10" t="s">
        <v>282</v>
      </c>
      <c r="G131" s="11" t="str">
        <f aca="false">IF(Execuções!$I$87="","",IF(COUNTIFS(Consenso!$B$2:$B$601,A131,Consenso!$H$2:$H$601,E131)&gt;0,"Sim","Não"))</f>
        <v/>
      </c>
      <c r="H131" s="11" t="str">
        <f aca="false">IF(G131="","",IF(G131="Não","Sim","Não"))</f>
        <v/>
      </c>
    </row>
    <row r="132" customFormat="false" ht="15" hidden="false" customHeight="false" outlineLevel="0" collapsed="false">
      <c r="A132" s="11" t="s">
        <v>244</v>
      </c>
      <c r="B132" s="10" t="s">
        <v>218</v>
      </c>
      <c r="C132" s="11" t="n">
        <v>2</v>
      </c>
      <c r="D132" s="11" t="s">
        <v>63</v>
      </c>
      <c r="E132" s="11" t="s">
        <v>293</v>
      </c>
      <c r="F132" s="10" t="s">
        <v>290</v>
      </c>
      <c r="G132" s="11" t="str">
        <f aca="false">IF(Execuções!$I$87="","",IF(COUNTIFS(Consenso!$B$2:$B$601,A132,Consenso!$H$2:$H$601,E132)&gt;0,"Sim","Não"))</f>
        <v/>
      </c>
      <c r="H132" s="11" t="str">
        <f aca="false">IF(G132="","",IF(G132="Não","Sim","Não"))</f>
        <v/>
      </c>
    </row>
    <row r="133" customFormat="false" ht="15" hidden="false" customHeight="false" outlineLevel="0" collapsed="false">
      <c r="A133" s="11" t="s">
        <v>244</v>
      </c>
      <c r="B133" s="10" t="s">
        <v>218</v>
      </c>
      <c r="C133" s="11" t="n">
        <v>2</v>
      </c>
      <c r="D133" s="11" t="s">
        <v>63</v>
      </c>
      <c r="E133" s="11" t="s">
        <v>294</v>
      </c>
      <c r="F133" s="10" t="s">
        <v>288</v>
      </c>
      <c r="G133" s="11" t="str">
        <f aca="false">IF(Execuções!$I$87="","",IF(COUNTIFS(Consenso!$B$2:$B$601,A133,Consenso!$H$2:$H$601,E133)&gt;0,"Sim","Não"))</f>
        <v/>
      </c>
      <c r="H133" s="11" t="str">
        <f aca="false">IF(G133="","",IF(G133="Não","Sim","Não"))</f>
        <v/>
      </c>
    </row>
    <row r="134" customFormat="false" ht="15" hidden="false" customHeight="false" outlineLevel="0" collapsed="false">
      <c r="A134" s="11" t="s">
        <v>258</v>
      </c>
      <c r="B134" s="10" t="s">
        <v>218</v>
      </c>
      <c r="C134" s="11" t="n">
        <v>3</v>
      </c>
      <c r="D134" s="11" t="s">
        <v>63</v>
      </c>
      <c r="E134" s="11" t="s">
        <v>292</v>
      </c>
      <c r="F134" s="10" t="s">
        <v>282</v>
      </c>
      <c r="G134" s="11" t="str">
        <f aca="false">IF(Execuções!$I$94="","",IF(COUNTIFS(Consenso!$B$2:$B$601,A134,Consenso!$H$2:$H$601,E134)&gt;0,"Sim","Não"))</f>
        <v/>
      </c>
      <c r="H134" s="11" t="str">
        <f aca="false">IF(G134="","",IF(G134="Não","Sim","Não"))</f>
        <v/>
      </c>
    </row>
    <row r="135" customFormat="false" ht="15" hidden="false" customHeight="false" outlineLevel="0" collapsed="false">
      <c r="A135" s="11" t="s">
        <v>258</v>
      </c>
      <c r="B135" s="10" t="s">
        <v>218</v>
      </c>
      <c r="C135" s="11" t="n">
        <v>3</v>
      </c>
      <c r="D135" s="11" t="s">
        <v>63</v>
      </c>
      <c r="E135" s="11" t="s">
        <v>293</v>
      </c>
      <c r="F135" s="10" t="s">
        <v>290</v>
      </c>
      <c r="G135" s="11" t="str">
        <f aca="false">IF(Execuções!$I$94="","",IF(COUNTIFS(Consenso!$B$2:$B$601,A135,Consenso!$H$2:$H$601,E135)&gt;0,"Sim","Não"))</f>
        <v/>
      </c>
      <c r="H135" s="11" t="str">
        <f aca="false">IF(G135="","",IF(G135="Não","Sim","Não"))</f>
        <v/>
      </c>
    </row>
    <row r="136" customFormat="false" ht="15" hidden="false" customHeight="false" outlineLevel="0" collapsed="false">
      <c r="A136" s="11" t="s">
        <v>258</v>
      </c>
      <c r="B136" s="10" t="s">
        <v>218</v>
      </c>
      <c r="C136" s="11" t="n">
        <v>3</v>
      </c>
      <c r="D136" s="11" t="s">
        <v>63</v>
      </c>
      <c r="E136" s="11" t="s">
        <v>294</v>
      </c>
      <c r="F136" s="10" t="s">
        <v>288</v>
      </c>
      <c r="G136" s="11" t="str">
        <f aca="false">IF(Execuções!$I$94="","",IF(COUNTIFS(Consenso!$B$2:$B$601,A136,Consenso!$H$2:$H$601,E136)&gt;0,"Sim","Não"))</f>
        <v/>
      </c>
      <c r="H136" s="11" t="str">
        <f aca="false">IF(G136="","",IF(G136="Não","Sim","Não"))</f>
        <v/>
      </c>
    </row>
    <row r="137" customFormat="false" ht="15" hidden="false" customHeight="false" outlineLevel="0" collapsed="false">
      <c r="A137" s="11" t="s">
        <v>222</v>
      </c>
      <c r="B137" s="10" t="s">
        <v>218</v>
      </c>
      <c r="C137" s="11" t="n">
        <v>1</v>
      </c>
      <c r="D137" s="11" t="s">
        <v>58</v>
      </c>
      <c r="E137" s="11" t="s">
        <v>295</v>
      </c>
      <c r="F137" s="10" t="s">
        <v>284</v>
      </c>
      <c r="G137" s="11" t="str">
        <f aca="false">IF(Execuções!$I$76="","",IF(COUNTIFS(Consenso!$B$2:$B$601,A137,Consenso!$H$2:$H$601,E137)&gt;0,"Sim","Não"))</f>
        <v/>
      </c>
      <c r="H137" s="11" t="str">
        <f aca="false">IF(G137="","",IF(G137="Não","Sim","Não"))</f>
        <v/>
      </c>
    </row>
    <row r="138" customFormat="false" ht="15" hidden="false" customHeight="false" outlineLevel="0" collapsed="false">
      <c r="A138" s="11" t="s">
        <v>222</v>
      </c>
      <c r="B138" s="10" t="s">
        <v>218</v>
      </c>
      <c r="C138" s="11" t="n">
        <v>1</v>
      </c>
      <c r="D138" s="11" t="s">
        <v>58</v>
      </c>
      <c r="E138" s="11" t="s">
        <v>296</v>
      </c>
      <c r="F138" s="10" t="s">
        <v>290</v>
      </c>
      <c r="G138" s="11" t="str">
        <f aca="false">IF(Execuções!$I$76="","",IF(COUNTIFS(Consenso!$B$2:$B$601,A138,Consenso!$H$2:$H$601,E138)&gt;0,"Sim","Não"))</f>
        <v/>
      </c>
      <c r="H138" s="11" t="str">
        <f aca="false">IF(G138="","",IF(G138="Não","Sim","Não"))</f>
        <v/>
      </c>
    </row>
    <row r="139" customFormat="false" ht="15" hidden="false" customHeight="false" outlineLevel="0" collapsed="false">
      <c r="A139" s="11" t="s">
        <v>222</v>
      </c>
      <c r="B139" s="10" t="s">
        <v>218</v>
      </c>
      <c r="C139" s="11" t="n">
        <v>1</v>
      </c>
      <c r="D139" s="11" t="s">
        <v>58</v>
      </c>
      <c r="E139" s="11" t="s">
        <v>297</v>
      </c>
      <c r="F139" s="10" t="s">
        <v>282</v>
      </c>
      <c r="G139" s="11" t="str">
        <f aca="false">IF(Execuções!$I$76="","",IF(COUNTIFS(Consenso!$B$2:$B$601,A139,Consenso!$H$2:$H$601,E139)&gt;0,"Sim","Não"))</f>
        <v/>
      </c>
      <c r="H139" s="11" t="str">
        <f aca="false">IF(G139="","",IF(G139="Não","Sim","Não"))</f>
        <v/>
      </c>
    </row>
    <row r="140" customFormat="false" ht="15" hidden="false" customHeight="false" outlineLevel="0" collapsed="false">
      <c r="A140" s="11" t="s">
        <v>242</v>
      </c>
      <c r="B140" s="10" t="s">
        <v>218</v>
      </c>
      <c r="C140" s="11" t="n">
        <v>2</v>
      </c>
      <c r="D140" s="11" t="s">
        <v>58</v>
      </c>
      <c r="E140" s="11" t="s">
        <v>295</v>
      </c>
      <c r="F140" s="10" t="s">
        <v>284</v>
      </c>
      <c r="G140" s="11" t="str">
        <f aca="false">IF(Execuções!$I$86="","",IF(COUNTIFS(Consenso!$B$2:$B$601,A140,Consenso!$H$2:$H$601,E140)&gt;0,"Sim","Não"))</f>
        <v/>
      </c>
      <c r="H140" s="11" t="str">
        <f aca="false">IF(G140="","",IF(G140="Não","Sim","Não"))</f>
        <v/>
      </c>
    </row>
    <row r="141" customFormat="false" ht="15" hidden="false" customHeight="false" outlineLevel="0" collapsed="false">
      <c r="A141" s="11" t="s">
        <v>242</v>
      </c>
      <c r="B141" s="10" t="s">
        <v>218</v>
      </c>
      <c r="C141" s="11" t="n">
        <v>2</v>
      </c>
      <c r="D141" s="11" t="s">
        <v>58</v>
      </c>
      <c r="E141" s="11" t="s">
        <v>296</v>
      </c>
      <c r="F141" s="10" t="s">
        <v>290</v>
      </c>
      <c r="G141" s="11" t="str">
        <f aca="false">IF(Execuções!$I$86="","",IF(COUNTIFS(Consenso!$B$2:$B$601,A141,Consenso!$H$2:$H$601,E141)&gt;0,"Sim","Não"))</f>
        <v/>
      </c>
      <c r="H141" s="11" t="str">
        <f aca="false">IF(G141="","",IF(G141="Não","Sim","Não"))</f>
        <v/>
      </c>
    </row>
    <row r="142" customFormat="false" ht="15" hidden="false" customHeight="false" outlineLevel="0" collapsed="false">
      <c r="A142" s="11" t="s">
        <v>242</v>
      </c>
      <c r="B142" s="10" t="s">
        <v>218</v>
      </c>
      <c r="C142" s="11" t="n">
        <v>2</v>
      </c>
      <c r="D142" s="11" t="s">
        <v>58</v>
      </c>
      <c r="E142" s="11" t="s">
        <v>297</v>
      </c>
      <c r="F142" s="10" t="s">
        <v>282</v>
      </c>
      <c r="G142" s="11" t="str">
        <f aca="false">IF(Execuções!$I$86="","",IF(COUNTIFS(Consenso!$B$2:$B$601,A142,Consenso!$H$2:$H$601,E142)&gt;0,"Sim","Não"))</f>
        <v/>
      </c>
      <c r="H142" s="11" t="str">
        <f aca="false">IF(G142="","",IF(G142="Não","Sim","Não"))</f>
        <v/>
      </c>
    </row>
    <row r="143" customFormat="false" ht="15" hidden="false" customHeight="false" outlineLevel="0" collapsed="false">
      <c r="A143" s="11" t="s">
        <v>260</v>
      </c>
      <c r="B143" s="10" t="s">
        <v>218</v>
      </c>
      <c r="C143" s="11" t="n">
        <v>3</v>
      </c>
      <c r="D143" s="11" t="s">
        <v>58</v>
      </c>
      <c r="E143" s="11" t="s">
        <v>295</v>
      </c>
      <c r="F143" s="10" t="s">
        <v>284</v>
      </c>
      <c r="G143" s="11" t="str">
        <f aca="false">IF(Execuções!$I$95="","",IF(COUNTIFS(Consenso!$B$2:$B$601,A143,Consenso!$H$2:$H$601,E143)&gt;0,"Sim","Não"))</f>
        <v/>
      </c>
      <c r="H143" s="11" t="str">
        <f aca="false">IF(G143="","",IF(G143="Não","Sim","Não"))</f>
        <v/>
      </c>
    </row>
    <row r="144" customFormat="false" ht="15" hidden="false" customHeight="false" outlineLevel="0" collapsed="false">
      <c r="A144" s="11" t="s">
        <v>260</v>
      </c>
      <c r="B144" s="10" t="s">
        <v>218</v>
      </c>
      <c r="C144" s="11" t="n">
        <v>3</v>
      </c>
      <c r="D144" s="11" t="s">
        <v>58</v>
      </c>
      <c r="E144" s="11" t="s">
        <v>296</v>
      </c>
      <c r="F144" s="10" t="s">
        <v>290</v>
      </c>
      <c r="G144" s="11" t="str">
        <f aca="false">IF(Execuções!$I$95="","",IF(COUNTIFS(Consenso!$B$2:$B$601,A144,Consenso!$H$2:$H$601,E144)&gt;0,"Sim","Não"))</f>
        <v/>
      </c>
      <c r="H144" s="11" t="str">
        <f aca="false">IF(G144="","",IF(G144="Não","Sim","Não"))</f>
        <v/>
      </c>
    </row>
    <row r="145" customFormat="false" ht="15" hidden="false" customHeight="false" outlineLevel="0" collapsed="false">
      <c r="A145" s="11" t="s">
        <v>260</v>
      </c>
      <c r="B145" s="10" t="s">
        <v>218</v>
      </c>
      <c r="C145" s="11" t="n">
        <v>3</v>
      </c>
      <c r="D145" s="11" t="s">
        <v>58</v>
      </c>
      <c r="E145" s="11" t="s">
        <v>297</v>
      </c>
      <c r="F145" s="10" t="s">
        <v>282</v>
      </c>
      <c r="G145" s="11" t="str">
        <f aca="false">IF(Execuções!$I$95="","",IF(COUNTIFS(Consenso!$B$2:$B$601,A145,Consenso!$H$2:$H$601,E145)&gt;0,"Sim","Não"))</f>
        <v/>
      </c>
      <c r="H145" s="11" t="str">
        <f aca="false">IF(G145="","",IF(G145="Não","Sim","Não"))</f>
        <v/>
      </c>
    </row>
  </sheetData>
  <autoFilter ref="A1:H145"/>
  <conditionalFormatting sqref="A2:H145">
    <cfRule type="expression" priority="2" aboveAverage="0" equalAverage="0" bottom="0" percent="0" rank="0" text="" dxfId="6">
      <formula>$H2="Sim"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6" min="2" style="0" width="13"/>
  </cols>
  <sheetData>
    <row r="1" customFormat="false" ht="17.35" hidden="false" customHeight="false" outlineLevel="0" collapsed="false">
      <c r="A1" s="15" t="s">
        <v>298</v>
      </c>
    </row>
    <row r="2" customFormat="false" ht="15" hidden="false" customHeight="false" outlineLevel="0" collapsed="false">
      <c r="A2" s="16" t="s">
        <v>299</v>
      </c>
    </row>
    <row r="4" customFormat="false" ht="15" hidden="false" customHeight="false" outlineLevel="0" collapsed="false">
      <c r="A4" s="17" t="s">
        <v>300</v>
      </c>
    </row>
    <row r="5" customFormat="false" ht="48" hidden="false" customHeight="true" outlineLevel="0" collapsed="false">
      <c r="A5" s="8" t="s">
        <v>41</v>
      </c>
      <c r="B5" s="8" t="s">
        <v>301</v>
      </c>
      <c r="C5" s="8" t="s">
        <v>302</v>
      </c>
      <c r="D5" s="8" t="s">
        <v>303</v>
      </c>
      <c r="E5" s="8" t="s">
        <v>304</v>
      </c>
      <c r="F5" s="8" t="s">
        <v>305</v>
      </c>
      <c r="G5" s="8" t="s">
        <v>306</v>
      </c>
      <c r="H5" s="8" t="s">
        <v>307</v>
      </c>
      <c r="I5" s="8" t="s">
        <v>308</v>
      </c>
      <c r="J5" s="8" t="s">
        <v>309</v>
      </c>
      <c r="K5" s="8" t="s">
        <v>310</v>
      </c>
      <c r="L5" s="8" t="s">
        <v>311</v>
      </c>
      <c r="M5" s="8" t="s">
        <v>312</v>
      </c>
      <c r="N5" s="8" t="s">
        <v>313</v>
      </c>
      <c r="O5" s="8" t="s">
        <v>314</v>
      </c>
      <c r="P5" s="8" t="s">
        <v>315</v>
      </c>
    </row>
    <row r="6" customFormat="false" ht="15" hidden="false" customHeight="false" outlineLevel="0" collapsed="false">
      <c r="A6" s="18" t="s">
        <v>57</v>
      </c>
      <c r="B6" s="19" t="n">
        <f aca="false">COUNTIFS(Execuções!$B$2:$B$97,A6,Execuções!$I$2:$I$97,"&lt;&gt;")</f>
        <v>0</v>
      </c>
      <c r="C6" s="19" t="n">
        <f aca="false">COUNTIFS(Execuções!$B$2:$B$97,A6,Execuções!$P$2:$P$97,"Sim")</f>
        <v>0</v>
      </c>
      <c r="D6" s="19" t="n">
        <f aca="false">SUMPRODUCT((Consenso!$D$2:$D$601="Codex")*(Consenso!$P$2:$P$601&lt;&gt;""))</f>
        <v>0</v>
      </c>
      <c r="E6" s="19" t="n">
        <f aca="false">COUNTIFS('Defeitos não encontrados'!$B$2:$B$145,A6,'Defeitos não encontrados'!$G$2:$G$145,"Sim")+COUNTIFS('Defeitos não encontrados'!$B$2:$B$145,A6,'Defeitos não encontrados'!$G$2:$G$145,"Não")</f>
        <v>0</v>
      </c>
      <c r="F6" s="19" t="n">
        <f aca="false">COUNTIFS('Defeitos não encontrados'!$B$2:$B$145,A6,'Defeitos não encontrados'!$G$2:$G$145,"Sim")</f>
        <v>0</v>
      </c>
      <c r="G6" s="20" t="str">
        <f aca="false">IFERROR(F6/E6,"")</f>
        <v/>
      </c>
      <c r="H6" s="19" t="n">
        <f aca="false">SUMPRODUCT((Consenso!$D$2:$D$601="Codex")*((Consenso!$P$2:$P$601="Defeito encontrado")+(Consenso!$P$2:$P$601="Falso alarme")))</f>
        <v>0</v>
      </c>
      <c r="I6" s="19" t="n">
        <f aca="false">SUMPRODUCT((Consenso!$D$2:$D$601="Codex")*(Consenso!$P$2:$P$601="Falso alarme"))</f>
        <v>0</v>
      </c>
      <c r="J6" s="20" t="str">
        <f aca="false">IFERROR(I6/H6,"")</f>
        <v/>
      </c>
      <c r="K6" s="19" t="n">
        <f aca="false">SUMPRODUCT((Consenso!$D$2:$D$601="Codex")*(Consenso!$P$2:$P$601&lt;&gt;"")*(Consenso!$J$2:$J$601="Sim"))</f>
        <v>0</v>
      </c>
      <c r="L6" s="20" t="str">
        <f aca="false">IFERROR(K6/D6,"")</f>
        <v/>
      </c>
      <c r="M6" s="19" t="n">
        <f aca="false">SUMPRODUCT((Consenso!$D$2:$D$601="Codex")*(Consenso!$P$2:$P$601="Defeito encontrado")*(Consenso!$J$2:$J$601="Sim"))</f>
        <v>0</v>
      </c>
      <c r="N6" s="19" t="n">
        <f aca="false">SUMPRODUCT((Consenso!$D$2:$D$601="Codex")*(Consenso!$P$2:$P$601="Falso alarme")*(Consenso!$J$2:$J$601="Sim"))</f>
        <v>0</v>
      </c>
      <c r="O6" s="19" t="n">
        <f aca="false">SUMPRODUCT((Consenso!$D$2:$D$601="Codex")*(Consenso!$P$2:$P$601="Nenhum defeito apontado")*(Consenso!$J$2:$J$601="Sim"))</f>
        <v>0</v>
      </c>
      <c r="P6" s="19" t="n">
        <f aca="false">SUMPRODUCT((Consenso!$D$2:$D$601="Codex")*(Consenso!$P$2:$P$601&lt;&gt;"")*(Consenso!$K$2:$K$601="Sim"))</f>
        <v>0</v>
      </c>
    </row>
    <row r="7" customFormat="false" ht="15" hidden="false" customHeight="false" outlineLevel="0" collapsed="false">
      <c r="A7" s="18" t="s">
        <v>120</v>
      </c>
      <c r="B7" s="19" t="n">
        <f aca="false">COUNTIFS(Execuções!$B$2:$B$97,A7,Execuções!$I$2:$I$97,"&lt;&gt;")</f>
        <v>0</v>
      </c>
      <c r="C7" s="19" t="n">
        <f aca="false">COUNTIFS(Execuções!$B$2:$B$97,A7,Execuções!$P$2:$P$97,"Sim")</f>
        <v>0</v>
      </c>
      <c r="D7" s="19" t="n">
        <f aca="false">SUMPRODUCT((Consenso!$D$2:$D$601="Claude")*(Consenso!$P$2:$P$601&lt;&gt;""))</f>
        <v>0</v>
      </c>
      <c r="E7" s="19" t="n">
        <f aca="false">COUNTIFS('Defeitos não encontrados'!$B$2:$B$145,A7,'Defeitos não encontrados'!$G$2:$G$145,"Sim")+COUNTIFS('Defeitos não encontrados'!$B$2:$B$145,A7,'Defeitos não encontrados'!$G$2:$G$145,"Não")</f>
        <v>0</v>
      </c>
      <c r="F7" s="19" t="n">
        <f aca="false">COUNTIFS('Defeitos não encontrados'!$B$2:$B$145,A7,'Defeitos não encontrados'!$G$2:$G$145,"Sim")</f>
        <v>0</v>
      </c>
      <c r="G7" s="20" t="str">
        <f aca="false">IFERROR(F7/E7,"")</f>
        <v/>
      </c>
      <c r="H7" s="19" t="n">
        <f aca="false">SUMPRODUCT((Consenso!$D$2:$D$601="Claude")*((Consenso!$P$2:$P$601="Defeito encontrado")+(Consenso!$P$2:$P$601="Falso alarme")))</f>
        <v>0</v>
      </c>
      <c r="I7" s="19" t="n">
        <f aca="false">SUMPRODUCT((Consenso!$D$2:$D$601="Claude")*(Consenso!$P$2:$P$601="Falso alarme"))</f>
        <v>0</v>
      </c>
      <c r="J7" s="20" t="str">
        <f aca="false">IFERROR(I7/H7,"")</f>
        <v/>
      </c>
      <c r="K7" s="19" t="n">
        <f aca="false">SUMPRODUCT((Consenso!$D$2:$D$601="Claude")*(Consenso!$P$2:$P$601&lt;&gt;"")*(Consenso!$J$2:$J$601="Sim"))</f>
        <v>0</v>
      </c>
      <c r="L7" s="20" t="str">
        <f aca="false">IFERROR(K7/D7,"")</f>
        <v/>
      </c>
      <c r="M7" s="19" t="n">
        <f aca="false">SUMPRODUCT((Consenso!$D$2:$D$601="Claude")*(Consenso!$P$2:$P$601="Defeito encontrado")*(Consenso!$J$2:$J$601="Sim"))</f>
        <v>0</v>
      </c>
      <c r="N7" s="19" t="n">
        <f aca="false">SUMPRODUCT((Consenso!$D$2:$D$601="Claude")*(Consenso!$P$2:$P$601="Falso alarme")*(Consenso!$J$2:$J$601="Sim"))</f>
        <v>0</v>
      </c>
      <c r="O7" s="19" t="n">
        <f aca="false">SUMPRODUCT((Consenso!$D$2:$D$601="Claude")*(Consenso!$P$2:$P$601="Nenhum defeito apontado")*(Consenso!$J$2:$J$601="Sim"))</f>
        <v>0</v>
      </c>
      <c r="P7" s="19" t="n">
        <f aca="false">SUMPRODUCT((Consenso!$D$2:$D$601="Claude")*(Consenso!$P$2:$P$601&lt;&gt;"")*(Consenso!$K$2:$K$601="Sim"))</f>
        <v>0</v>
      </c>
    </row>
    <row r="8" customFormat="false" ht="15" hidden="false" customHeight="false" outlineLevel="0" collapsed="false">
      <c r="A8" s="18" t="s">
        <v>169</v>
      </c>
      <c r="B8" s="19" t="n">
        <f aca="false">COUNTIFS(Execuções!$B$2:$B$97,A8,Execuções!$I$2:$I$97,"&lt;&gt;")</f>
        <v>0</v>
      </c>
      <c r="C8" s="19" t="n">
        <f aca="false">COUNTIFS(Execuções!$B$2:$B$97,A8,Execuções!$P$2:$P$97,"Sim")</f>
        <v>0</v>
      </c>
      <c r="D8" s="19" t="n">
        <f aca="false">SUMPRODUCT((Consenso!$D$2:$D$601="Antigravity")*(Consenso!$P$2:$P$601&lt;&gt;""))</f>
        <v>0</v>
      </c>
      <c r="E8" s="19" t="n">
        <f aca="false">COUNTIFS('Defeitos não encontrados'!$B$2:$B$145,A8,'Defeitos não encontrados'!$G$2:$G$145,"Sim")+COUNTIFS('Defeitos não encontrados'!$B$2:$B$145,A8,'Defeitos não encontrados'!$G$2:$G$145,"Não")</f>
        <v>0</v>
      </c>
      <c r="F8" s="19" t="n">
        <f aca="false">COUNTIFS('Defeitos não encontrados'!$B$2:$B$145,A8,'Defeitos não encontrados'!$G$2:$G$145,"Sim")</f>
        <v>0</v>
      </c>
      <c r="G8" s="20" t="str">
        <f aca="false">IFERROR(F8/E8,"")</f>
        <v/>
      </c>
      <c r="H8" s="19" t="n">
        <f aca="false">SUMPRODUCT((Consenso!$D$2:$D$601="Antigravity")*((Consenso!$P$2:$P$601="Defeito encontrado")+(Consenso!$P$2:$P$601="Falso alarme")))</f>
        <v>0</v>
      </c>
      <c r="I8" s="19" t="n">
        <f aca="false">SUMPRODUCT((Consenso!$D$2:$D$601="Antigravity")*(Consenso!$P$2:$P$601="Falso alarme"))</f>
        <v>0</v>
      </c>
      <c r="J8" s="20" t="str">
        <f aca="false">IFERROR(I8/H8,"")</f>
        <v/>
      </c>
      <c r="K8" s="19" t="n">
        <f aca="false">SUMPRODUCT((Consenso!$D$2:$D$601="Antigravity")*(Consenso!$P$2:$P$601&lt;&gt;"")*(Consenso!$J$2:$J$601="Sim"))</f>
        <v>0</v>
      </c>
      <c r="L8" s="20" t="str">
        <f aca="false">IFERROR(K8/D8,"")</f>
        <v/>
      </c>
      <c r="M8" s="19" t="n">
        <f aca="false">SUMPRODUCT((Consenso!$D$2:$D$601="Antigravity")*(Consenso!$P$2:$P$601="Defeito encontrado")*(Consenso!$J$2:$J$601="Sim"))</f>
        <v>0</v>
      </c>
      <c r="N8" s="19" t="n">
        <f aca="false">SUMPRODUCT((Consenso!$D$2:$D$601="Antigravity")*(Consenso!$P$2:$P$601="Falso alarme")*(Consenso!$J$2:$J$601="Sim"))</f>
        <v>0</v>
      </c>
      <c r="O8" s="19" t="n">
        <f aca="false">SUMPRODUCT((Consenso!$D$2:$D$601="Antigravity")*(Consenso!$P$2:$P$601="Nenhum defeito apontado")*(Consenso!$J$2:$J$601="Sim"))</f>
        <v>0</v>
      </c>
      <c r="P8" s="19" t="n">
        <f aca="false">SUMPRODUCT((Consenso!$D$2:$D$601="Antigravity")*(Consenso!$P$2:$P$601&lt;&gt;"")*(Consenso!$K$2:$K$601="Sim"))</f>
        <v>0</v>
      </c>
    </row>
    <row r="9" customFormat="false" ht="15" hidden="false" customHeight="false" outlineLevel="0" collapsed="false">
      <c r="A9" s="18" t="s">
        <v>218</v>
      </c>
      <c r="B9" s="19" t="n">
        <f aca="false">COUNTIFS(Execuções!$B$2:$B$97,A9,Execuções!$I$2:$I$97,"&lt;&gt;")</f>
        <v>0</v>
      </c>
      <c r="C9" s="19" t="n">
        <f aca="false">COUNTIFS(Execuções!$B$2:$B$97,A9,Execuções!$P$2:$P$97,"Sim")</f>
        <v>0</v>
      </c>
      <c r="D9" s="19" t="n">
        <f aca="false">SUMPRODUCT((Consenso!$D$2:$D$601="GitHub Copilot")*(Consenso!$P$2:$P$601&lt;&gt;""))</f>
        <v>0</v>
      </c>
      <c r="E9" s="19" t="n">
        <f aca="false">COUNTIFS('Defeitos não encontrados'!$B$2:$B$145,A9,'Defeitos não encontrados'!$G$2:$G$145,"Sim")+COUNTIFS('Defeitos não encontrados'!$B$2:$B$145,A9,'Defeitos não encontrados'!$G$2:$G$145,"Não")</f>
        <v>0</v>
      </c>
      <c r="F9" s="19" t="n">
        <f aca="false">COUNTIFS('Defeitos não encontrados'!$B$2:$B$145,A9,'Defeitos não encontrados'!$G$2:$G$145,"Sim")</f>
        <v>0</v>
      </c>
      <c r="G9" s="20" t="str">
        <f aca="false">IFERROR(F9/E9,"")</f>
        <v/>
      </c>
      <c r="H9" s="19" t="n">
        <f aca="false">SUMPRODUCT((Consenso!$D$2:$D$601="GitHub Copilot")*((Consenso!$P$2:$P$601="Defeito encontrado")+(Consenso!$P$2:$P$601="Falso alarme")))</f>
        <v>0</v>
      </c>
      <c r="I9" s="19" t="n">
        <f aca="false">SUMPRODUCT((Consenso!$D$2:$D$601="GitHub Copilot")*(Consenso!$P$2:$P$601="Falso alarme"))</f>
        <v>0</v>
      </c>
      <c r="J9" s="20" t="str">
        <f aca="false">IFERROR(I9/H9,"")</f>
        <v/>
      </c>
      <c r="K9" s="19" t="n">
        <f aca="false">SUMPRODUCT((Consenso!$D$2:$D$601="GitHub Copilot")*(Consenso!$P$2:$P$601&lt;&gt;"")*(Consenso!$J$2:$J$601="Sim"))</f>
        <v>0</v>
      </c>
      <c r="L9" s="20" t="str">
        <f aca="false">IFERROR(K9/D9,"")</f>
        <v/>
      </c>
      <c r="M9" s="19" t="n">
        <f aca="false">SUMPRODUCT((Consenso!$D$2:$D$601="GitHub Copilot")*(Consenso!$P$2:$P$601="Defeito encontrado")*(Consenso!$J$2:$J$601="Sim"))</f>
        <v>0</v>
      </c>
      <c r="N9" s="19" t="n">
        <f aca="false">SUMPRODUCT((Consenso!$D$2:$D$601="GitHub Copilot")*(Consenso!$P$2:$P$601="Falso alarme")*(Consenso!$J$2:$J$601="Sim"))</f>
        <v>0</v>
      </c>
      <c r="O9" s="19" t="n">
        <f aca="false">SUMPRODUCT((Consenso!$D$2:$D$601="GitHub Copilot")*(Consenso!$P$2:$P$601="Nenhum defeito apontado")*(Consenso!$J$2:$J$601="Sim"))</f>
        <v>0</v>
      </c>
      <c r="P9" s="19" t="n">
        <f aca="false">SUMPRODUCT((Consenso!$D$2:$D$601="GitHub Copilot")*(Consenso!$P$2:$P$601&lt;&gt;"")*(Consenso!$K$2:$K$601="Sim"))</f>
        <v>0</v>
      </c>
    </row>
    <row r="10" customFormat="false" ht="15" hidden="false" customHeight="false" outlineLevel="0" collapsed="false">
      <c r="A10" s="21" t="s">
        <v>316</v>
      </c>
      <c r="B10" s="22" t="n">
        <f aca="false">SUM(B6:B9)</f>
        <v>0</v>
      </c>
      <c r="C10" s="22" t="n">
        <f aca="false">SUM(C6:C9)</f>
        <v>0</v>
      </c>
      <c r="D10" s="22" t="n">
        <f aca="false">SUM(D6:D9)</f>
        <v>0</v>
      </c>
      <c r="E10" s="22" t="n">
        <f aca="false">SUM(E6:E9)</f>
        <v>0</v>
      </c>
      <c r="F10" s="22" t="n">
        <f aca="false">SUM(F6:F9)</f>
        <v>0</v>
      </c>
      <c r="G10" s="23" t="str">
        <f aca="false">IFERROR(F10/E10,"")</f>
        <v/>
      </c>
      <c r="H10" s="22" t="n">
        <f aca="false">SUM(H6:H9)</f>
        <v>0</v>
      </c>
      <c r="I10" s="22" t="n">
        <f aca="false">SUM(I6:I9)</f>
        <v>0</v>
      </c>
      <c r="J10" s="23" t="str">
        <f aca="false">IFERROR(I10/H10,"")</f>
        <v/>
      </c>
      <c r="K10" s="22" t="n">
        <f aca="false">SUM(K6:K9)</f>
        <v>0</v>
      </c>
      <c r="L10" s="23" t="str">
        <f aca="false">IFERROR(K10/D10,"")</f>
        <v/>
      </c>
      <c r="M10" s="22" t="n">
        <f aca="false">SUM(M6:M9)</f>
        <v>0</v>
      </c>
      <c r="N10" s="22" t="n">
        <f aca="false">SUM(N6:N9)</f>
        <v>0</v>
      </c>
      <c r="O10" s="22" t="n">
        <f aca="false">SUM(O6:O9)</f>
        <v>0</v>
      </c>
      <c r="P10" s="22" t="n">
        <f aca="false">SUM(P6:P9)</f>
        <v>0</v>
      </c>
    </row>
    <row r="11" customFormat="false" ht="15" hidden="false" customHeight="false" outlineLevel="0" collapsed="false">
      <c r="A11" s="16" t="s">
        <v>317</v>
      </c>
    </row>
    <row r="14" customFormat="false" ht="15" hidden="false" customHeight="false" outlineLevel="0" collapsed="false">
      <c r="A14" s="17" t="s">
        <v>318</v>
      </c>
    </row>
    <row r="15" customFormat="false" ht="48" hidden="false" customHeight="true" outlineLevel="0" collapsed="false">
      <c r="A15" s="8" t="s">
        <v>41</v>
      </c>
      <c r="B15" s="8" t="s">
        <v>319</v>
      </c>
      <c r="C15" s="8" t="s">
        <v>320</v>
      </c>
      <c r="D15" s="8" t="s">
        <v>321</v>
      </c>
      <c r="E15" s="8" t="s">
        <v>322</v>
      </c>
      <c r="F15" s="8" t="s">
        <v>323</v>
      </c>
      <c r="G15" s="8" t="s">
        <v>324</v>
      </c>
      <c r="H15" s="8" t="s">
        <v>325</v>
      </c>
      <c r="I15" s="8" t="s">
        <v>326</v>
      </c>
    </row>
    <row r="16" customFormat="false" ht="15" hidden="false" customHeight="false" outlineLevel="0" collapsed="false">
      <c r="A16" s="18" t="s">
        <v>57</v>
      </c>
      <c r="B16" s="19" t="n">
        <f aca="false">SUMPRODUCT((Consenso!$D$2:$D$601=$A16)*(Consenso!$F$2:$F$601="correta")*(Consenso!$P$2:$P$601&lt;&gt;""))</f>
        <v>0</v>
      </c>
      <c r="C16" s="19" t="n">
        <f aca="false">SUMPRODUCT((Consenso!$D$2:$D$601=$A16)*(Consenso!$F$2:$F$601="correta")*(Consenso!$P$2:$P$601="Falso alarme"))</f>
        <v>0</v>
      </c>
      <c r="D16" s="19" t="n">
        <f aca="false">SUMPRODUCT((Consenso!$D$2:$D$601=$A16)*(Consenso!$F$2:$F$601="correta")*(Consenso!$P$2:$P$601&lt;&gt;"")*(Consenso!$J$2:$J$601="Sim"))</f>
        <v>0</v>
      </c>
      <c r="E16" s="20" t="str">
        <f aca="false">IFERROR(D16/B16,"")</f>
        <v/>
      </c>
      <c r="F16" s="19" t="n">
        <f aca="false">SUMPRODUCT((Consenso!$D$2:$D$601=$A16)*(Consenso!$F$2:$F$601="defeituosa")*(Consenso!$P$2:$P$601&lt;&gt;""))</f>
        <v>0</v>
      </c>
      <c r="G16" s="19" t="n">
        <f aca="false">SUMPRODUCT((Consenso!$D$2:$D$601=$A16)*(Consenso!$F$2:$F$601="defeituosa")*(Consenso!$P$2:$P$601="Falso alarme"))</f>
        <v>0</v>
      </c>
      <c r="H16" s="19" t="n">
        <f aca="false">SUMPRODUCT((Consenso!$D$2:$D$601=$A16)*(Consenso!$F$2:$F$601="defeituosa")*(Consenso!$P$2:$P$601&lt;&gt;"")*(Consenso!$J$2:$J$601="Sim"))</f>
        <v>0</v>
      </c>
      <c r="I16" s="20" t="str">
        <f aca="false">IFERROR(H16/F16,"")</f>
        <v/>
      </c>
    </row>
    <row r="17" customFormat="false" ht="15" hidden="false" customHeight="false" outlineLevel="0" collapsed="false">
      <c r="A17" s="18" t="s">
        <v>120</v>
      </c>
      <c r="B17" s="19" t="n">
        <f aca="false">SUMPRODUCT((Consenso!$D$2:$D$601=$A17)*(Consenso!$F$2:$F$601="correta")*(Consenso!$P$2:$P$601&lt;&gt;""))</f>
        <v>0</v>
      </c>
      <c r="C17" s="19" t="n">
        <f aca="false">SUMPRODUCT((Consenso!$D$2:$D$601=$A17)*(Consenso!$F$2:$F$601="correta")*(Consenso!$P$2:$P$601="Falso alarme"))</f>
        <v>0</v>
      </c>
      <c r="D17" s="19" t="n">
        <f aca="false">SUMPRODUCT((Consenso!$D$2:$D$601=$A17)*(Consenso!$F$2:$F$601="correta")*(Consenso!$P$2:$P$601&lt;&gt;"")*(Consenso!$J$2:$J$601="Sim"))</f>
        <v>0</v>
      </c>
      <c r="E17" s="20" t="str">
        <f aca="false">IFERROR(D17/B17,"")</f>
        <v/>
      </c>
      <c r="F17" s="19" t="n">
        <f aca="false">SUMPRODUCT((Consenso!$D$2:$D$601=$A17)*(Consenso!$F$2:$F$601="defeituosa")*(Consenso!$P$2:$P$601&lt;&gt;""))</f>
        <v>0</v>
      </c>
      <c r="G17" s="19" t="n">
        <f aca="false">SUMPRODUCT((Consenso!$D$2:$D$601=$A17)*(Consenso!$F$2:$F$601="defeituosa")*(Consenso!$P$2:$P$601="Falso alarme"))</f>
        <v>0</v>
      </c>
      <c r="H17" s="19" t="n">
        <f aca="false">SUMPRODUCT((Consenso!$D$2:$D$601=$A17)*(Consenso!$F$2:$F$601="defeituosa")*(Consenso!$P$2:$P$601&lt;&gt;"")*(Consenso!$J$2:$J$601="Sim"))</f>
        <v>0</v>
      </c>
      <c r="I17" s="20" t="str">
        <f aca="false">IFERROR(H17/F17,"")</f>
        <v/>
      </c>
    </row>
    <row r="18" customFormat="false" ht="15" hidden="false" customHeight="false" outlineLevel="0" collapsed="false">
      <c r="A18" s="18" t="s">
        <v>169</v>
      </c>
      <c r="B18" s="19" t="n">
        <f aca="false">SUMPRODUCT((Consenso!$D$2:$D$601=$A18)*(Consenso!$F$2:$F$601="correta")*(Consenso!$P$2:$P$601&lt;&gt;""))</f>
        <v>0</v>
      </c>
      <c r="C18" s="19" t="n">
        <f aca="false">SUMPRODUCT((Consenso!$D$2:$D$601=$A18)*(Consenso!$F$2:$F$601="correta")*(Consenso!$P$2:$P$601="Falso alarme"))</f>
        <v>0</v>
      </c>
      <c r="D18" s="19" t="n">
        <f aca="false">SUMPRODUCT((Consenso!$D$2:$D$601=$A18)*(Consenso!$F$2:$F$601="correta")*(Consenso!$P$2:$P$601&lt;&gt;"")*(Consenso!$J$2:$J$601="Sim"))</f>
        <v>0</v>
      </c>
      <c r="E18" s="20" t="str">
        <f aca="false">IFERROR(D18/B18,"")</f>
        <v/>
      </c>
      <c r="F18" s="19" t="n">
        <f aca="false">SUMPRODUCT((Consenso!$D$2:$D$601=$A18)*(Consenso!$F$2:$F$601="defeituosa")*(Consenso!$P$2:$P$601&lt;&gt;""))</f>
        <v>0</v>
      </c>
      <c r="G18" s="19" t="n">
        <f aca="false">SUMPRODUCT((Consenso!$D$2:$D$601=$A18)*(Consenso!$F$2:$F$601="defeituosa")*(Consenso!$P$2:$P$601="Falso alarme"))</f>
        <v>0</v>
      </c>
      <c r="H18" s="19" t="n">
        <f aca="false">SUMPRODUCT((Consenso!$D$2:$D$601=$A18)*(Consenso!$F$2:$F$601="defeituosa")*(Consenso!$P$2:$P$601&lt;&gt;"")*(Consenso!$J$2:$J$601="Sim"))</f>
        <v>0</v>
      </c>
      <c r="I18" s="20" t="str">
        <f aca="false">IFERROR(H18/F18,"")</f>
        <v/>
      </c>
    </row>
    <row r="19" customFormat="false" ht="15" hidden="false" customHeight="false" outlineLevel="0" collapsed="false">
      <c r="A19" s="18" t="s">
        <v>218</v>
      </c>
      <c r="B19" s="19" t="n">
        <f aca="false">SUMPRODUCT((Consenso!$D$2:$D$601=$A19)*(Consenso!$F$2:$F$601="correta")*(Consenso!$P$2:$P$601&lt;&gt;""))</f>
        <v>0</v>
      </c>
      <c r="C19" s="19" t="n">
        <f aca="false">SUMPRODUCT((Consenso!$D$2:$D$601=$A19)*(Consenso!$F$2:$F$601="correta")*(Consenso!$P$2:$P$601="Falso alarme"))</f>
        <v>0</v>
      </c>
      <c r="D19" s="19" t="n">
        <f aca="false">SUMPRODUCT((Consenso!$D$2:$D$601=$A19)*(Consenso!$F$2:$F$601="correta")*(Consenso!$P$2:$P$601&lt;&gt;"")*(Consenso!$J$2:$J$601="Sim"))</f>
        <v>0</v>
      </c>
      <c r="E19" s="20" t="str">
        <f aca="false">IFERROR(D19/B19,"")</f>
        <v/>
      </c>
      <c r="F19" s="19" t="n">
        <f aca="false">SUMPRODUCT((Consenso!$D$2:$D$601=$A19)*(Consenso!$F$2:$F$601="defeituosa")*(Consenso!$P$2:$P$601&lt;&gt;""))</f>
        <v>0</v>
      </c>
      <c r="G19" s="19" t="n">
        <f aca="false">SUMPRODUCT((Consenso!$D$2:$D$601=$A19)*(Consenso!$F$2:$F$601="defeituosa")*(Consenso!$P$2:$P$601="Falso alarme"))</f>
        <v>0</v>
      </c>
      <c r="H19" s="19" t="n">
        <f aca="false">SUMPRODUCT((Consenso!$D$2:$D$601=$A19)*(Consenso!$F$2:$F$601="defeituosa")*(Consenso!$P$2:$P$601&lt;&gt;"")*(Consenso!$J$2:$J$601="Sim"))</f>
        <v>0</v>
      </c>
      <c r="I19" s="20" t="str">
        <f aca="false">IFERROR(H19/F19,"")</f>
        <v/>
      </c>
    </row>
    <row r="20" customFormat="false" ht="15" hidden="false" customHeight="false" outlineLevel="0" collapsed="false">
      <c r="A20" s="16" t="s">
        <v>327</v>
      </c>
    </row>
    <row r="23" customFormat="false" ht="15" hidden="false" customHeight="false" outlineLevel="0" collapsed="false">
      <c r="A23" s="17" t="s">
        <v>328</v>
      </c>
    </row>
    <row r="24" customFormat="false" ht="48" hidden="false" customHeight="true" outlineLevel="0" collapsed="false">
      <c r="A24" s="8" t="s">
        <v>41</v>
      </c>
      <c r="B24" s="8" t="s">
        <v>329</v>
      </c>
      <c r="C24" s="8" t="s">
        <v>330</v>
      </c>
      <c r="D24" s="8" t="s">
        <v>331</v>
      </c>
      <c r="E24" s="8" t="s">
        <v>332</v>
      </c>
      <c r="F24" s="8" t="s">
        <v>333</v>
      </c>
      <c r="G24" s="8" t="s">
        <v>334</v>
      </c>
      <c r="H24" s="8" t="s">
        <v>335</v>
      </c>
      <c r="I24" s="8" t="s">
        <v>336</v>
      </c>
      <c r="J24" s="8" t="s">
        <v>337</v>
      </c>
    </row>
    <row r="25" customFormat="false" ht="15" hidden="false" customHeight="false" outlineLevel="0" collapsed="false">
      <c r="A25" s="18" t="s">
        <v>57</v>
      </c>
      <c r="B25" s="20" t="str">
        <f aca="false">IFERROR(COUNTIFS('Defeitos não encontrados'!$B$2:$B$145,$A25,'Defeitos não encontrados'!$C$2:$C$145,1,'Defeitos não encontrados'!$G$2:$G$145,"Sim")/(COUNTIFS('Defeitos não encontrados'!$B$2:$B$145,$A25,'Defeitos não encontrados'!$C$2:$C$145,1,'Defeitos não encontrados'!$G$2:$G$145,"Sim")+COUNTIFS('Defeitos não encontrados'!$B$2:$B$145,$A25,'Defeitos não encontrados'!$C$2:$C$145,1,'Defeitos não encontrados'!$G$2:$G$145,"Não")),"")</f>
        <v/>
      </c>
      <c r="C25" s="20" t="str">
        <f aca="false">IFERROR(COUNTIFS('Defeitos não encontrados'!$B$2:$B$145,$A25,'Defeitos não encontrados'!$C$2:$C$145,2,'Defeitos não encontrados'!$G$2:$G$145,"Sim")/(COUNTIFS('Defeitos não encontrados'!$B$2:$B$145,$A25,'Defeitos não encontrados'!$C$2:$C$145,2,'Defeitos não encontrados'!$G$2:$G$145,"Sim")+COUNTIFS('Defeitos não encontrados'!$B$2:$B$145,$A25,'Defeitos não encontrados'!$C$2:$C$145,2,'Defeitos não encontrados'!$G$2:$G$145,"Não")),"")</f>
        <v/>
      </c>
      <c r="D25" s="20" t="str">
        <f aca="false">IFERROR(COUNTIFS('Defeitos não encontrados'!$B$2:$B$145,$A25,'Defeitos não encontrados'!$C$2:$C$145,3,'Defeitos não encontrados'!$G$2:$G$145,"Sim")/(COUNTIFS('Defeitos não encontrados'!$B$2:$B$145,$A25,'Defeitos não encontrados'!$C$2:$C$145,3,'Defeitos não encontrados'!$G$2:$G$145,"Sim")+COUNTIFS('Defeitos não encontrados'!$B$2:$B$145,$A25,'Defeitos não encontrados'!$C$2:$C$145,3,'Defeitos não encontrados'!$G$2:$G$145,"Não")),"")</f>
        <v/>
      </c>
      <c r="E25" s="19" t="n">
        <f aca="false">SUMPRODUCT((Consenso!$D$2:$D$601=$A25)*(Consenso!$C$2:$C$601=1)*(Consenso!$P$2:$P$601="Falso alarme"))</f>
        <v>0</v>
      </c>
      <c r="F25" s="19" t="n">
        <f aca="false">SUMPRODUCT((Consenso!$D$2:$D$601=$A25)*(Consenso!$C$2:$C$601=2)*(Consenso!$P$2:$P$601="Falso alarme"))</f>
        <v>0</v>
      </c>
      <c r="G25" s="19" t="n">
        <f aca="false">SUMPRODUCT((Consenso!$D$2:$D$601=$A25)*(Consenso!$C$2:$C$601=3)*(Consenso!$P$2:$P$601="Falso alarme"))</f>
        <v>0</v>
      </c>
      <c r="H25" s="19" t="n">
        <f aca="false">SUMPRODUCT((Consenso!$D$2:$D$601=$A25)*(Consenso!$C$2:$C$601=1)*(Consenso!$P$2:$P$601&lt;&gt;"")*(Consenso!$J$2:$J$601="Sim"))</f>
        <v>0</v>
      </c>
      <c r="I25" s="19" t="n">
        <f aca="false">SUMPRODUCT((Consenso!$D$2:$D$601=$A25)*(Consenso!$C$2:$C$601=2)*(Consenso!$P$2:$P$601&lt;&gt;"")*(Consenso!$J$2:$J$601="Sim"))</f>
        <v>0</v>
      </c>
      <c r="J25" s="19" t="n">
        <f aca="false">SUMPRODUCT((Consenso!$D$2:$D$601=$A25)*(Consenso!$C$2:$C$601=3)*(Consenso!$P$2:$P$601&lt;&gt;"")*(Consenso!$J$2:$J$601="Sim"))</f>
        <v>0</v>
      </c>
    </row>
    <row r="26" customFormat="false" ht="15" hidden="false" customHeight="false" outlineLevel="0" collapsed="false">
      <c r="A26" s="18" t="s">
        <v>120</v>
      </c>
      <c r="B26" s="20" t="str">
        <f aca="false">IFERROR(COUNTIFS('Defeitos não encontrados'!$B$2:$B$145,$A26,'Defeitos não encontrados'!$C$2:$C$145,1,'Defeitos não encontrados'!$G$2:$G$145,"Sim")/(COUNTIFS('Defeitos não encontrados'!$B$2:$B$145,$A26,'Defeitos não encontrados'!$C$2:$C$145,1,'Defeitos não encontrados'!$G$2:$G$145,"Sim")+COUNTIFS('Defeitos não encontrados'!$B$2:$B$145,$A26,'Defeitos não encontrados'!$C$2:$C$145,1,'Defeitos não encontrados'!$G$2:$G$145,"Não")),"")</f>
        <v/>
      </c>
      <c r="C26" s="20" t="str">
        <f aca="false">IFERROR(COUNTIFS('Defeitos não encontrados'!$B$2:$B$145,$A26,'Defeitos não encontrados'!$C$2:$C$145,2,'Defeitos não encontrados'!$G$2:$G$145,"Sim")/(COUNTIFS('Defeitos não encontrados'!$B$2:$B$145,$A26,'Defeitos não encontrados'!$C$2:$C$145,2,'Defeitos não encontrados'!$G$2:$G$145,"Sim")+COUNTIFS('Defeitos não encontrados'!$B$2:$B$145,$A26,'Defeitos não encontrados'!$C$2:$C$145,2,'Defeitos não encontrados'!$G$2:$G$145,"Não")),"")</f>
        <v/>
      </c>
      <c r="D26" s="20" t="str">
        <f aca="false">IFERROR(COUNTIFS('Defeitos não encontrados'!$B$2:$B$145,$A26,'Defeitos não encontrados'!$C$2:$C$145,3,'Defeitos não encontrados'!$G$2:$G$145,"Sim")/(COUNTIFS('Defeitos não encontrados'!$B$2:$B$145,$A26,'Defeitos não encontrados'!$C$2:$C$145,3,'Defeitos não encontrados'!$G$2:$G$145,"Sim")+COUNTIFS('Defeitos não encontrados'!$B$2:$B$145,$A26,'Defeitos não encontrados'!$C$2:$C$145,3,'Defeitos não encontrados'!$G$2:$G$145,"Não")),"")</f>
        <v/>
      </c>
      <c r="E26" s="19" t="n">
        <f aca="false">SUMPRODUCT((Consenso!$D$2:$D$601=$A26)*(Consenso!$C$2:$C$601=1)*(Consenso!$P$2:$P$601="Falso alarme"))</f>
        <v>0</v>
      </c>
      <c r="F26" s="19" t="n">
        <f aca="false">SUMPRODUCT((Consenso!$D$2:$D$601=$A26)*(Consenso!$C$2:$C$601=2)*(Consenso!$P$2:$P$601="Falso alarme"))</f>
        <v>0</v>
      </c>
      <c r="G26" s="19" t="n">
        <f aca="false">SUMPRODUCT((Consenso!$D$2:$D$601=$A26)*(Consenso!$C$2:$C$601=3)*(Consenso!$P$2:$P$601="Falso alarme"))</f>
        <v>0</v>
      </c>
      <c r="H26" s="19" t="n">
        <f aca="false">SUMPRODUCT((Consenso!$D$2:$D$601=$A26)*(Consenso!$C$2:$C$601=1)*(Consenso!$P$2:$P$601&lt;&gt;"")*(Consenso!$J$2:$J$601="Sim"))</f>
        <v>0</v>
      </c>
      <c r="I26" s="19" t="n">
        <f aca="false">SUMPRODUCT((Consenso!$D$2:$D$601=$A26)*(Consenso!$C$2:$C$601=2)*(Consenso!$P$2:$P$601&lt;&gt;"")*(Consenso!$J$2:$J$601="Sim"))</f>
        <v>0</v>
      </c>
      <c r="J26" s="19" t="n">
        <f aca="false">SUMPRODUCT((Consenso!$D$2:$D$601=$A26)*(Consenso!$C$2:$C$601=3)*(Consenso!$P$2:$P$601&lt;&gt;"")*(Consenso!$J$2:$J$601="Sim"))</f>
        <v>0</v>
      </c>
    </row>
    <row r="27" customFormat="false" ht="15" hidden="false" customHeight="false" outlineLevel="0" collapsed="false">
      <c r="A27" s="18" t="s">
        <v>169</v>
      </c>
      <c r="B27" s="20" t="str">
        <f aca="false">IFERROR(COUNTIFS('Defeitos não encontrados'!$B$2:$B$145,$A27,'Defeitos não encontrados'!$C$2:$C$145,1,'Defeitos não encontrados'!$G$2:$G$145,"Sim")/(COUNTIFS('Defeitos não encontrados'!$B$2:$B$145,$A27,'Defeitos não encontrados'!$C$2:$C$145,1,'Defeitos não encontrados'!$G$2:$G$145,"Sim")+COUNTIFS('Defeitos não encontrados'!$B$2:$B$145,$A27,'Defeitos não encontrados'!$C$2:$C$145,1,'Defeitos não encontrados'!$G$2:$G$145,"Não")),"")</f>
        <v/>
      </c>
      <c r="C27" s="20" t="str">
        <f aca="false">IFERROR(COUNTIFS('Defeitos não encontrados'!$B$2:$B$145,$A27,'Defeitos não encontrados'!$C$2:$C$145,2,'Defeitos não encontrados'!$G$2:$G$145,"Sim")/(COUNTIFS('Defeitos não encontrados'!$B$2:$B$145,$A27,'Defeitos não encontrados'!$C$2:$C$145,2,'Defeitos não encontrados'!$G$2:$G$145,"Sim")+COUNTIFS('Defeitos não encontrados'!$B$2:$B$145,$A27,'Defeitos não encontrados'!$C$2:$C$145,2,'Defeitos não encontrados'!$G$2:$G$145,"Não")),"")</f>
        <v/>
      </c>
      <c r="D27" s="20" t="str">
        <f aca="false">IFERROR(COUNTIFS('Defeitos não encontrados'!$B$2:$B$145,$A27,'Defeitos não encontrados'!$C$2:$C$145,3,'Defeitos não encontrados'!$G$2:$G$145,"Sim")/(COUNTIFS('Defeitos não encontrados'!$B$2:$B$145,$A27,'Defeitos não encontrados'!$C$2:$C$145,3,'Defeitos não encontrados'!$G$2:$G$145,"Sim")+COUNTIFS('Defeitos não encontrados'!$B$2:$B$145,$A27,'Defeitos não encontrados'!$C$2:$C$145,3,'Defeitos não encontrados'!$G$2:$G$145,"Não")),"")</f>
        <v/>
      </c>
      <c r="E27" s="19" t="n">
        <f aca="false">SUMPRODUCT((Consenso!$D$2:$D$601=$A27)*(Consenso!$C$2:$C$601=1)*(Consenso!$P$2:$P$601="Falso alarme"))</f>
        <v>0</v>
      </c>
      <c r="F27" s="19" t="n">
        <f aca="false">SUMPRODUCT((Consenso!$D$2:$D$601=$A27)*(Consenso!$C$2:$C$601=2)*(Consenso!$P$2:$P$601="Falso alarme"))</f>
        <v>0</v>
      </c>
      <c r="G27" s="19" t="n">
        <f aca="false">SUMPRODUCT((Consenso!$D$2:$D$601=$A27)*(Consenso!$C$2:$C$601=3)*(Consenso!$P$2:$P$601="Falso alarme"))</f>
        <v>0</v>
      </c>
      <c r="H27" s="19" t="n">
        <f aca="false">SUMPRODUCT((Consenso!$D$2:$D$601=$A27)*(Consenso!$C$2:$C$601=1)*(Consenso!$P$2:$P$601&lt;&gt;"")*(Consenso!$J$2:$J$601="Sim"))</f>
        <v>0</v>
      </c>
      <c r="I27" s="19" t="n">
        <f aca="false">SUMPRODUCT((Consenso!$D$2:$D$601=$A27)*(Consenso!$C$2:$C$601=2)*(Consenso!$P$2:$P$601&lt;&gt;"")*(Consenso!$J$2:$J$601="Sim"))</f>
        <v>0</v>
      </c>
      <c r="J27" s="19" t="n">
        <f aca="false">SUMPRODUCT((Consenso!$D$2:$D$601=$A27)*(Consenso!$C$2:$C$601=3)*(Consenso!$P$2:$P$601&lt;&gt;"")*(Consenso!$J$2:$J$601="Sim"))</f>
        <v>0</v>
      </c>
    </row>
    <row r="28" customFormat="false" ht="15" hidden="false" customHeight="false" outlineLevel="0" collapsed="false">
      <c r="A28" s="18" t="s">
        <v>218</v>
      </c>
      <c r="B28" s="20" t="str">
        <f aca="false">IFERROR(COUNTIFS('Defeitos não encontrados'!$B$2:$B$145,$A28,'Defeitos não encontrados'!$C$2:$C$145,1,'Defeitos não encontrados'!$G$2:$G$145,"Sim")/(COUNTIFS('Defeitos não encontrados'!$B$2:$B$145,$A28,'Defeitos não encontrados'!$C$2:$C$145,1,'Defeitos não encontrados'!$G$2:$G$145,"Sim")+COUNTIFS('Defeitos não encontrados'!$B$2:$B$145,$A28,'Defeitos não encontrados'!$C$2:$C$145,1,'Defeitos não encontrados'!$G$2:$G$145,"Não")),"")</f>
        <v/>
      </c>
      <c r="C28" s="20" t="str">
        <f aca="false">IFERROR(COUNTIFS('Defeitos não encontrados'!$B$2:$B$145,$A28,'Defeitos não encontrados'!$C$2:$C$145,2,'Defeitos não encontrados'!$G$2:$G$145,"Sim")/(COUNTIFS('Defeitos não encontrados'!$B$2:$B$145,$A28,'Defeitos não encontrados'!$C$2:$C$145,2,'Defeitos não encontrados'!$G$2:$G$145,"Sim")+COUNTIFS('Defeitos não encontrados'!$B$2:$B$145,$A28,'Defeitos não encontrados'!$C$2:$C$145,2,'Defeitos não encontrados'!$G$2:$G$145,"Não")),"")</f>
        <v/>
      </c>
      <c r="D28" s="20" t="str">
        <f aca="false">IFERROR(COUNTIFS('Defeitos não encontrados'!$B$2:$B$145,$A28,'Defeitos não encontrados'!$C$2:$C$145,3,'Defeitos não encontrados'!$G$2:$G$145,"Sim")/(COUNTIFS('Defeitos não encontrados'!$B$2:$B$145,$A28,'Defeitos não encontrados'!$C$2:$C$145,3,'Defeitos não encontrados'!$G$2:$G$145,"Sim")+COUNTIFS('Defeitos não encontrados'!$B$2:$B$145,$A28,'Defeitos não encontrados'!$C$2:$C$145,3,'Defeitos não encontrados'!$G$2:$G$145,"Não")),"")</f>
        <v/>
      </c>
      <c r="E28" s="19" t="n">
        <f aca="false">SUMPRODUCT((Consenso!$D$2:$D$601=$A28)*(Consenso!$C$2:$C$601=1)*(Consenso!$P$2:$P$601="Falso alarme"))</f>
        <v>0</v>
      </c>
      <c r="F28" s="19" t="n">
        <f aca="false">SUMPRODUCT((Consenso!$D$2:$D$601=$A28)*(Consenso!$C$2:$C$601=2)*(Consenso!$P$2:$P$601="Falso alarme"))</f>
        <v>0</v>
      </c>
      <c r="G28" s="19" t="n">
        <f aca="false">SUMPRODUCT((Consenso!$D$2:$D$601=$A28)*(Consenso!$C$2:$C$601=3)*(Consenso!$P$2:$P$601="Falso alarme"))</f>
        <v>0</v>
      </c>
      <c r="H28" s="19" t="n">
        <f aca="false">SUMPRODUCT((Consenso!$D$2:$D$601=$A28)*(Consenso!$C$2:$C$601=1)*(Consenso!$P$2:$P$601&lt;&gt;"")*(Consenso!$J$2:$J$601="Sim"))</f>
        <v>0</v>
      </c>
      <c r="I28" s="19" t="n">
        <f aca="false">SUMPRODUCT((Consenso!$D$2:$D$601=$A28)*(Consenso!$C$2:$C$601=2)*(Consenso!$P$2:$P$601&lt;&gt;"")*(Consenso!$J$2:$J$601="Sim"))</f>
        <v>0</v>
      </c>
      <c r="J28" s="19" t="n">
        <f aca="false">SUMPRODUCT((Consenso!$D$2:$D$601=$A28)*(Consenso!$C$2:$C$601=3)*(Consenso!$P$2:$P$601&lt;&gt;"")*(Consenso!$J$2:$J$601="Sim"))</f>
        <v>0</v>
      </c>
    </row>
    <row r="31" customFormat="false" ht="15" hidden="false" customHeight="false" outlineLevel="0" collapsed="false">
      <c r="A31" s="17" t="s">
        <v>338</v>
      </c>
    </row>
    <row r="32" customFormat="false" ht="48" hidden="false" customHeight="true" outlineLevel="0" collapsed="false">
      <c r="A32" s="8" t="s">
        <v>41</v>
      </c>
      <c r="B32" s="8" t="s">
        <v>339</v>
      </c>
      <c r="C32" s="8" t="s">
        <v>340</v>
      </c>
      <c r="D32" s="8" t="s">
        <v>341</v>
      </c>
      <c r="E32" s="8" t="s">
        <v>342</v>
      </c>
      <c r="F32" s="8" t="s">
        <v>343</v>
      </c>
      <c r="G32" s="8" t="s">
        <v>344</v>
      </c>
      <c r="H32" s="8" t="s">
        <v>345</v>
      </c>
      <c r="I32" s="8" t="s">
        <v>346</v>
      </c>
    </row>
    <row r="33" customFormat="false" ht="15" hidden="false" customHeight="false" outlineLevel="0" collapsed="false">
      <c r="A33" s="18" t="s">
        <v>57</v>
      </c>
      <c r="B33" s="20" t="str">
        <f aca="false">IFERROR(COUNTIFS('Defeitos não encontrados'!$B$2:$B$145,$A33,'Defeitos não encontrados'!$D$2:$D$145,"banco",'Defeitos não encontrados'!$G$2:$G$145,"Sim")/(COUNTIFS('Defeitos não encontrados'!$B$2:$B$145,$A33,'Defeitos não encontrados'!$D$2:$D$145,"banco",'Defeitos não encontrados'!$G$2:$G$145,"Sim")+COUNTIFS('Defeitos não encontrados'!$B$2:$B$145,$A33,'Defeitos não encontrados'!$D$2:$D$145,"banco",'Defeitos não encontrados'!$G$2:$G$145,"Não")),"")</f>
        <v/>
      </c>
      <c r="C33" s="20" t="str">
        <f aca="false">IFERROR(COUNTIFS('Defeitos não encontrados'!$B$2:$B$145,$A33,'Defeitos não encontrados'!$D$2:$D$145,"carrinho",'Defeitos não encontrados'!$G$2:$G$145,"Sim")/(COUNTIFS('Defeitos não encontrados'!$B$2:$B$145,$A33,'Defeitos não encontrados'!$D$2:$D$145,"carrinho",'Defeitos não encontrados'!$G$2:$G$145,"Sim")+COUNTIFS('Defeitos não encontrados'!$B$2:$B$145,$A33,'Defeitos não encontrados'!$D$2:$D$145,"carrinho",'Defeitos não encontrados'!$G$2:$G$145,"Não")),"")</f>
        <v/>
      </c>
      <c r="D33" s="20" t="str">
        <f aca="false">IFERROR(COUNTIFS('Defeitos não encontrados'!$B$2:$B$145,$A33,'Defeitos não encontrados'!$D$2:$D$145,"reservas",'Defeitos não encontrados'!$G$2:$G$145,"Sim")/(COUNTIFS('Defeitos não encontrados'!$B$2:$B$145,$A33,'Defeitos não encontrados'!$D$2:$D$145,"reservas",'Defeitos não encontrados'!$G$2:$G$145,"Sim")+COUNTIFS('Defeitos não encontrados'!$B$2:$B$145,$A33,'Defeitos não encontrados'!$D$2:$D$145,"reservas",'Defeitos não encontrados'!$G$2:$G$145,"Não")),"")</f>
        <v/>
      </c>
      <c r="E33" s="20" t="str">
        <f aca="false">IFERROR(COUNTIFS('Defeitos não encontrados'!$B$2:$B$145,$A33,'Defeitos não encontrados'!$D$2:$D$145,"notas",'Defeitos não encontrados'!$G$2:$G$145,"Sim")/(COUNTIFS('Defeitos não encontrados'!$B$2:$B$145,$A33,'Defeitos não encontrados'!$D$2:$D$145,"notas",'Defeitos não encontrados'!$G$2:$G$145,"Sim")+COUNTIFS('Defeitos não encontrados'!$B$2:$B$145,$A33,'Defeitos não encontrados'!$D$2:$D$145,"notas",'Defeitos não encontrados'!$G$2:$G$145,"Não")),"")</f>
        <v/>
      </c>
      <c r="F33" s="19" t="n">
        <f aca="false">SUMPRODUCT((Consenso!$D$2:$D$601=$A33)*(Consenso!$E$2:$E$601="banco")*(Consenso!$P$2:$P$601="Falso alarme"))</f>
        <v>0</v>
      </c>
      <c r="G33" s="19" t="n">
        <f aca="false">SUMPRODUCT((Consenso!$D$2:$D$601=$A33)*(Consenso!$E$2:$E$601="carrinho")*(Consenso!$P$2:$P$601="Falso alarme"))</f>
        <v>0</v>
      </c>
      <c r="H33" s="19" t="n">
        <f aca="false">SUMPRODUCT((Consenso!$D$2:$D$601=$A33)*(Consenso!$E$2:$E$601="reservas")*(Consenso!$P$2:$P$601="Falso alarme"))</f>
        <v>0</v>
      </c>
      <c r="I33" s="19" t="n">
        <f aca="false">SUMPRODUCT((Consenso!$D$2:$D$601=$A33)*(Consenso!$E$2:$E$601="notas")*(Consenso!$P$2:$P$601="Falso alarme"))</f>
        <v>0</v>
      </c>
    </row>
    <row r="34" customFormat="false" ht="15" hidden="false" customHeight="false" outlineLevel="0" collapsed="false">
      <c r="A34" s="18" t="s">
        <v>120</v>
      </c>
      <c r="B34" s="20" t="str">
        <f aca="false">IFERROR(COUNTIFS('Defeitos não encontrados'!$B$2:$B$145,$A34,'Defeitos não encontrados'!$D$2:$D$145,"banco",'Defeitos não encontrados'!$G$2:$G$145,"Sim")/(COUNTIFS('Defeitos não encontrados'!$B$2:$B$145,$A34,'Defeitos não encontrados'!$D$2:$D$145,"banco",'Defeitos não encontrados'!$G$2:$G$145,"Sim")+COUNTIFS('Defeitos não encontrados'!$B$2:$B$145,$A34,'Defeitos não encontrados'!$D$2:$D$145,"banco",'Defeitos não encontrados'!$G$2:$G$145,"Não")),"")</f>
        <v/>
      </c>
      <c r="C34" s="20" t="str">
        <f aca="false">IFERROR(COUNTIFS('Defeitos não encontrados'!$B$2:$B$145,$A34,'Defeitos não encontrados'!$D$2:$D$145,"carrinho",'Defeitos não encontrados'!$G$2:$G$145,"Sim")/(COUNTIFS('Defeitos não encontrados'!$B$2:$B$145,$A34,'Defeitos não encontrados'!$D$2:$D$145,"carrinho",'Defeitos não encontrados'!$G$2:$G$145,"Sim")+COUNTIFS('Defeitos não encontrados'!$B$2:$B$145,$A34,'Defeitos não encontrados'!$D$2:$D$145,"carrinho",'Defeitos não encontrados'!$G$2:$G$145,"Não")),"")</f>
        <v/>
      </c>
      <c r="D34" s="20" t="str">
        <f aca="false">IFERROR(COUNTIFS('Defeitos não encontrados'!$B$2:$B$145,$A34,'Defeitos não encontrados'!$D$2:$D$145,"reservas",'Defeitos não encontrados'!$G$2:$G$145,"Sim")/(COUNTIFS('Defeitos não encontrados'!$B$2:$B$145,$A34,'Defeitos não encontrados'!$D$2:$D$145,"reservas",'Defeitos não encontrados'!$G$2:$G$145,"Sim")+COUNTIFS('Defeitos não encontrados'!$B$2:$B$145,$A34,'Defeitos não encontrados'!$D$2:$D$145,"reservas",'Defeitos não encontrados'!$G$2:$G$145,"Não")),"")</f>
        <v/>
      </c>
      <c r="E34" s="20" t="str">
        <f aca="false">IFERROR(COUNTIFS('Defeitos não encontrados'!$B$2:$B$145,$A34,'Defeitos não encontrados'!$D$2:$D$145,"notas",'Defeitos não encontrados'!$G$2:$G$145,"Sim")/(COUNTIFS('Defeitos não encontrados'!$B$2:$B$145,$A34,'Defeitos não encontrados'!$D$2:$D$145,"notas",'Defeitos não encontrados'!$G$2:$G$145,"Sim")+COUNTIFS('Defeitos não encontrados'!$B$2:$B$145,$A34,'Defeitos não encontrados'!$D$2:$D$145,"notas",'Defeitos não encontrados'!$G$2:$G$145,"Não")),"")</f>
        <v/>
      </c>
      <c r="F34" s="19" t="n">
        <f aca="false">SUMPRODUCT((Consenso!$D$2:$D$601=$A34)*(Consenso!$E$2:$E$601="banco")*(Consenso!$P$2:$P$601="Falso alarme"))</f>
        <v>0</v>
      </c>
      <c r="G34" s="19" t="n">
        <f aca="false">SUMPRODUCT((Consenso!$D$2:$D$601=$A34)*(Consenso!$E$2:$E$601="carrinho")*(Consenso!$P$2:$P$601="Falso alarme"))</f>
        <v>0</v>
      </c>
      <c r="H34" s="19" t="n">
        <f aca="false">SUMPRODUCT((Consenso!$D$2:$D$601=$A34)*(Consenso!$E$2:$E$601="reservas")*(Consenso!$P$2:$P$601="Falso alarme"))</f>
        <v>0</v>
      </c>
      <c r="I34" s="19" t="n">
        <f aca="false">SUMPRODUCT((Consenso!$D$2:$D$601=$A34)*(Consenso!$E$2:$E$601="notas")*(Consenso!$P$2:$P$601="Falso alarme"))</f>
        <v>0</v>
      </c>
    </row>
    <row r="35" customFormat="false" ht="15" hidden="false" customHeight="false" outlineLevel="0" collapsed="false">
      <c r="A35" s="18" t="s">
        <v>169</v>
      </c>
      <c r="B35" s="20" t="str">
        <f aca="false">IFERROR(COUNTIFS('Defeitos não encontrados'!$B$2:$B$145,$A35,'Defeitos não encontrados'!$D$2:$D$145,"banco",'Defeitos não encontrados'!$G$2:$G$145,"Sim")/(COUNTIFS('Defeitos não encontrados'!$B$2:$B$145,$A35,'Defeitos não encontrados'!$D$2:$D$145,"banco",'Defeitos não encontrados'!$G$2:$G$145,"Sim")+COUNTIFS('Defeitos não encontrados'!$B$2:$B$145,$A35,'Defeitos não encontrados'!$D$2:$D$145,"banco",'Defeitos não encontrados'!$G$2:$G$145,"Não")),"")</f>
        <v/>
      </c>
      <c r="C35" s="20" t="str">
        <f aca="false">IFERROR(COUNTIFS('Defeitos não encontrados'!$B$2:$B$145,$A35,'Defeitos não encontrados'!$D$2:$D$145,"carrinho",'Defeitos não encontrados'!$G$2:$G$145,"Sim")/(COUNTIFS('Defeitos não encontrados'!$B$2:$B$145,$A35,'Defeitos não encontrados'!$D$2:$D$145,"carrinho",'Defeitos não encontrados'!$G$2:$G$145,"Sim")+COUNTIFS('Defeitos não encontrados'!$B$2:$B$145,$A35,'Defeitos não encontrados'!$D$2:$D$145,"carrinho",'Defeitos não encontrados'!$G$2:$G$145,"Não")),"")</f>
        <v/>
      </c>
      <c r="D35" s="20" t="str">
        <f aca="false">IFERROR(COUNTIFS('Defeitos não encontrados'!$B$2:$B$145,$A35,'Defeitos não encontrados'!$D$2:$D$145,"reservas",'Defeitos não encontrados'!$G$2:$G$145,"Sim")/(COUNTIFS('Defeitos não encontrados'!$B$2:$B$145,$A35,'Defeitos não encontrados'!$D$2:$D$145,"reservas",'Defeitos não encontrados'!$G$2:$G$145,"Sim")+COUNTIFS('Defeitos não encontrados'!$B$2:$B$145,$A35,'Defeitos não encontrados'!$D$2:$D$145,"reservas",'Defeitos não encontrados'!$G$2:$G$145,"Não")),"")</f>
        <v/>
      </c>
      <c r="E35" s="20" t="str">
        <f aca="false">IFERROR(COUNTIFS('Defeitos não encontrados'!$B$2:$B$145,$A35,'Defeitos não encontrados'!$D$2:$D$145,"notas",'Defeitos não encontrados'!$G$2:$G$145,"Sim")/(COUNTIFS('Defeitos não encontrados'!$B$2:$B$145,$A35,'Defeitos não encontrados'!$D$2:$D$145,"notas",'Defeitos não encontrados'!$G$2:$G$145,"Sim")+COUNTIFS('Defeitos não encontrados'!$B$2:$B$145,$A35,'Defeitos não encontrados'!$D$2:$D$145,"notas",'Defeitos não encontrados'!$G$2:$G$145,"Não")),"")</f>
        <v/>
      </c>
      <c r="F35" s="19" t="n">
        <f aca="false">SUMPRODUCT((Consenso!$D$2:$D$601=$A35)*(Consenso!$E$2:$E$601="banco")*(Consenso!$P$2:$P$601="Falso alarme"))</f>
        <v>0</v>
      </c>
      <c r="G35" s="19" t="n">
        <f aca="false">SUMPRODUCT((Consenso!$D$2:$D$601=$A35)*(Consenso!$E$2:$E$601="carrinho")*(Consenso!$P$2:$P$601="Falso alarme"))</f>
        <v>0</v>
      </c>
      <c r="H35" s="19" t="n">
        <f aca="false">SUMPRODUCT((Consenso!$D$2:$D$601=$A35)*(Consenso!$E$2:$E$601="reservas")*(Consenso!$P$2:$P$601="Falso alarme"))</f>
        <v>0</v>
      </c>
      <c r="I35" s="19" t="n">
        <f aca="false">SUMPRODUCT((Consenso!$D$2:$D$601=$A35)*(Consenso!$E$2:$E$601="notas")*(Consenso!$P$2:$P$601="Falso alarme"))</f>
        <v>0</v>
      </c>
    </row>
    <row r="36" customFormat="false" ht="15" hidden="false" customHeight="false" outlineLevel="0" collapsed="false">
      <c r="A36" s="18" t="s">
        <v>218</v>
      </c>
      <c r="B36" s="20" t="str">
        <f aca="false">IFERROR(COUNTIFS('Defeitos não encontrados'!$B$2:$B$145,$A36,'Defeitos não encontrados'!$D$2:$D$145,"banco",'Defeitos não encontrados'!$G$2:$G$145,"Sim")/(COUNTIFS('Defeitos não encontrados'!$B$2:$B$145,$A36,'Defeitos não encontrados'!$D$2:$D$145,"banco",'Defeitos não encontrados'!$G$2:$G$145,"Sim")+COUNTIFS('Defeitos não encontrados'!$B$2:$B$145,$A36,'Defeitos não encontrados'!$D$2:$D$145,"banco",'Defeitos não encontrados'!$G$2:$G$145,"Não")),"")</f>
        <v/>
      </c>
      <c r="C36" s="20" t="str">
        <f aca="false">IFERROR(COUNTIFS('Defeitos não encontrados'!$B$2:$B$145,$A36,'Defeitos não encontrados'!$D$2:$D$145,"carrinho",'Defeitos não encontrados'!$G$2:$G$145,"Sim")/(COUNTIFS('Defeitos não encontrados'!$B$2:$B$145,$A36,'Defeitos não encontrados'!$D$2:$D$145,"carrinho",'Defeitos não encontrados'!$G$2:$G$145,"Sim")+COUNTIFS('Defeitos não encontrados'!$B$2:$B$145,$A36,'Defeitos não encontrados'!$D$2:$D$145,"carrinho",'Defeitos não encontrados'!$G$2:$G$145,"Não")),"")</f>
        <v/>
      </c>
      <c r="D36" s="20" t="str">
        <f aca="false">IFERROR(COUNTIFS('Defeitos não encontrados'!$B$2:$B$145,$A36,'Defeitos não encontrados'!$D$2:$D$145,"reservas",'Defeitos não encontrados'!$G$2:$G$145,"Sim")/(COUNTIFS('Defeitos não encontrados'!$B$2:$B$145,$A36,'Defeitos não encontrados'!$D$2:$D$145,"reservas",'Defeitos não encontrados'!$G$2:$G$145,"Sim")+COUNTIFS('Defeitos não encontrados'!$B$2:$B$145,$A36,'Defeitos não encontrados'!$D$2:$D$145,"reservas",'Defeitos não encontrados'!$G$2:$G$145,"Não")),"")</f>
        <v/>
      </c>
      <c r="E36" s="20" t="str">
        <f aca="false">IFERROR(COUNTIFS('Defeitos não encontrados'!$B$2:$B$145,$A36,'Defeitos não encontrados'!$D$2:$D$145,"notas",'Defeitos não encontrados'!$G$2:$G$145,"Sim")/(COUNTIFS('Defeitos não encontrados'!$B$2:$B$145,$A36,'Defeitos não encontrados'!$D$2:$D$145,"notas",'Defeitos não encontrados'!$G$2:$G$145,"Sim")+COUNTIFS('Defeitos não encontrados'!$B$2:$B$145,$A36,'Defeitos não encontrados'!$D$2:$D$145,"notas",'Defeitos não encontrados'!$G$2:$G$145,"Não")),"")</f>
        <v/>
      </c>
      <c r="F36" s="19" t="n">
        <f aca="false">SUMPRODUCT((Consenso!$D$2:$D$601=$A36)*(Consenso!$E$2:$E$601="banco")*(Consenso!$P$2:$P$601="Falso alarme"))</f>
        <v>0</v>
      </c>
      <c r="G36" s="19" t="n">
        <f aca="false">SUMPRODUCT((Consenso!$D$2:$D$601=$A36)*(Consenso!$E$2:$E$601="carrinho")*(Consenso!$P$2:$P$601="Falso alarme"))</f>
        <v>0</v>
      </c>
      <c r="H36" s="19" t="n">
        <f aca="false">SUMPRODUCT((Consenso!$D$2:$D$601=$A36)*(Consenso!$E$2:$E$601="reservas")*(Consenso!$P$2:$P$601="Falso alarme"))</f>
        <v>0</v>
      </c>
      <c r="I36" s="19" t="n">
        <f aca="false">SUMPRODUCT((Consenso!$D$2:$D$601=$A36)*(Consenso!$E$2:$E$601="notas")*(Consenso!$P$2:$P$601="Falso alarme"))</f>
        <v>0</v>
      </c>
    </row>
    <row r="39" customFormat="false" ht="15" hidden="false" customHeight="false" outlineLevel="0" collapsed="false">
      <c r="A39" s="17" t="s">
        <v>347</v>
      </c>
    </row>
    <row r="40" customFormat="false" ht="48" hidden="false" customHeight="true" outlineLevel="0" collapsed="false">
      <c r="A40" s="8" t="s">
        <v>19</v>
      </c>
      <c r="B40" s="8" t="s">
        <v>278</v>
      </c>
      <c r="C40" s="8" t="s">
        <v>57</v>
      </c>
      <c r="D40" s="8" t="s">
        <v>120</v>
      </c>
      <c r="E40" s="8" t="s">
        <v>169</v>
      </c>
      <c r="F40" s="8" t="s">
        <v>218</v>
      </c>
      <c r="G40" s="8" t="s">
        <v>348</v>
      </c>
    </row>
    <row r="41" customFormat="false" ht="15" hidden="false" customHeight="false" outlineLevel="0" collapsed="false">
      <c r="A41" s="18" t="s">
        <v>281</v>
      </c>
      <c r="B41" s="19" t="s">
        <v>282</v>
      </c>
      <c r="C41" s="19" t="n">
        <f aca="false">COUNTIFS('Defeitos não encontrados'!$E$2:$E$145,$A41,'Defeitos não encontrados'!$B$2:$B$145,"Codex",'Defeitos não encontrados'!$G$2:$G$145,"Sim")</f>
        <v>0</v>
      </c>
      <c r="D41" s="19" t="n">
        <f aca="false">COUNTIFS('Defeitos não encontrados'!$E$2:$E$145,$A41,'Defeitos não encontrados'!$B$2:$B$145,"Claude",'Defeitos não encontrados'!$G$2:$G$145,"Sim")</f>
        <v>0</v>
      </c>
      <c r="E41" s="19" t="n">
        <f aca="false">COUNTIFS('Defeitos não encontrados'!$E$2:$E$145,$A41,'Defeitos não encontrados'!$B$2:$B$145,"Antigravity",'Defeitos não encontrados'!$G$2:$G$145,"Sim")</f>
        <v>0</v>
      </c>
      <c r="F41" s="19" t="n">
        <f aca="false">COUNTIFS('Defeitos não encontrados'!$E$2:$E$145,$A41,'Defeitos não encontrados'!$B$2:$B$145,"GitHub Copilot",'Defeitos não encontrados'!$G$2:$G$145,"Sim")</f>
        <v>0</v>
      </c>
      <c r="G41" s="22" t="n">
        <f aca="false">SUM(C41:F41)</f>
        <v>0</v>
      </c>
    </row>
    <row r="42" customFormat="false" ht="15" hidden="false" customHeight="false" outlineLevel="0" collapsed="false">
      <c r="A42" s="18" t="s">
        <v>283</v>
      </c>
      <c r="B42" s="19" t="s">
        <v>284</v>
      </c>
      <c r="C42" s="19" t="n">
        <f aca="false">COUNTIFS('Defeitos não encontrados'!$E$2:$E$145,$A42,'Defeitos não encontrados'!$B$2:$B$145,"Codex",'Defeitos não encontrados'!$G$2:$G$145,"Sim")</f>
        <v>0</v>
      </c>
      <c r="D42" s="19" t="n">
        <f aca="false">COUNTIFS('Defeitos não encontrados'!$E$2:$E$145,$A42,'Defeitos não encontrados'!$B$2:$B$145,"Claude",'Defeitos não encontrados'!$G$2:$G$145,"Sim")</f>
        <v>0</v>
      </c>
      <c r="E42" s="19" t="n">
        <f aca="false">COUNTIFS('Defeitos não encontrados'!$E$2:$E$145,$A42,'Defeitos não encontrados'!$B$2:$B$145,"Antigravity",'Defeitos não encontrados'!$G$2:$G$145,"Sim")</f>
        <v>0</v>
      </c>
      <c r="F42" s="19" t="n">
        <f aca="false">COUNTIFS('Defeitos não encontrados'!$E$2:$E$145,$A42,'Defeitos não encontrados'!$B$2:$B$145,"GitHub Copilot",'Defeitos não encontrados'!$G$2:$G$145,"Sim")</f>
        <v>0</v>
      </c>
      <c r="G42" s="22" t="n">
        <f aca="false">SUM(C42:F42)</f>
        <v>0</v>
      </c>
    </row>
    <row r="43" customFormat="false" ht="15" hidden="false" customHeight="false" outlineLevel="0" collapsed="false">
      <c r="A43" s="18" t="s">
        <v>285</v>
      </c>
      <c r="B43" s="19" t="s">
        <v>286</v>
      </c>
      <c r="C43" s="19" t="n">
        <f aca="false">COUNTIFS('Defeitos não encontrados'!$E$2:$E$145,$A43,'Defeitos não encontrados'!$B$2:$B$145,"Codex",'Defeitos não encontrados'!$G$2:$G$145,"Sim")</f>
        <v>0</v>
      </c>
      <c r="D43" s="19" t="n">
        <f aca="false">COUNTIFS('Defeitos não encontrados'!$E$2:$E$145,$A43,'Defeitos não encontrados'!$B$2:$B$145,"Claude",'Defeitos não encontrados'!$G$2:$G$145,"Sim")</f>
        <v>0</v>
      </c>
      <c r="E43" s="19" t="n">
        <f aca="false">COUNTIFS('Defeitos não encontrados'!$E$2:$E$145,$A43,'Defeitos não encontrados'!$B$2:$B$145,"Antigravity",'Defeitos não encontrados'!$G$2:$G$145,"Sim")</f>
        <v>0</v>
      </c>
      <c r="F43" s="19" t="n">
        <f aca="false">COUNTIFS('Defeitos não encontrados'!$E$2:$E$145,$A43,'Defeitos não encontrados'!$B$2:$B$145,"GitHub Copilot",'Defeitos não encontrados'!$G$2:$G$145,"Sim")</f>
        <v>0</v>
      </c>
      <c r="G43" s="22" t="n">
        <f aca="false">SUM(C43:F43)</f>
        <v>0</v>
      </c>
    </row>
    <row r="44" customFormat="false" ht="15" hidden="false" customHeight="false" outlineLevel="0" collapsed="false">
      <c r="A44" s="18" t="s">
        <v>287</v>
      </c>
      <c r="B44" s="19" t="s">
        <v>288</v>
      </c>
      <c r="C44" s="19" t="n">
        <f aca="false">COUNTIFS('Defeitos não encontrados'!$E$2:$E$145,$A44,'Defeitos não encontrados'!$B$2:$B$145,"Codex",'Defeitos não encontrados'!$G$2:$G$145,"Sim")</f>
        <v>0</v>
      </c>
      <c r="D44" s="19" t="n">
        <f aca="false">COUNTIFS('Defeitos não encontrados'!$E$2:$E$145,$A44,'Defeitos não encontrados'!$B$2:$B$145,"Claude",'Defeitos não encontrados'!$G$2:$G$145,"Sim")</f>
        <v>0</v>
      </c>
      <c r="E44" s="19" t="n">
        <f aca="false">COUNTIFS('Defeitos não encontrados'!$E$2:$E$145,$A44,'Defeitos não encontrados'!$B$2:$B$145,"Antigravity",'Defeitos não encontrados'!$G$2:$G$145,"Sim")</f>
        <v>0</v>
      </c>
      <c r="F44" s="19" t="n">
        <f aca="false">COUNTIFS('Defeitos não encontrados'!$E$2:$E$145,$A44,'Defeitos não encontrados'!$B$2:$B$145,"GitHub Copilot",'Defeitos não encontrados'!$G$2:$G$145,"Sim")</f>
        <v>0</v>
      </c>
      <c r="G44" s="22" t="n">
        <f aca="false">SUM(C44:F44)</f>
        <v>0</v>
      </c>
    </row>
    <row r="45" customFormat="false" ht="15" hidden="false" customHeight="false" outlineLevel="0" collapsed="false">
      <c r="A45" s="18" t="s">
        <v>289</v>
      </c>
      <c r="B45" s="19" t="s">
        <v>290</v>
      </c>
      <c r="C45" s="19" t="n">
        <f aca="false">COUNTIFS('Defeitos não encontrados'!$E$2:$E$145,$A45,'Defeitos não encontrados'!$B$2:$B$145,"Codex",'Defeitos não encontrados'!$G$2:$G$145,"Sim")</f>
        <v>0</v>
      </c>
      <c r="D45" s="19" t="n">
        <f aca="false">COUNTIFS('Defeitos não encontrados'!$E$2:$E$145,$A45,'Defeitos não encontrados'!$B$2:$B$145,"Claude",'Defeitos não encontrados'!$G$2:$G$145,"Sim")</f>
        <v>0</v>
      </c>
      <c r="E45" s="19" t="n">
        <f aca="false">COUNTIFS('Defeitos não encontrados'!$E$2:$E$145,$A45,'Defeitos não encontrados'!$B$2:$B$145,"Antigravity",'Defeitos não encontrados'!$G$2:$G$145,"Sim")</f>
        <v>0</v>
      </c>
      <c r="F45" s="19" t="n">
        <f aca="false">COUNTIFS('Defeitos não encontrados'!$E$2:$E$145,$A45,'Defeitos não encontrados'!$B$2:$B$145,"GitHub Copilot",'Defeitos não encontrados'!$G$2:$G$145,"Sim")</f>
        <v>0</v>
      </c>
      <c r="G45" s="22" t="n">
        <f aca="false">SUM(C45:F45)</f>
        <v>0</v>
      </c>
    </row>
    <row r="46" customFormat="false" ht="15" hidden="false" customHeight="false" outlineLevel="0" collapsed="false">
      <c r="A46" s="18" t="s">
        <v>291</v>
      </c>
      <c r="B46" s="19" t="s">
        <v>284</v>
      </c>
      <c r="C46" s="19" t="n">
        <f aca="false">COUNTIFS('Defeitos não encontrados'!$E$2:$E$145,$A46,'Defeitos não encontrados'!$B$2:$B$145,"Codex",'Defeitos não encontrados'!$G$2:$G$145,"Sim")</f>
        <v>0</v>
      </c>
      <c r="D46" s="19" t="n">
        <f aca="false">COUNTIFS('Defeitos não encontrados'!$E$2:$E$145,$A46,'Defeitos não encontrados'!$B$2:$B$145,"Claude",'Defeitos não encontrados'!$G$2:$G$145,"Sim")</f>
        <v>0</v>
      </c>
      <c r="E46" s="19" t="n">
        <f aca="false">COUNTIFS('Defeitos não encontrados'!$E$2:$E$145,$A46,'Defeitos não encontrados'!$B$2:$B$145,"Antigravity",'Defeitos não encontrados'!$G$2:$G$145,"Sim")</f>
        <v>0</v>
      </c>
      <c r="F46" s="19" t="n">
        <f aca="false">COUNTIFS('Defeitos não encontrados'!$E$2:$E$145,$A46,'Defeitos não encontrados'!$B$2:$B$145,"GitHub Copilot",'Defeitos não encontrados'!$G$2:$G$145,"Sim")</f>
        <v>0</v>
      </c>
      <c r="G46" s="22" t="n">
        <f aca="false">SUM(C46:F46)</f>
        <v>0</v>
      </c>
    </row>
    <row r="47" customFormat="false" ht="15" hidden="false" customHeight="false" outlineLevel="0" collapsed="false">
      <c r="A47" s="18" t="s">
        <v>292</v>
      </c>
      <c r="B47" s="19" t="s">
        <v>282</v>
      </c>
      <c r="C47" s="19" t="n">
        <f aca="false">COUNTIFS('Defeitos não encontrados'!$E$2:$E$145,$A47,'Defeitos não encontrados'!$B$2:$B$145,"Codex",'Defeitos não encontrados'!$G$2:$G$145,"Sim")</f>
        <v>0</v>
      </c>
      <c r="D47" s="19" t="n">
        <f aca="false">COUNTIFS('Defeitos não encontrados'!$E$2:$E$145,$A47,'Defeitos não encontrados'!$B$2:$B$145,"Claude",'Defeitos não encontrados'!$G$2:$G$145,"Sim")</f>
        <v>0</v>
      </c>
      <c r="E47" s="19" t="n">
        <f aca="false">COUNTIFS('Defeitos não encontrados'!$E$2:$E$145,$A47,'Defeitos não encontrados'!$B$2:$B$145,"Antigravity",'Defeitos não encontrados'!$G$2:$G$145,"Sim")</f>
        <v>0</v>
      </c>
      <c r="F47" s="19" t="n">
        <f aca="false">COUNTIFS('Defeitos não encontrados'!$E$2:$E$145,$A47,'Defeitos não encontrados'!$B$2:$B$145,"GitHub Copilot",'Defeitos não encontrados'!$G$2:$G$145,"Sim")</f>
        <v>0</v>
      </c>
      <c r="G47" s="22" t="n">
        <f aca="false">SUM(C47:F47)</f>
        <v>0</v>
      </c>
    </row>
    <row r="48" customFormat="false" ht="15" hidden="false" customHeight="false" outlineLevel="0" collapsed="false">
      <c r="A48" s="18" t="s">
        <v>293</v>
      </c>
      <c r="B48" s="19" t="s">
        <v>290</v>
      </c>
      <c r="C48" s="19" t="n">
        <f aca="false">COUNTIFS('Defeitos não encontrados'!$E$2:$E$145,$A48,'Defeitos não encontrados'!$B$2:$B$145,"Codex",'Defeitos não encontrados'!$G$2:$G$145,"Sim")</f>
        <v>0</v>
      </c>
      <c r="D48" s="19" t="n">
        <f aca="false">COUNTIFS('Defeitos não encontrados'!$E$2:$E$145,$A48,'Defeitos não encontrados'!$B$2:$B$145,"Claude",'Defeitos não encontrados'!$G$2:$G$145,"Sim")</f>
        <v>0</v>
      </c>
      <c r="E48" s="19" t="n">
        <f aca="false">COUNTIFS('Defeitos não encontrados'!$E$2:$E$145,$A48,'Defeitos não encontrados'!$B$2:$B$145,"Antigravity",'Defeitos não encontrados'!$G$2:$G$145,"Sim")</f>
        <v>0</v>
      </c>
      <c r="F48" s="19" t="n">
        <f aca="false">COUNTIFS('Defeitos não encontrados'!$E$2:$E$145,$A48,'Defeitos não encontrados'!$B$2:$B$145,"GitHub Copilot",'Defeitos não encontrados'!$G$2:$G$145,"Sim")</f>
        <v>0</v>
      </c>
      <c r="G48" s="22" t="n">
        <f aca="false">SUM(C48:F48)</f>
        <v>0</v>
      </c>
    </row>
    <row r="49" customFormat="false" ht="15" hidden="false" customHeight="false" outlineLevel="0" collapsed="false">
      <c r="A49" s="18" t="s">
        <v>294</v>
      </c>
      <c r="B49" s="19" t="s">
        <v>288</v>
      </c>
      <c r="C49" s="19" t="n">
        <f aca="false">COUNTIFS('Defeitos não encontrados'!$E$2:$E$145,$A49,'Defeitos não encontrados'!$B$2:$B$145,"Codex",'Defeitos não encontrados'!$G$2:$G$145,"Sim")</f>
        <v>0</v>
      </c>
      <c r="D49" s="19" t="n">
        <f aca="false">COUNTIFS('Defeitos não encontrados'!$E$2:$E$145,$A49,'Defeitos não encontrados'!$B$2:$B$145,"Claude",'Defeitos não encontrados'!$G$2:$G$145,"Sim")</f>
        <v>0</v>
      </c>
      <c r="E49" s="19" t="n">
        <f aca="false">COUNTIFS('Defeitos não encontrados'!$E$2:$E$145,$A49,'Defeitos não encontrados'!$B$2:$B$145,"Antigravity",'Defeitos não encontrados'!$G$2:$G$145,"Sim")</f>
        <v>0</v>
      </c>
      <c r="F49" s="19" t="n">
        <f aca="false">COUNTIFS('Defeitos não encontrados'!$E$2:$E$145,$A49,'Defeitos não encontrados'!$B$2:$B$145,"GitHub Copilot",'Defeitos não encontrados'!$G$2:$G$145,"Sim")</f>
        <v>0</v>
      </c>
      <c r="G49" s="22" t="n">
        <f aca="false">SUM(C49:F49)</f>
        <v>0</v>
      </c>
    </row>
    <row r="50" customFormat="false" ht="15" hidden="false" customHeight="false" outlineLevel="0" collapsed="false">
      <c r="A50" s="18" t="s">
        <v>295</v>
      </c>
      <c r="B50" s="19" t="s">
        <v>284</v>
      </c>
      <c r="C50" s="19" t="n">
        <f aca="false">COUNTIFS('Defeitos não encontrados'!$E$2:$E$145,$A50,'Defeitos não encontrados'!$B$2:$B$145,"Codex",'Defeitos não encontrados'!$G$2:$G$145,"Sim")</f>
        <v>0</v>
      </c>
      <c r="D50" s="19" t="n">
        <f aca="false">COUNTIFS('Defeitos não encontrados'!$E$2:$E$145,$A50,'Defeitos não encontrados'!$B$2:$B$145,"Claude",'Defeitos não encontrados'!$G$2:$G$145,"Sim")</f>
        <v>0</v>
      </c>
      <c r="E50" s="19" t="n">
        <f aca="false">COUNTIFS('Defeitos não encontrados'!$E$2:$E$145,$A50,'Defeitos não encontrados'!$B$2:$B$145,"Antigravity",'Defeitos não encontrados'!$G$2:$G$145,"Sim")</f>
        <v>0</v>
      </c>
      <c r="F50" s="19" t="n">
        <f aca="false">COUNTIFS('Defeitos não encontrados'!$E$2:$E$145,$A50,'Defeitos não encontrados'!$B$2:$B$145,"GitHub Copilot",'Defeitos não encontrados'!$G$2:$G$145,"Sim")</f>
        <v>0</v>
      </c>
      <c r="G50" s="22" t="n">
        <f aca="false">SUM(C50:F50)</f>
        <v>0</v>
      </c>
    </row>
    <row r="51" customFormat="false" ht="15" hidden="false" customHeight="false" outlineLevel="0" collapsed="false">
      <c r="A51" s="18" t="s">
        <v>296</v>
      </c>
      <c r="B51" s="19" t="s">
        <v>290</v>
      </c>
      <c r="C51" s="19" t="n">
        <f aca="false">COUNTIFS('Defeitos não encontrados'!$E$2:$E$145,$A51,'Defeitos não encontrados'!$B$2:$B$145,"Codex",'Defeitos não encontrados'!$G$2:$G$145,"Sim")</f>
        <v>0</v>
      </c>
      <c r="D51" s="19" t="n">
        <f aca="false">COUNTIFS('Defeitos não encontrados'!$E$2:$E$145,$A51,'Defeitos não encontrados'!$B$2:$B$145,"Claude",'Defeitos não encontrados'!$G$2:$G$145,"Sim")</f>
        <v>0</v>
      </c>
      <c r="E51" s="19" t="n">
        <f aca="false">COUNTIFS('Defeitos não encontrados'!$E$2:$E$145,$A51,'Defeitos não encontrados'!$B$2:$B$145,"Antigravity",'Defeitos não encontrados'!$G$2:$G$145,"Sim")</f>
        <v>0</v>
      </c>
      <c r="F51" s="19" t="n">
        <f aca="false">COUNTIFS('Defeitos não encontrados'!$E$2:$E$145,$A51,'Defeitos não encontrados'!$B$2:$B$145,"GitHub Copilot",'Defeitos não encontrados'!$G$2:$G$145,"Sim")</f>
        <v>0</v>
      </c>
      <c r="G51" s="22" t="n">
        <f aca="false">SUM(C51:F51)</f>
        <v>0</v>
      </c>
    </row>
    <row r="52" customFormat="false" ht="15" hidden="false" customHeight="false" outlineLevel="0" collapsed="false">
      <c r="A52" s="18" t="s">
        <v>297</v>
      </c>
      <c r="B52" s="19" t="s">
        <v>282</v>
      </c>
      <c r="C52" s="19" t="n">
        <f aca="false">COUNTIFS('Defeitos não encontrados'!$E$2:$E$145,$A52,'Defeitos não encontrados'!$B$2:$B$145,"Codex",'Defeitos não encontrados'!$G$2:$G$145,"Sim")</f>
        <v>0</v>
      </c>
      <c r="D52" s="19" t="n">
        <f aca="false">COUNTIFS('Defeitos não encontrados'!$E$2:$E$145,$A52,'Defeitos não encontrados'!$B$2:$B$145,"Claude",'Defeitos não encontrados'!$G$2:$G$145,"Sim")</f>
        <v>0</v>
      </c>
      <c r="E52" s="19" t="n">
        <f aca="false">COUNTIFS('Defeitos não encontrados'!$E$2:$E$145,$A52,'Defeitos não encontrados'!$B$2:$B$145,"Antigravity",'Defeitos não encontrados'!$G$2:$G$145,"Sim")</f>
        <v>0</v>
      </c>
      <c r="F52" s="19" t="n">
        <f aca="false">COUNTIFS('Defeitos não encontrados'!$E$2:$E$145,$A52,'Defeitos não encontrados'!$B$2:$B$145,"GitHub Copilot",'Defeitos não encontrados'!$G$2:$G$145,"Sim")</f>
        <v>0</v>
      </c>
      <c r="G52" s="22" t="n">
        <f aca="false">SUM(C52:F52)</f>
        <v>0</v>
      </c>
    </row>
    <row r="55" customFormat="false" ht="15" hidden="false" customHeight="false" outlineLevel="0" collapsed="false">
      <c r="A55" s="17" t="s">
        <v>349</v>
      </c>
    </row>
    <row r="56" customFormat="false" ht="48" hidden="false" customHeight="true" outlineLevel="0" collapsed="false">
      <c r="A56" s="8" t="s">
        <v>350</v>
      </c>
      <c r="B56" s="8" t="s">
        <v>57</v>
      </c>
      <c r="C56" s="8" t="s">
        <v>120</v>
      </c>
      <c r="D56" s="8" t="s">
        <v>169</v>
      </c>
      <c r="E56" s="8" t="s">
        <v>218</v>
      </c>
      <c r="F56" s="8" t="s">
        <v>316</v>
      </c>
    </row>
    <row r="57" customFormat="false" ht="15" hidden="false" customHeight="false" outlineLevel="0" collapsed="false">
      <c r="A57" s="18" t="str">
        <f aca="false">IF(Listas!C2="","",Listas!C2)</f>
        <v>Inconsistência com a entrada</v>
      </c>
      <c r="B57" s="19" t="n">
        <f aca="false">IF($A57="","",SUMPRODUCT((Consenso!$D$2:$D$601="Codex")*(Consenso!$J$2:$J$601="Sim")*(Consenso!$M$2:$M$601=$A57)))</f>
        <v>0</v>
      </c>
      <c r="C57" s="19" t="n">
        <f aca="false">IF($A57="","",SUMPRODUCT((Consenso!$D$2:$D$601="Claude")*(Consenso!$J$2:$J$601="Sim")*(Consenso!$M$2:$M$601=$A57)))</f>
        <v>0</v>
      </c>
      <c r="D57" s="19" t="n">
        <f aca="false">IF($A57="","",SUMPRODUCT((Consenso!$D$2:$D$601="Antigravity")*(Consenso!$J$2:$J$601="Sim")*(Consenso!$M$2:$M$601=$A57)))</f>
        <v>0</v>
      </c>
      <c r="E57" s="19" t="n">
        <f aca="false">IF($A57="","",SUMPRODUCT((Consenso!$D$2:$D$601="GitHub Copilot")*(Consenso!$J$2:$J$601="Sim")*(Consenso!$M$2:$M$601=$A57)))</f>
        <v>0</v>
      </c>
      <c r="F57" s="22" t="n">
        <f aca="false">IF($A57="","",SUM(B57:E57))</f>
        <v>0</v>
      </c>
    </row>
    <row r="58" customFormat="false" ht="15" hidden="false" customHeight="false" outlineLevel="0" collapsed="false">
      <c r="A58" s="18" t="str">
        <f aca="false">IF(Listas!C3="","",Listas!C3)</f>
        <v>Inconsistência lógica</v>
      </c>
      <c r="B58" s="19" t="n">
        <f aca="false">IF($A58="","",SUMPRODUCT((Consenso!$D$2:$D$601="Codex")*(Consenso!$J$2:$J$601="Sim")*(Consenso!$M$2:$M$601=$A58)))</f>
        <v>0</v>
      </c>
      <c r="C58" s="19" t="n">
        <f aca="false">IF($A58="","",SUMPRODUCT((Consenso!$D$2:$D$601="Claude")*(Consenso!$J$2:$J$601="Sim")*(Consenso!$M$2:$M$601=$A58)))</f>
        <v>0</v>
      </c>
      <c r="D58" s="19" t="n">
        <f aca="false">IF($A58="","",SUMPRODUCT((Consenso!$D$2:$D$601="Antigravity")*(Consenso!$J$2:$J$601="Sim")*(Consenso!$M$2:$M$601=$A58)))</f>
        <v>0</v>
      </c>
      <c r="E58" s="19" t="n">
        <f aca="false">IF($A58="","",SUMPRODUCT((Consenso!$D$2:$D$601="GitHub Copilot")*(Consenso!$J$2:$J$601="Sim")*(Consenso!$M$2:$M$601=$A58)))</f>
        <v>0</v>
      </c>
      <c r="F58" s="22" t="n">
        <f aca="false">IF($A58="","",SUM(B58:E58))</f>
        <v>0</v>
      </c>
    </row>
    <row r="59" customFormat="false" ht="15" hidden="false" customHeight="false" outlineLevel="0" collapsed="false">
      <c r="A59" s="18" t="str">
        <f aca="false">IF(Listas!C4="","",Listas!C4)</f>
        <v>Desvio de intenção</v>
      </c>
      <c r="B59" s="19" t="n">
        <f aca="false">IF($A59="","",SUMPRODUCT((Consenso!$D$2:$D$601="Codex")*(Consenso!$J$2:$J$601="Sim")*(Consenso!$M$2:$M$601=$A59)))</f>
        <v>0</v>
      </c>
      <c r="C59" s="19" t="n">
        <f aca="false">IF($A59="","",SUMPRODUCT((Consenso!$D$2:$D$601="Claude")*(Consenso!$J$2:$J$601="Sim")*(Consenso!$M$2:$M$601=$A59)))</f>
        <v>0</v>
      </c>
      <c r="D59" s="19" t="n">
        <f aca="false">IF($A59="","",SUMPRODUCT((Consenso!$D$2:$D$601="Antigravity")*(Consenso!$J$2:$J$601="Sim")*(Consenso!$M$2:$M$601=$A59)))</f>
        <v>0</v>
      </c>
      <c r="E59" s="19" t="n">
        <f aca="false">IF($A59="","",SUMPRODUCT((Consenso!$D$2:$D$601="GitHub Copilot")*(Consenso!$J$2:$J$601="Sim")*(Consenso!$M$2:$M$601=$A59)))</f>
        <v>0</v>
      </c>
      <c r="F59" s="22" t="n">
        <f aca="false">IF($A59="","",SUM(B59:E59))</f>
        <v>0</v>
      </c>
    </row>
    <row r="60" customFormat="false" ht="15" hidden="false" customHeight="false" outlineLevel="0" collapsed="false">
      <c r="A60" s="18" t="str">
        <f aca="false">IF(Listas!C5="","",Listas!C5)</f>
        <v>Conhecimento (API/biblioteca)</v>
      </c>
      <c r="B60" s="19" t="n">
        <f aca="false">IF($A60="","",SUMPRODUCT((Consenso!$D$2:$D$601="Codex")*(Consenso!$J$2:$J$601="Sim")*(Consenso!$M$2:$M$601=$A60)))</f>
        <v>0</v>
      </c>
      <c r="C60" s="19" t="n">
        <f aca="false">IF($A60="","",SUMPRODUCT((Consenso!$D$2:$D$601="Claude")*(Consenso!$J$2:$J$601="Sim")*(Consenso!$M$2:$M$601=$A60)))</f>
        <v>0</v>
      </c>
      <c r="D60" s="19" t="n">
        <f aca="false">IF($A60="","",SUMPRODUCT((Consenso!$D$2:$D$601="Antigravity")*(Consenso!$J$2:$J$601="Sim")*(Consenso!$M$2:$M$601=$A60)))</f>
        <v>0</v>
      </c>
      <c r="E60" s="19" t="n">
        <f aca="false">IF($A60="","",SUMPRODUCT((Consenso!$D$2:$D$601="GitHub Copilot")*(Consenso!$J$2:$J$601="Sim")*(Consenso!$M$2:$M$601=$A60)))</f>
        <v>0</v>
      </c>
      <c r="F60" s="22" t="n">
        <f aca="false">IF($A60="","",SUM(B60:E60))</f>
        <v>0</v>
      </c>
    </row>
    <row r="61" customFormat="false" ht="15" hidden="false" customHeight="false" outlineLevel="0" collapsed="false">
      <c r="A61" s="18" t="str">
        <f aca="false">IF(Listas!C6="","",Listas!C6)</f>
        <v/>
      </c>
      <c r="B61" s="19" t="str">
        <f aca="false">IF($A61="","",SUMPRODUCT((Consenso!$D$2:$D$601="Codex")*(Consenso!$J$2:$J$601="Sim")*(Consenso!$M$2:$M$601=$A61)))</f>
        <v/>
      </c>
      <c r="C61" s="19" t="str">
        <f aca="false">IF($A61="","",SUMPRODUCT((Consenso!$D$2:$D$601="Claude")*(Consenso!$J$2:$J$601="Sim")*(Consenso!$M$2:$M$601=$A61)))</f>
        <v/>
      </c>
      <c r="D61" s="19" t="str">
        <f aca="false">IF($A61="","",SUMPRODUCT((Consenso!$D$2:$D$601="Antigravity")*(Consenso!$J$2:$J$601="Sim")*(Consenso!$M$2:$M$601=$A61)))</f>
        <v/>
      </c>
      <c r="E61" s="19" t="str">
        <f aca="false">IF($A61="","",SUMPRODUCT((Consenso!$D$2:$D$601="GitHub Copilot")*(Consenso!$J$2:$J$601="Sim")*(Consenso!$M$2:$M$601=$A61)))</f>
        <v/>
      </c>
      <c r="F61" s="22" t="str">
        <f aca="false">IF($A61="","",SUM(B61:E61))</f>
        <v/>
      </c>
    </row>
    <row r="62" customFormat="false" ht="15" hidden="false" customHeight="false" outlineLevel="0" collapsed="false">
      <c r="A62" s="18" t="str">
        <f aca="false">IF(Listas!C7="","",Listas!C7)</f>
        <v/>
      </c>
      <c r="B62" s="19" t="str">
        <f aca="false">IF($A62="","",SUMPRODUCT((Consenso!$D$2:$D$601="Codex")*(Consenso!$J$2:$J$601="Sim")*(Consenso!$M$2:$M$601=$A62)))</f>
        <v/>
      </c>
      <c r="C62" s="19" t="str">
        <f aca="false">IF($A62="","",SUMPRODUCT((Consenso!$D$2:$D$601="Claude")*(Consenso!$J$2:$J$601="Sim")*(Consenso!$M$2:$M$601=$A62)))</f>
        <v/>
      </c>
      <c r="D62" s="19" t="str">
        <f aca="false">IF($A62="","",SUMPRODUCT((Consenso!$D$2:$D$601="Antigravity")*(Consenso!$J$2:$J$601="Sim")*(Consenso!$M$2:$M$601=$A62)))</f>
        <v/>
      </c>
      <c r="E62" s="19" t="str">
        <f aca="false">IF($A62="","",SUMPRODUCT((Consenso!$D$2:$D$601="GitHub Copilot")*(Consenso!$J$2:$J$601="Sim")*(Consenso!$M$2:$M$601=$A62)))</f>
        <v/>
      </c>
      <c r="F62" s="22" t="str">
        <f aca="false">IF($A62="","",SUM(B62:E62))</f>
        <v/>
      </c>
    </row>
    <row r="63" customFormat="false" ht="15" hidden="false" customHeight="false" outlineLevel="0" collapsed="false">
      <c r="A63" s="18" t="str">
        <f aca="false">IF(Listas!C8="","",Listas!C8)</f>
        <v/>
      </c>
      <c r="B63" s="19" t="str">
        <f aca="false">IF($A63="","",SUMPRODUCT((Consenso!$D$2:$D$601="Codex")*(Consenso!$J$2:$J$601="Sim")*(Consenso!$M$2:$M$601=$A63)))</f>
        <v/>
      </c>
      <c r="C63" s="19" t="str">
        <f aca="false">IF($A63="","",SUMPRODUCT((Consenso!$D$2:$D$601="Claude")*(Consenso!$J$2:$J$601="Sim")*(Consenso!$M$2:$M$601=$A63)))</f>
        <v/>
      </c>
      <c r="D63" s="19" t="str">
        <f aca="false">IF($A63="","",SUMPRODUCT((Consenso!$D$2:$D$601="Antigravity")*(Consenso!$J$2:$J$601="Sim")*(Consenso!$M$2:$M$601=$A63)))</f>
        <v/>
      </c>
      <c r="E63" s="19" t="str">
        <f aca="false">IF($A63="","",SUMPRODUCT((Consenso!$D$2:$D$601="GitHub Copilot")*(Consenso!$J$2:$J$601="Sim")*(Consenso!$M$2:$M$601=$A63)))</f>
        <v/>
      </c>
      <c r="F63" s="22" t="str">
        <f aca="false">IF($A63="","",SUM(B63:E63))</f>
        <v/>
      </c>
    </row>
    <row r="64" customFormat="false" ht="15" hidden="false" customHeight="false" outlineLevel="0" collapsed="false">
      <c r="A64" s="18" t="str">
        <f aca="false">IF(Listas!C9="","",Listas!C9)</f>
        <v/>
      </c>
      <c r="B64" s="19" t="str">
        <f aca="false">IF($A64="","",SUMPRODUCT((Consenso!$D$2:$D$601="Codex")*(Consenso!$J$2:$J$601="Sim")*(Consenso!$M$2:$M$601=$A64)))</f>
        <v/>
      </c>
      <c r="C64" s="19" t="str">
        <f aca="false">IF($A64="","",SUMPRODUCT((Consenso!$D$2:$D$601="Claude")*(Consenso!$J$2:$J$601="Sim")*(Consenso!$M$2:$M$601=$A64)))</f>
        <v/>
      </c>
      <c r="D64" s="19" t="str">
        <f aca="false">IF($A64="","",SUMPRODUCT((Consenso!$D$2:$D$601="Antigravity")*(Consenso!$J$2:$J$601="Sim")*(Consenso!$M$2:$M$601=$A64)))</f>
        <v/>
      </c>
      <c r="E64" s="19" t="str">
        <f aca="false">IF($A64="","",SUMPRODUCT((Consenso!$D$2:$D$601="GitHub Copilot")*(Consenso!$J$2:$J$601="Sim")*(Consenso!$M$2:$M$601=$A64)))</f>
        <v/>
      </c>
      <c r="F64" s="22" t="str">
        <f aca="false">IF($A64="","",SUM(B64:E64))</f>
        <v/>
      </c>
    </row>
    <row r="65" customFormat="false" ht="15" hidden="false" customHeight="false" outlineLevel="0" collapsed="false">
      <c r="A65" s="18" t="str">
        <f aca="false">IF(Listas!C10="","",Listas!C10)</f>
        <v/>
      </c>
      <c r="B65" s="19" t="str">
        <f aca="false">IF($A65="","",SUMPRODUCT((Consenso!$D$2:$D$601="Codex")*(Consenso!$J$2:$J$601="Sim")*(Consenso!$M$2:$M$601=$A65)))</f>
        <v/>
      </c>
      <c r="C65" s="19" t="str">
        <f aca="false">IF($A65="","",SUMPRODUCT((Consenso!$D$2:$D$601="Claude")*(Consenso!$J$2:$J$601="Sim")*(Consenso!$M$2:$M$601=$A65)))</f>
        <v/>
      </c>
      <c r="D65" s="19" t="str">
        <f aca="false">IF($A65="","",SUMPRODUCT((Consenso!$D$2:$D$601="Antigravity")*(Consenso!$J$2:$J$601="Sim")*(Consenso!$M$2:$M$601=$A65)))</f>
        <v/>
      </c>
      <c r="E65" s="19" t="str">
        <f aca="false">IF($A65="","",SUMPRODUCT((Consenso!$D$2:$D$601="GitHub Copilot")*(Consenso!$J$2:$J$601="Sim")*(Consenso!$M$2:$M$601=$A65)))</f>
        <v/>
      </c>
      <c r="F65" s="22" t="str">
        <f aca="false">IF($A65="","",SUM(B65:E65))</f>
        <v/>
      </c>
    </row>
    <row r="66" customFormat="false" ht="15" hidden="false" customHeight="false" outlineLevel="0" collapsed="false">
      <c r="A66" s="18" t="str">
        <f aca="false">IF(Listas!C11="","",Listas!C11)</f>
        <v/>
      </c>
      <c r="B66" s="19" t="str">
        <f aca="false">IF($A66="","",SUMPRODUCT((Consenso!$D$2:$D$601="Codex")*(Consenso!$J$2:$J$601="Sim")*(Consenso!$M$2:$M$601=$A66)))</f>
        <v/>
      </c>
      <c r="C66" s="19" t="str">
        <f aca="false">IF($A66="","",SUMPRODUCT((Consenso!$D$2:$D$601="Claude")*(Consenso!$J$2:$J$601="Sim")*(Consenso!$M$2:$M$601=$A66)))</f>
        <v/>
      </c>
      <c r="D66" s="19" t="str">
        <f aca="false">IF($A66="","",SUMPRODUCT((Consenso!$D$2:$D$601="Antigravity")*(Consenso!$J$2:$J$601="Sim")*(Consenso!$M$2:$M$601=$A66)))</f>
        <v/>
      </c>
      <c r="E66" s="19" t="str">
        <f aca="false">IF($A66="","",SUMPRODUCT((Consenso!$D$2:$D$601="GitHub Copilot")*(Consenso!$J$2:$J$601="Sim")*(Consenso!$M$2:$M$601=$A66)))</f>
        <v/>
      </c>
      <c r="F66" s="22" t="str">
        <f aca="false">IF($A66="","",SUM(B66:E66))</f>
        <v/>
      </c>
    </row>
    <row r="67" customFormat="false" ht="15" hidden="false" customHeight="false" outlineLevel="0" collapsed="false">
      <c r="A67" s="18" t="str">
        <f aca="false">IF(Listas!C12="","",Listas!C12)</f>
        <v/>
      </c>
      <c r="B67" s="19" t="str">
        <f aca="false">IF($A67="","",SUMPRODUCT((Consenso!$D$2:$D$601="Codex")*(Consenso!$J$2:$J$601="Sim")*(Consenso!$M$2:$M$601=$A67)))</f>
        <v/>
      </c>
      <c r="C67" s="19" t="str">
        <f aca="false">IF($A67="","",SUMPRODUCT((Consenso!$D$2:$D$601="Claude")*(Consenso!$J$2:$J$601="Sim")*(Consenso!$M$2:$M$601=$A67)))</f>
        <v/>
      </c>
      <c r="D67" s="19" t="str">
        <f aca="false">IF($A67="","",SUMPRODUCT((Consenso!$D$2:$D$601="Antigravity")*(Consenso!$J$2:$J$601="Sim")*(Consenso!$M$2:$M$601=$A67)))</f>
        <v/>
      </c>
      <c r="E67" s="19" t="str">
        <f aca="false">IF($A67="","",SUMPRODUCT((Consenso!$D$2:$D$601="GitHub Copilot")*(Consenso!$J$2:$J$601="Sim")*(Consenso!$M$2:$M$601=$A67)))</f>
        <v/>
      </c>
      <c r="F67" s="22" t="str">
        <f aca="false">IF($A67="","",SUM(B67:E67))</f>
        <v/>
      </c>
    </row>
    <row r="68" customFormat="false" ht="15" hidden="false" customHeight="false" outlineLevel="0" collapsed="false">
      <c r="A68" s="18" t="str">
        <f aca="false">IF(Listas!C13="","",Listas!C13)</f>
        <v/>
      </c>
      <c r="B68" s="19" t="str">
        <f aca="false">IF($A68="","",SUMPRODUCT((Consenso!$D$2:$D$601="Codex")*(Consenso!$J$2:$J$601="Sim")*(Consenso!$M$2:$M$601=$A68)))</f>
        <v/>
      </c>
      <c r="C68" s="19" t="str">
        <f aca="false">IF($A68="","",SUMPRODUCT((Consenso!$D$2:$D$601="Claude")*(Consenso!$J$2:$J$601="Sim")*(Consenso!$M$2:$M$601=$A68)))</f>
        <v/>
      </c>
      <c r="D68" s="19" t="str">
        <f aca="false">IF($A68="","",SUMPRODUCT((Consenso!$D$2:$D$601="Antigravity")*(Consenso!$J$2:$J$601="Sim")*(Consenso!$M$2:$M$601=$A68)))</f>
        <v/>
      </c>
      <c r="E68" s="19" t="str">
        <f aca="false">IF($A68="","",SUMPRODUCT((Consenso!$D$2:$D$601="GitHub Copilot")*(Consenso!$J$2:$J$601="Sim")*(Consenso!$M$2:$M$601=$A68)))</f>
        <v/>
      </c>
      <c r="F68" s="22" t="str">
        <f aca="false">IF($A68="","",SUM(B68:E68))</f>
        <v/>
      </c>
    </row>
    <row r="69" customFormat="false" ht="15" hidden="false" customHeight="false" outlineLevel="0" collapsed="false">
      <c r="A69" s="18" t="s">
        <v>351</v>
      </c>
      <c r="B69" s="19" t="n">
        <f aca="false">SUMPRODUCT((Consenso!$D$2:$D$601="Codex")*(Consenso!$P$2:$P$601&lt;&gt;"")*(Consenso!$J$2:$J$601="Sim")*(Consenso!$M$2:$M$601=""))</f>
        <v>0</v>
      </c>
      <c r="C69" s="19" t="n">
        <f aca="false">SUMPRODUCT((Consenso!$D$2:$D$601="Claude")*(Consenso!$P$2:$P$601&lt;&gt;"")*(Consenso!$J$2:$J$601="Sim")*(Consenso!$M$2:$M$601=""))</f>
        <v>0</v>
      </c>
      <c r="D69" s="19" t="n">
        <f aca="false">SUMPRODUCT((Consenso!$D$2:$D$601="Antigravity")*(Consenso!$P$2:$P$601&lt;&gt;"")*(Consenso!$J$2:$J$601="Sim")*(Consenso!$M$2:$M$601=""))</f>
        <v>0</v>
      </c>
      <c r="E69" s="19" t="n">
        <f aca="false">SUMPRODUCT((Consenso!$D$2:$D$601="GitHub Copilot")*(Consenso!$P$2:$P$601&lt;&gt;"")*(Consenso!$J$2:$J$601="Sim")*(Consenso!$M$2:$M$601=""))</f>
        <v>0</v>
      </c>
      <c r="F69" s="22" t="n">
        <f aca="false">SUM(B69:E69)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5" t="s">
        <v>352</v>
      </c>
    </row>
    <row r="2" customFormat="false" ht="15" hidden="false" customHeight="false" outlineLevel="0" collapsed="false">
      <c r="A2" s="16" t="s">
        <v>353</v>
      </c>
    </row>
    <row r="4" customFormat="false" ht="36" hidden="false" customHeight="true" outlineLevel="0" collapsed="false">
      <c r="A4" s="8" t="s">
        <v>354</v>
      </c>
      <c r="B4" s="8" t="s">
        <v>355</v>
      </c>
      <c r="C4" s="8" t="s">
        <v>356</v>
      </c>
      <c r="D4" s="8" t="s">
        <v>357</v>
      </c>
      <c r="E4" s="8" t="s">
        <v>358</v>
      </c>
      <c r="F4" s="8" t="s">
        <v>359</v>
      </c>
      <c r="G4" s="8" t="s">
        <v>360</v>
      </c>
      <c r="H4" s="8" t="s">
        <v>361</v>
      </c>
      <c r="I4" s="8" t="s">
        <v>362</v>
      </c>
      <c r="J4" s="8" t="s">
        <v>363</v>
      </c>
    </row>
    <row r="5" customFormat="false" ht="15" hidden="false" customHeight="false" outlineLevel="0" collapsed="false">
      <c r="A5" s="18" t="s">
        <v>364</v>
      </c>
      <c r="B5" s="19" t="n">
        <f aca="false">SUMPRODUCT(('Avaliador 1'!$F$2:$F$601&lt;&gt;"")*('Avaliador 2'!$F$2:$F$601&lt;&gt;""))</f>
        <v>0</v>
      </c>
      <c r="C5" s="19" t="n">
        <f aca="false">SUMPRODUCT((LEN('Avaliador 1'!$F$2:$F$601)=3)*(LEN('Avaliador 2'!$F$2:$F$601)=3))</f>
        <v>0</v>
      </c>
      <c r="D5" s="19" t="n">
        <f aca="false">SUMPRODUCT((LEN('Avaliador 1'!$F$2:$F$601)=3)*('Avaliador 2'!$F$2:$F$601="—"))</f>
        <v>0</v>
      </c>
      <c r="E5" s="19" t="n">
        <f aca="false">SUMPRODUCT(('Avaliador 1'!$F$2:$F$601="—")*(LEN('Avaliador 2'!$F$2:$F$601)=3))</f>
        <v>0</v>
      </c>
      <c r="F5" s="19" t="n">
        <f aca="false">SUMPRODUCT(('Avaliador 1'!$F$2:$F$601="—")*('Avaliador 2'!$F$2:$F$601="—"))</f>
        <v>0</v>
      </c>
      <c r="G5" s="20" t="str">
        <f aca="false">IFERROR((C5+F5)/B5,"")</f>
        <v/>
      </c>
      <c r="H5" s="20" t="str">
        <f aca="false">IFERROR(((C5+D5)*(C5+E5)+(E5+F5)*(D5+F5))/B5^2,"")</f>
        <v/>
      </c>
      <c r="I5" s="24" t="str">
        <f aca="false">IFERROR((G5-H5)/(1-H5),"")</f>
        <v/>
      </c>
      <c r="J5" s="18" t="str">
        <f aca="false">IF(I5="","",IF(I5&lt;0,"Pobre",IF(I5&lt;=0.2,"Leve",IF(I5&lt;=0.4,"Razoável",IF(I5&lt;=0.6,"Moderada",IF(I5&lt;=0.8,"Substancial","Quase perfeita"))))))</f>
        <v/>
      </c>
    </row>
    <row r="6" customFormat="false" ht="15" hidden="false" customHeight="false" outlineLevel="0" collapsed="false">
      <c r="A6" s="18" t="s">
        <v>21</v>
      </c>
      <c r="B6" s="19" t="n">
        <f aca="false">SUMPRODUCT(('Avaliador 1'!$G$2:$G$601&lt;&gt;"")*('Avaliador 2'!$G$2:$G$601&lt;&gt;""))</f>
        <v>0</v>
      </c>
      <c r="C6" s="19" t="n">
        <f aca="false">SUMPRODUCT(('Avaliador 1'!$G$2:$G$601="Sim")*('Avaliador 2'!$G$2:$G$601="Sim"))</f>
        <v>0</v>
      </c>
      <c r="D6" s="19" t="n">
        <f aca="false">SUMPRODUCT(('Avaliador 1'!$G$2:$G$601="Sim")*('Avaliador 2'!$G$2:$G$601="Não"))</f>
        <v>0</v>
      </c>
      <c r="E6" s="19" t="n">
        <f aca="false">SUMPRODUCT(('Avaliador 1'!$G$2:$G$601="Não")*('Avaliador 2'!$G$2:$G$601="Sim"))</f>
        <v>0</v>
      </c>
      <c r="F6" s="19" t="n">
        <f aca="false">SUMPRODUCT(('Avaliador 1'!$G$2:$G$601="Não")*('Avaliador 2'!$G$2:$G$601="Não"))</f>
        <v>0</v>
      </c>
      <c r="G6" s="20" t="str">
        <f aca="false">IFERROR((C6+F6)/B6,"")</f>
        <v/>
      </c>
      <c r="H6" s="20" t="str">
        <f aca="false">IFERROR(((C6+D6)*(C6+E6)+(E6+F6)*(D6+F6))/B6^2,"")</f>
        <v/>
      </c>
      <c r="I6" s="24" t="str">
        <f aca="false">IFERROR((G6-H6)/(1-H6),"")</f>
        <v/>
      </c>
      <c r="J6" s="18" t="str">
        <f aca="false">IF(I6="","",IF(I6&lt;0,"Pobre",IF(I6&lt;=0.2,"Leve",IF(I6&lt;=0.4,"Razoável",IF(I6&lt;=0.6,"Moderada",IF(I6&lt;=0.8,"Substancial","Quase perfeita"))))))</f>
        <v/>
      </c>
    </row>
    <row r="7" customFormat="false" ht="15" hidden="false" customHeight="false" outlineLevel="0" collapsed="false">
      <c r="A7" s="18" t="s">
        <v>23</v>
      </c>
      <c r="B7" s="19" t="n">
        <f aca="false">SUMPRODUCT(('Avaliador 1'!$H$2:$H$601&lt;&gt;"")*('Avaliador 2'!$H$2:$H$601&lt;&gt;""))</f>
        <v>0</v>
      </c>
      <c r="C7" s="19" t="n">
        <f aca="false">SUMPRODUCT(('Avaliador 1'!$H$2:$H$601="Sim")*('Avaliador 2'!$H$2:$H$601="Sim"))</f>
        <v>0</v>
      </c>
      <c r="D7" s="19" t="n">
        <f aca="false">SUMPRODUCT(('Avaliador 1'!$H$2:$H$601="Sim")*('Avaliador 2'!$H$2:$H$601="Não"))</f>
        <v>0</v>
      </c>
      <c r="E7" s="19" t="n">
        <f aca="false">SUMPRODUCT(('Avaliador 1'!$H$2:$H$601="Não")*('Avaliador 2'!$H$2:$H$601="Sim"))</f>
        <v>0</v>
      </c>
      <c r="F7" s="19" t="n">
        <f aca="false">SUMPRODUCT(('Avaliador 1'!$H$2:$H$601="Não")*('Avaliador 2'!$H$2:$H$601="Não"))</f>
        <v>0</v>
      </c>
      <c r="G7" s="20" t="str">
        <f aca="false">IFERROR((C7+F7)/B7,"")</f>
        <v/>
      </c>
      <c r="H7" s="20" t="str">
        <f aca="false">IFERROR(((C7+D7)*(C7+E7)+(E7+F7)*(D7+F7))/B7^2,"")</f>
        <v/>
      </c>
      <c r="I7" s="24" t="str">
        <f aca="false">IFERROR((G7-H7)/(1-H7),"")</f>
        <v/>
      </c>
      <c r="J7" s="18" t="str">
        <f aca="false">IF(I7="","",IF(I7&lt;0,"Pobre",IF(I7&lt;=0.2,"Leve",IF(I7&lt;=0.4,"Razoável",IF(I7&lt;=0.6,"Moderada",IF(I7&lt;=0.8,"Substancial","Quase perfeita"))))))</f>
        <v/>
      </c>
    </row>
    <row r="8" customFormat="false" ht="15" hidden="false" customHeight="false" outlineLevel="0" collapsed="false">
      <c r="A8" s="18" t="s">
        <v>25</v>
      </c>
      <c r="B8" s="19" t="n">
        <f aca="false">SUMPRODUCT(('Avaliador 1'!$I$2:$I$601&lt;&gt;"")*('Avaliador 2'!$I$2:$I$601&lt;&gt;""))</f>
        <v>0</v>
      </c>
      <c r="C8" s="19" t="n">
        <f aca="false">SUMPRODUCT(('Avaliador 1'!$I$2:$I$601="Sim")*('Avaliador 2'!$I$2:$I$601="Sim"))</f>
        <v>0</v>
      </c>
      <c r="D8" s="19" t="n">
        <f aca="false">SUMPRODUCT(('Avaliador 1'!$I$2:$I$601="Sim")*('Avaliador 2'!$I$2:$I$601="Não"))</f>
        <v>0</v>
      </c>
      <c r="E8" s="19" t="n">
        <f aca="false">SUMPRODUCT(('Avaliador 1'!$I$2:$I$601="Não")*('Avaliador 2'!$I$2:$I$601="Sim"))</f>
        <v>0</v>
      </c>
      <c r="F8" s="19" t="n">
        <f aca="false">SUMPRODUCT(('Avaliador 1'!$I$2:$I$601="Não")*('Avaliador 2'!$I$2:$I$601="Não"))</f>
        <v>0</v>
      </c>
      <c r="G8" s="20" t="str">
        <f aca="false">IFERROR((C8+F8)/B8,"")</f>
        <v/>
      </c>
      <c r="H8" s="20" t="str">
        <f aca="false">IFERROR(((C8+D8)*(C8+E8)+(E8+F8)*(D8+F8))/B8^2,"")</f>
        <v/>
      </c>
      <c r="I8" s="24" t="str">
        <f aca="false">IFERROR((G8-H8)/(1-H8),"")</f>
        <v/>
      </c>
      <c r="J8" s="18" t="str">
        <f aca="false">IF(I8="","",IF(I8&lt;0,"Pobre",IF(I8&lt;=0.2,"Leve",IF(I8&lt;=0.4,"Razoável",IF(I8&lt;=0.6,"Moderada",IF(I8&lt;=0.8,"Substancial","Quase perfeita"))))))</f>
        <v/>
      </c>
    </row>
    <row r="10" customFormat="false" ht="15" hidden="false" customHeight="false" outlineLevel="0" collapsed="false">
      <c r="A10" s="25" t="s">
        <v>365</v>
      </c>
      <c r="G10" s="26" t="str">
        <f aca="false">IFERROR(SUMPRODUCT(('Avaliador 1'!$F$2:$F$601&lt;&gt;"")*('Avaliador 1'!$F$2:$F$601='Avaliador 2'!$F$2:$F$601))/SUMPRODUCT(('Avaliador 1'!$F$2:$F$601&lt;&gt;"")*('Avaliador 2'!$F$2:$F$601&lt;&gt;"")),"")</f>
        <v/>
      </c>
    </row>
    <row r="12" customFormat="false" ht="15" hidden="false" customHeight="false" outlineLevel="0" collapsed="false">
      <c r="A12" s="16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7" min="6" style="0" width="45"/>
    <col collapsed="false" customWidth="true" hidden="false" outlineLevel="0" max="8" min="8" style="0" width="40"/>
  </cols>
  <sheetData>
    <row r="1" customFormat="false" ht="36" hidden="false" customHeight="true" outlineLevel="0" collapsed="false">
      <c r="A1" s="8" t="s">
        <v>367</v>
      </c>
      <c r="B1" s="8" t="s">
        <v>44</v>
      </c>
      <c r="C1" s="8" t="s">
        <v>278</v>
      </c>
      <c r="D1" s="8" t="s">
        <v>368</v>
      </c>
      <c r="E1" s="8" t="s">
        <v>270</v>
      </c>
      <c r="F1" s="8" t="s">
        <v>369</v>
      </c>
      <c r="G1" s="8" t="s">
        <v>370</v>
      </c>
      <c r="H1" s="8" t="s">
        <v>371</v>
      </c>
    </row>
    <row r="2" customFormat="false" ht="23.85" hidden="false" customHeight="false" outlineLevel="0" collapsed="false">
      <c r="A2" s="11" t="s">
        <v>281</v>
      </c>
      <c r="B2" s="11" t="s">
        <v>78</v>
      </c>
      <c r="C2" s="10" t="s">
        <v>282</v>
      </c>
      <c r="D2" s="11" t="s">
        <v>372</v>
      </c>
      <c r="E2" s="10" t="s">
        <v>373</v>
      </c>
      <c r="F2" s="10" t="s">
        <v>374</v>
      </c>
      <c r="G2" s="10" t="s">
        <v>375</v>
      </c>
      <c r="H2" s="10" t="s">
        <v>376</v>
      </c>
    </row>
    <row r="3" customFormat="false" ht="23.85" hidden="false" customHeight="false" outlineLevel="0" collapsed="false">
      <c r="A3" s="11" t="s">
        <v>283</v>
      </c>
      <c r="B3" s="11" t="s">
        <v>78</v>
      </c>
      <c r="C3" s="10" t="s">
        <v>284</v>
      </c>
      <c r="D3" s="11" t="s">
        <v>377</v>
      </c>
      <c r="E3" s="10" t="s">
        <v>378</v>
      </c>
      <c r="F3" s="10" t="s">
        <v>379</v>
      </c>
      <c r="G3" s="10" t="s">
        <v>380</v>
      </c>
      <c r="H3" s="10" t="s">
        <v>381</v>
      </c>
    </row>
    <row r="4" customFormat="false" ht="35.05" hidden="false" customHeight="false" outlineLevel="0" collapsed="false">
      <c r="A4" s="11" t="s">
        <v>285</v>
      </c>
      <c r="B4" s="11" t="s">
        <v>78</v>
      </c>
      <c r="C4" s="10" t="s">
        <v>286</v>
      </c>
      <c r="D4" s="11" t="s">
        <v>382</v>
      </c>
      <c r="E4" s="10" t="s">
        <v>383</v>
      </c>
      <c r="F4" s="10" t="s">
        <v>384</v>
      </c>
      <c r="G4" s="10" t="s">
        <v>385</v>
      </c>
      <c r="H4" s="10" t="s">
        <v>386</v>
      </c>
    </row>
    <row r="5" customFormat="false" ht="23.85" hidden="false" customHeight="false" outlineLevel="0" collapsed="false">
      <c r="A5" s="11" t="s">
        <v>287</v>
      </c>
      <c r="B5" s="11" t="s">
        <v>71</v>
      </c>
      <c r="C5" s="10" t="s">
        <v>288</v>
      </c>
      <c r="D5" s="11" t="s">
        <v>387</v>
      </c>
      <c r="E5" s="10" t="s">
        <v>388</v>
      </c>
      <c r="F5" s="10" t="s">
        <v>389</v>
      </c>
      <c r="G5" s="10" t="s">
        <v>390</v>
      </c>
      <c r="H5" s="10" t="s">
        <v>391</v>
      </c>
    </row>
    <row r="6" customFormat="false" ht="23.85" hidden="false" customHeight="false" outlineLevel="0" collapsed="false">
      <c r="A6" s="11" t="s">
        <v>289</v>
      </c>
      <c r="B6" s="11" t="s">
        <v>71</v>
      </c>
      <c r="C6" s="10" t="s">
        <v>290</v>
      </c>
      <c r="D6" s="11" t="s">
        <v>392</v>
      </c>
      <c r="E6" s="10" t="s">
        <v>388</v>
      </c>
      <c r="F6" s="10" t="s">
        <v>393</v>
      </c>
      <c r="G6" s="10" t="s">
        <v>394</v>
      </c>
      <c r="H6" s="10" t="s">
        <v>395</v>
      </c>
    </row>
    <row r="7" customFormat="false" ht="23.85" hidden="false" customHeight="false" outlineLevel="0" collapsed="false">
      <c r="A7" s="11" t="s">
        <v>291</v>
      </c>
      <c r="B7" s="11" t="s">
        <v>71</v>
      </c>
      <c r="C7" s="10" t="s">
        <v>284</v>
      </c>
      <c r="D7" s="11" t="s">
        <v>396</v>
      </c>
      <c r="E7" s="10" t="s">
        <v>397</v>
      </c>
      <c r="F7" s="10" t="s">
        <v>398</v>
      </c>
      <c r="G7" s="10" t="s">
        <v>399</v>
      </c>
      <c r="H7" s="10" t="s">
        <v>400</v>
      </c>
    </row>
    <row r="8" customFormat="false" ht="23.85" hidden="false" customHeight="false" outlineLevel="0" collapsed="false">
      <c r="A8" s="11" t="s">
        <v>292</v>
      </c>
      <c r="B8" s="11" t="s">
        <v>63</v>
      </c>
      <c r="C8" s="10" t="s">
        <v>282</v>
      </c>
      <c r="D8" s="11" t="s">
        <v>401</v>
      </c>
      <c r="E8" s="10" t="s">
        <v>402</v>
      </c>
      <c r="F8" s="10" t="s">
        <v>403</v>
      </c>
      <c r="G8" s="10" t="s">
        <v>404</v>
      </c>
      <c r="H8" s="10" t="s">
        <v>405</v>
      </c>
    </row>
    <row r="9" customFormat="false" ht="23.85" hidden="false" customHeight="false" outlineLevel="0" collapsed="false">
      <c r="A9" s="11" t="s">
        <v>293</v>
      </c>
      <c r="B9" s="11" t="s">
        <v>63</v>
      </c>
      <c r="C9" s="10" t="s">
        <v>290</v>
      </c>
      <c r="D9" s="11" t="s">
        <v>406</v>
      </c>
      <c r="E9" s="10" t="s">
        <v>407</v>
      </c>
      <c r="F9" s="10" t="s">
        <v>408</v>
      </c>
      <c r="G9" s="10" t="s">
        <v>409</v>
      </c>
      <c r="H9" s="10" t="s">
        <v>410</v>
      </c>
    </row>
    <row r="10" customFormat="false" ht="35.05" hidden="false" customHeight="false" outlineLevel="0" collapsed="false">
      <c r="A10" s="11" t="s">
        <v>294</v>
      </c>
      <c r="B10" s="11" t="s">
        <v>63</v>
      </c>
      <c r="C10" s="10" t="s">
        <v>288</v>
      </c>
      <c r="D10" s="11" t="s">
        <v>411</v>
      </c>
      <c r="E10" s="10" t="s">
        <v>402</v>
      </c>
      <c r="F10" s="10" t="s">
        <v>412</v>
      </c>
      <c r="G10" s="10" t="s">
        <v>413</v>
      </c>
      <c r="H10" s="10" t="s">
        <v>414</v>
      </c>
    </row>
    <row r="11" customFormat="false" ht="35.05" hidden="false" customHeight="false" outlineLevel="0" collapsed="false">
      <c r="A11" s="11" t="s">
        <v>295</v>
      </c>
      <c r="B11" s="11" t="s">
        <v>58</v>
      </c>
      <c r="C11" s="10" t="s">
        <v>284</v>
      </c>
      <c r="D11" s="11" t="s">
        <v>415</v>
      </c>
      <c r="E11" s="10" t="s">
        <v>416</v>
      </c>
      <c r="F11" s="10" t="s">
        <v>417</v>
      </c>
      <c r="G11" s="10" t="s">
        <v>418</v>
      </c>
      <c r="H11" s="10" t="s">
        <v>419</v>
      </c>
    </row>
    <row r="12" customFormat="false" ht="23.85" hidden="false" customHeight="false" outlineLevel="0" collapsed="false">
      <c r="A12" s="11" t="s">
        <v>296</v>
      </c>
      <c r="B12" s="11" t="s">
        <v>58</v>
      </c>
      <c r="C12" s="10" t="s">
        <v>290</v>
      </c>
      <c r="D12" s="11" t="s">
        <v>420</v>
      </c>
      <c r="E12" s="10" t="s">
        <v>421</v>
      </c>
      <c r="F12" s="10" t="s">
        <v>422</v>
      </c>
      <c r="G12" s="10" t="s">
        <v>423</v>
      </c>
      <c r="H12" s="10" t="s">
        <v>424</v>
      </c>
    </row>
    <row r="13" customFormat="false" ht="23.85" hidden="false" customHeight="false" outlineLevel="0" collapsed="false">
      <c r="A13" s="11" t="s">
        <v>297</v>
      </c>
      <c r="B13" s="11" t="s">
        <v>58</v>
      </c>
      <c r="C13" s="10" t="s">
        <v>282</v>
      </c>
      <c r="D13" s="11" t="s">
        <v>425</v>
      </c>
      <c r="E13" s="10" t="s">
        <v>426</v>
      </c>
      <c r="F13" s="10" t="s">
        <v>427</v>
      </c>
      <c r="G13" s="10" t="s">
        <v>428</v>
      </c>
      <c r="H13" s="10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7" t="s">
        <v>19</v>
      </c>
      <c r="B1" s="27" t="s">
        <v>430</v>
      </c>
      <c r="C1" s="27" t="s">
        <v>27</v>
      </c>
      <c r="D1" s="27" t="s">
        <v>41</v>
      </c>
    </row>
    <row r="2" customFormat="false" ht="15" hidden="false" customHeight="false" outlineLevel="0" collapsed="false">
      <c r="A2" s="0" t="s">
        <v>431</v>
      </c>
      <c r="B2" s="0" t="s">
        <v>432</v>
      </c>
      <c r="C2" s="28" t="s">
        <v>433</v>
      </c>
      <c r="D2" s="29" t="s">
        <v>57</v>
      </c>
      <c r="F2" s="16" t="s">
        <v>434</v>
      </c>
    </row>
    <row r="3" customFormat="false" ht="15" hidden="false" customHeight="false" outlineLevel="0" collapsed="false">
      <c r="A3" s="0" t="s">
        <v>281</v>
      </c>
      <c r="B3" s="0" t="s">
        <v>435</v>
      </c>
      <c r="C3" s="28" t="s">
        <v>436</v>
      </c>
      <c r="D3" s="29" t="s">
        <v>120</v>
      </c>
    </row>
    <row r="4" customFormat="false" ht="15" hidden="false" customHeight="false" outlineLevel="0" collapsed="false">
      <c r="A4" s="0" t="s">
        <v>283</v>
      </c>
      <c r="C4" s="28" t="s">
        <v>437</v>
      </c>
      <c r="D4" s="29" t="s">
        <v>169</v>
      </c>
    </row>
    <row r="5" customFormat="false" ht="15" hidden="false" customHeight="false" outlineLevel="0" collapsed="false">
      <c r="A5" s="0" t="s">
        <v>285</v>
      </c>
      <c r="C5" s="28" t="s">
        <v>438</v>
      </c>
      <c r="D5" s="29" t="s">
        <v>218</v>
      </c>
    </row>
    <row r="6" customFormat="false" ht="15" hidden="false" customHeight="false" outlineLevel="0" collapsed="false">
      <c r="A6" s="0" t="s">
        <v>287</v>
      </c>
      <c r="C6" s="28"/>
    </row>
    <row r="7" customFormat="false" ht="15" hidden="false" customHeight="false" outlineLevel="0" collapsed="false">
      <c r="A7" s="0" t="s">
        <v>289</v>
      </c>
      <c r="C7" s="28"/>
    </row>
    <row r="8" customFormat="false" ht="15" hidden="false" customHeight="false" outlineLevel="0" collapsed="false">
      <c r="A8" s="0" t="s">
        <v>291</v>
      </c>
      <c r="C8" s="28"/>
    </row>
    <row r="9" customFormat="false" ht="15" hidden="false" customHeight="false" outlineLevel="0" collapsed="false">
      <c r="A9" s="0" t="s">
        <v>292</v>
      </c>
      <c r="C9" s="28"/>
    </row>
    <row r="10" customFormat="false" ht="15" hidden="false" customHeight="false" outlineLevel="0" collapsed="false">
      <c r="A10" s="0" t="s">
        <v>293</v>
      </c>
      <c r="C10" s="28"/>
    </row>
    <row r="11" customFormat="false" ht="15" hidden="false" customHeight="false" outlineLevel="0" collapsed="false">
      <c r="A11" s="0" t="s">
        <v>294</v>
      </c>
      <c r="C11" s="28"/>
    </row>
    <row r="12" customFormat="false" ht="15" hidden="false" customHeight="false" outlineLevel="0" collapsed="false">
      <c r="A12" s="0" t="s">
        <v>295</v>
      </c>
      <c r="C12" s="28"/>
    </row>
    <row r="13" customFormat="false" ht="15" hidden="false" customHeight="false" outlineLevel="0" collapsed="false">
      <c r="A13" s="0" t="s">
        <v>296</v>
      </c>
      <c r="C13" s="28"/>
    </row>
    <row r="14" customFormat="false" ht="15" hidden="false" customHeight="false" outlineLevel="0" collapsed="false">
      <c r="A14" s="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2026-10-20T01:07:20Z</dcterms:created>
  <dc:creator>openpyxl</dc:creator>
  <dc:description/>
  <dc:language>en-US</dc:language>
  <cp:lastModifiedBy/>
  <dcterms:modified xsi:type="dcterms:W3CDTF">2026-10-20T01:07:20Z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